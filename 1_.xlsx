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Распределение объектов" sheetId="1" r:id="rId5"/>
    <sheet state="hidden" name="Лист2" sheetId="2" r:id="rId6"/>
    <sheet state="visible" name="Таблицы" sheetId="3" r:id="rId7"/>
    <sheet state="visible" name="Список договоров" sheetId="4" r:id="rId8"/>
    <sheet state="hidden" name="Распределение объектов  (копия)" sheetId="5" r:id="rId9"/>
    <sheet state="visible" name="Компенсации" sheetId="6" r:id="rId10"/>
    <sheet state="visible" name="07.26" sheetId="7" r:id="rId11"/>
    <sheet state="visible" name="08.26" sheetId="8" r:id="rId12"/>
    <sheet state="visible" name="09.26" sheetId="9" r:id="rId13"/>
  </sheets>
  <definedNames>
    <definedName hidden="1" localSheetId="0" name="_xlnm._FilterDatabase">'Распределение объектов'!$B$1:$D$61</definedName>
    <definedName hidden="1" localSheetId="3" name="_xlnm._FilterDatabase">'Список договоров'!$B$4:$AP$170</definedName>
    <definedName hidden="1" localSheetId="6" name="_xlnm._FilterDatabase">'07.26'!$A$3:$T$98</definedName>
    <definedName hidden="1" localSheetId="7" name="_xlnm._FilterDatabase">'08.26'!$A$3:$T$88</definedName>
    <definedName hidden="1" localSheetId="8" name="_xlnm._FilterDatabase">'09.26'!$A$3:$T$87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tc={f5a52d16-5404-4eb0-a647-f34d7dc5f773}</author>
  </authors>
  <commentList>
    <comment authorId="0" xr:uid="{f5a52d16-5404-4eb0-a647-f34d7dc5f7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Е-Евгения
Н Настя
Д-Дима
М-Мухтар
С-Светлана
А-Алексей
О-Оля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tc={0f7645ac-71a7-44b6-aa5c-dc86d544445e}</author>
    <author>tc={248b3772-898c-40c4-b6e9-8e0aa248822a}</author>
    <author>tc={270f46b2-45ac-4d5a-a1e3-b2c8def03980}</author>
    <author>tc={c17cf2db-4db1-4569-8cc5-e73ba871fb29}</author>
    <author>tc={c9c87235-a7c8-4cbd-8c01-ebdc680d46a8}</author>
    <author>tc={d27ce025-3467-45f8-b07a-da63acc9f0b1}</author>
    <author>tc={eaca6e68-08fa-44eb-a96b-202521ebe860}</author>
    <author>tc={f7a30d65-fdd2-4ecf-945c-041ebb527f97}</author>
  </authors>
  <commentList>
    <comment authorId="0" xr:uid="{0f7645ac-71a7-44b6-aa5c-dc86d544445e}" ref="Z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8 780 931,20
</t>
      </text>
    </comment>
    <comment authorId="1" xr:uid="{248b3772-898c-40c4-b6e9-8e0aa248822a}" ref="V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8 008 601,73
</t>
      </text>
    </comment>
    <comment authorId="2" xr:uid="{270f46b2-45ac-4d5a-a1e3-b2c8def03980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авг 2026 13/57
</t>
      </text>
    </comment>
    <comment authorId="3" xr:uid="{c17cf2db-4db1-4569-8cc5-e73ba871fb29}" ref="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июля, 18:28
</t>
      </text>
    </comment>
    <comment authorId="4" xr:uid="{c9c87235-a7c8-4cbd-8c01-ebdc680d46a8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июня, 17:09
</t>
      </text>
    </comment>
    <comment authorId="5" xr:uid="{d27ce025-3467-45f8-b07a-da63acc9f0b1}" ref="W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9 388 147,33
</t>
      </text>
    </comment>
    <comment authorId="6" xr:uid="{eaca6e68-08fa-44eb-a96b-202521ebe860}" ref="X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11 541 195,25
Reply:
	ЛП2-2Э-1805-СКАЛА от 18.05.2026	390 000,00
</t>
      </text>
    </comment>
    <comment authorId="7" xr:uid="{f7a30d65-fdd2-4ecf-945c-041ebb527f97}" ref="X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275 601,56
</t>
      </text>
    </comment>
  </commentList>
</comments>
</file>

<file path=xl/sharedStrings.xml><?xml version="1.0" encoding="utf-8"?>
<sst xmlns="http://schemas.openxmlformats.org/spreadsheetml/2006/main" count="4417" uniqueCount="1266">
  <si>
    <t>Волжский парк</t>
  </si>
  <si>
    <t>В5-СП-СК</t>
  </si>
  <si>
    <t>г. Москва, 1-й Грайвороновский пр-д, вл. 3, общедомовой к корп. 5.1-5.4</t>
  </si>
  <si>
    <t>ВП-М-СК</t>
  </si>
  <si>
    <t>г. Москва, 1-й Грайвороновский пр-д, вл. 3, площадка</t>
  </si>
  <si>
    <t>ВП5.2-СКАЛА-ЗР</t>
  </si>
  <si>
    <t>г. Москва, 1-й Грайвороновский пр-д, вл. 3, корп. 5.2</t>
  </si>
  <si>
    <t>ВП6.2-СКАЛА-СПС</t>
  </si>
  <si>
    <t>г. Москва, 1-й Грайвороновский пр-д, вл. 3, корп. 6.1, 6.2</t>
  </si>
  <si>
    <t>ВП6.2-СКАЛА-МР</t>
  </si>
  <si>
    <t>г. Москва, 1-й Грайвороновский пр-д, вл. 3,  6-ой очереди</t>
  </si>
  <si>
    <t>ВП7-СКАЛА-ССП</t>
  </si>
  <si>
    <t>Поставка материалов на площадки СКАЛА</t>
  </si>
  <si>
    <t>г. Москва, 1-й Грайвороновский пр-д, вл. 3, корп. 7, ДОУ на 300 мест</t>
  </si>
  <si>
    <t>ВП5.1-5.4-СКАЛА-ССП</t>
  </si>
  <si>
    <t>ВП5.1-5.4-СКАЛА-МЗ</t>
  </si>
  <si>
    <t>ВП-СКАЛА-ВЖББ-ПЛОЩ</t>
  </si>
  <si>
    <t>ВП11-СКАЛА-СКПТ</t>
  </si>
  <si>
    <t>г. Москва, 1-й Грайвороновский пр-д, вл. 3, корп. 11, паркинг на 425 м/м</t>
  </si>
  <si>
    <t>22443398</t>
  </si>
  <si>
    <t>№</t>
  </si>
  <si>
    <t>ВП-СКАЛА-ЭКСП</t>
  </si>
  <si>
    <t>г. Москва, 1-й Грайвороновский пр-д, вл. 3, корп. 6.2</t>
  </si>
  <si>
    <t>Объект</t>
  </si>
  <si>
    <t>Кавказский бульвар 51</t>
  </si>
  <si>
    <t>КБ51-СКЛ-Экс/ДОО</t>
  </si>
  <si>
    <t>Заказчик</t>
  </si>
  <si>
    <t>Договор / адрес</t>
  </si>
  <si>
    <t>г. Москва, Кавказский б-р, вл. 51, ДОО на 250 мест, Этап 3.2 б</t>
  </si>
  <si>
    <t>КБ51-СКЛ-Моб/ДОО</t>
  </si>
  <si>
    <t>КБ51-СКЛ-Мех/ДОО</t>
  </si>
  <si>
    <t>КБ51-Скала-МБЛЗ/эт2</t>
  </si>
  <si>
    <t>г. Москва, Кавказский б-р, вл. 51, 1-я оч., этап 2, корп. 1.5, 1.6 с подземным паркингом на 133 м/м</t>
  </si>
  <si>
    <t>КБ51-Скала-РВР-МУС/эт2</t>
  </si>
  <si>
    <t>КБ51-СКЛ-Мех.5087447/пл</t>
  </si>
  <si>
    <t>г. Москва, Кавказский б-р, вл. 51, площадка</t>
  </si>
  <si>
    <t>КБ51-СКЛ-ВДПР/пл</t>
  </si>
  <si>
    <t>КБ51-Скала-Экс/пл</t>
  </si>
  <si>
    <t>РЕЕСТР ДЕЙСТВУЮЩИХ КОНТРАКТОВ ООО "СКАЛА"</t>
  </si>
  <si>
    <t>Комьюнити центр ОМА</t>
  </si>
  <si>
    <t>Реестр авансов СКАЛА</t>
  </si>
  <si>
    <t>18183437</t>
  </si>
  <si>
    <t>г. Москва, Очаковское ш., ТЦ "Матвеевский"</t>
  </si>
  <si>
    <t>Матвеевский/Вангарден</t>
  </si>
  <si>
    <t>СК-Моб-ОЧш</t>
  </si>
  <si>
    <t>г. Москва, Очаковское ш., вл. 3, 3А, 5, площадка</t>
  </si>
  <si>
    <t>ОЧ-27/10/21-МБ</t>
  </si>
  <si>
    <t>г. Москва, Очаковское ш., вл. 3, 3А, 5, площадка (арендаторы)</t>
  </si>
  <si>
    <t>ОЧ-27/10/21-АБ-Т</t>
  </si>
  <si>
    <t>СГ-ДССП-186/2022</t>
  </si>
  <si>
    <t>г. Москва, Очаковское ш., вл. 3, 3А, 5, корп. 3.1-3.8, 3.9 подземная автостоянка</t>
  </si>
  <si>
    <t>017365007</t>
  </si>
  <si>
    <t>ГПД 3055-НЗ</t>
  </si>
  <si>
    <t>03-31</t>
  </si>
  <si>
    <t>г. Москва,Очаковское шоссе, вл.3, 3А, 5 квартал  №1, 2, 3</t>
  </si>
  <si>
    <t>018419783</t>
  </si>
  <si>
    <t>СКАЛА-15/12/2023</t>
  </si>
  <si>
    <t>г. Москва, Очаковское ш., вл. 3, 3А, 5</t>
  </si>
  <si>
    <t>СК-МОБ/ОЧШ-5.1-5.8</t>
  </si>
  <si>
    <t>100424-01</t>
  </si>
  <si>
    <t>019346722</t>
  </si>
  <si>
    <t>019968493</t>
  </si>
  <si>
    <t>020226119</t>
  </si>
  <si>
    <t>020294852</t>
  </si>
  <si>
    <t xml:space="preserve">г. Москва, Очаковское ш., вл. 3, 3А, 5, площадка
</t>
  </si>
  <si>
    <t>021501717</t>
  </si>
  <si>
    <t>Алтуфьевское шоссе</t>
  </si>
  <si>
    <t>021684365</t>
  </si>
  <si>
    <t>021963258</t>
  </si>
  <si>
    <t>022446936</t>
  </si>
  <si>
    <t xml:space="preserve">г. Москва, Очаковское ш., вл. 3, 3А, 5, площадка
</t>
  </si>
  <si>
    <t>ООО "ПИК-УК"</t>
  </si>
  <si>
    <t>023164846</t>
  </si>
  <si>
    <t>К СОВЕЩАНИЮ</t>
  </si>
  <si>
    <t>Моментс</t>
  </si>
  <si>
    <t>016824228</t>
  </si>
  <si>
    <t>г. Москва, Волоколамское ш., вл. 28, площадка</t>
  </si>
  <si>
    <t>СК-ВПЖ-1й</t>
  </si>
  <si>
    <t>СК/ВЛ-СДП</t>
  </si>
  <si>
    <t>СК/ВЛ28-СМ</t>
  </si>
  <si>
    <t>017794354</t>
  </si>
  <si>
    <t>018626716</t>
  </si>
  <si>
    <t>Первый Московский</t>
  </si>
  <si>
    <t>ПМ/Ф11/Авт2/ПП</t>
  </si>
  <si>
    <t>Жилая застройка на земельных участках тепличного комбината №1 в г. Московский. Первый микрорайон. Квартал 3. Надземная многоэтажная автостоянка №2</t>
  </si>
  <si>
    <t>Саларьево</t>
  </si>
  <si>
    <t>Д1399820/22</t>
  </si>
  <si>
    <t>д. Саларьево, 12-я очередь</t>
  </si>
  <si>
    <t>Д1415253/22</t>
  </si>
  <si>
    <t>Д1673475/22</t>
  </si>
  <si>
    <t>д. Саларьево, 11-я очередь</t>
  </si>
  <si>
    <t>Д1732770/23</t>
  </si>
  <si>
    <t>Согласование КС СКАЛА</t>
  </si>
  <si>
    <t>д. Саларьево, 11-я очередь, корп. 56 (этап 1) с подземным паркингом</t>
  </si>
  <si>
    <t>Д185057/23</t>
  </si>
  <si>
    <t>д. Саларьево, 12-я очередь, корп. 70, СОШ на 1150 мест</t>
  </si>
  <si>
    <t>Д1799199/23</t>
  </si>
  <si>
    <t>Актуальная инфомация на 30.09.2026</t>
  </si>
  <si>
    <t>Амурский парк</t>
  </si>
  <si>
    <t>Д1813929/23</t>
  </si>
  <si>
    <t>д. Саларьево, площадка</t>
  </si>
  <si>
    <t>016964023</t>
  </si>
  <si>
    <t>ООО "ГЛОБАЛСТРОЙТЕХ"</t>
  </si>
  <si>
    <t>д. Саларьево, 9-ая очередь, наземный паркинг корп. 44</t>
  </si>
  <si>
    <t>017965611</t>
  </si>
  <si>
    <t>д. Саларьево, Play Hub S №2</t>
  </si>
  <si>
    <t>018088049</t>
  </si>
  <si>
    <t>д. Саларьево, 13 очередь, корп. 20</t>
  </si>
  <si>
    <t>018941572</t>
  </si>
  <si>
    <t>018941887</t>
  </si>
  <si>
    <t>018911755</t>
  </si>
  <si>
    <t>д. Саларьево, 13-я очередь</t>
  </si>
  <si>
    <t>020397546</t>
  </si>
  <si>
    <t>д. Саларьево, 15-я очередь, корп. 86, ДОО на 150 мест</t>
  </si>
  <si>
    <t>020545364</t>
  </si>
  <si>
    <t>ул. Амурская, вл. 2, Блок 1, корп. 1.1-1.5.</t>
  </si>
  <si>
    <t>д. Саларьево - Многоэтажный жилой дом, корпус 83</t>
  </si>
  <si>
    <t>ул. Амурская, вл.2А, Блок 4, корп. 4.1-4.5.</t>
  </si>
  <si>
    <t>021299329</t>
  </si>
  <si>
    <t>г. Москва, ул. Амурская, вл. 2, ДОО на 250 мест.</t>
  </si>
  <si>
    <t>д. Саларьево, 14 очередь, корп. 83</t>
  </si>
  <si>
    <t>ул. Амурская, вл. 2, Блок 4, этап 4.1 с БКФН и подз. паркингом.</t>
  </si>
  <si>
    <t>021777580</t>
  </si>
  <si>
    <t>д. Саларьево, 11 очередь, корп. 57</t>
  </si>
  <si>
    <t>021776439</t>
  </si>
  <si>
    <t>д. Саларьево, 11 очередь</t>
  </si>
  <si>
    <t>№021999225</t>
  </si>
  <si>
    <t>022039867</t>
  </si>
  <si>
    <t>д. Саларьево, 13 очередь</t>
  </si>
  <si>
    <t>022086879</t>
  </si>
  <si>
    <t>д. Саларьево, 13 очередь, корп. 74</t>
  </si>
  <si>
    <t>022298241</t>
  </si>
  <si>
    <t>д. Саларьево, 13 очередь, корп. 69</t>
  </si>
  <si>
    <t>022427735</t>
  </si>
  <si>
    <t>Большая Академическая</t>
  </si>
  <si>
    <t>023191344</t>
  </si>
  <si>
    <t>д. Саларьево, 13 очередь, корп. 69 (этап 1) с подземным паркингом</t>
  </si>
  <si>
    <t>023224047</t>
  </si>
  <si>
    <t>д. Саларьево, 12 очередь, корп. 73</t>
  </si>
  <si>
    <t>023372778</t>
  </si>
  <si>
    <t>д. Саларьево, 14- очередь, корпус 83</t>
  </si>
  <si>
    <t>г. Москва, 3-й Нижнелихоборский пр-д, вл. 1, корп. 3.1-3.4.</t>
  </si>
  <si>
    <t>Среда на Лобачевского</t>
  </si>
  <si>
    <t>3-й Нижнелихоборский пр-д, вл. 1, корп. 3.1-3.4</t>
  </si>
  <si>
    <t>022769562</t>
  </si>
  <si>
    <t>г. Москва, 3-й Нижнелихоборский пр-д, вл. 1, площадка.</t>
  </si>
  <si>
    <t>г. Москва, Очаковское ш., вл. 3, 3А, 5, Площадка (Среда)</t>
  </si>
  <si>
    <t>023392699</t>
  </si>
  <si>
    <t>Часовая</t>
  </si>
  <si>
    <t>1</t>
  </si>
  <si>
    <t>г. Москва, ул. Часовая, вл. 28</t>
  </si>
  <si>
    <t>ЧСВ-СКАЛА-ЭКСПЛ</t>
  </si>
  <si>
    <t>г. Москва, ул. Часовая, вл. 28, площадка</t>
  </si>
  <si>
    <t>ЧСВ-СКАЛА-МОБ</t>
  </si>
  <si>
    <t>Бусиновский парк (Ижорская, Коровинское)</t>
  </si>
  <si>
    <t>Playhub парк Горького</t>
  </si>
  <si>
    <t>020719935-СКАЛА-СУБ</t>
  </si>
  <si>
    <t>г. Москва, ул. Крымский вал, вл. 9, Playhub</t>
  </si>
  <si>
    <t>Vangarden</t>
  </si>
  <si>
    <t>021616823</t>
  </si>
  <si>
    <t>Волжский парк (1-й Грайвороновский)</t>
  </si>
  <si>
    <t>ООО "ПИК-МЕНЕДЖМЕНТ"</t>
  </si>
  <si>
    <t>В5-СП-СК от 28.10.2022
№ВП5.2-СКАЛА-ЗР от 28.06.2023</t>
  </si>
  <si>
    <t>№ ВП6.2-СКАЛА-СПС 11.12.2024 года
ВП6.2-СКАЛА-МР от  16.12.2024 года</t>
  </si>
  <si>
    <t xml:space="preserve">г. Москва, 1-й Грайвороновский пр-д, вл. 3, общедомовой к корп. 5.1-5.4			</t>
  </si>
  <si>
    <t xml:space="preserve">г. Москва, 1-й Грайвороновский пр-д, вл. 3, корп. 6.2			</t>
  </si>
  <si>
    <t>2 квартал 2026</t>
  </si>
  <si>
    <t>Грин Парк</t>
  </si>
  <si>
    <t>3 квартал 2026</t>
  </si>
  <si>
    <t>ВДНХ, ул. Сельскохозяйственная, вл. 35, оч. 3, БНК на 270 мест с СОШ на 825 мест.</t>
  </si>
  <si>
    <t xml:space="preserve">г. Москва, ВДНХ, ул. Сельскохозяйственная, вл. 35, оч. 3, Блок 8. </t>
  </si>
  <si>
    <t>г. Москва, ВДНХ, вл. 35, оч. 3, ДОУ 3.</t>
  </si>
  <si>
    <t>г. Москва, ВДНХ, ул. Сельскохозяйственная, вл. 35, оч. 3, СОШ (825 мест).</t>
  </si>
  <si>
    <t>ПТО</t>
  </si>
  <si>
    <t>Зеленоград (Зелёный парк)</t>
  </si>
  <si>
    <t>№ п/п</t>
  </si>
  <si>
    <t>Объекты 
Адрес/корпус/очередь</t>
  </si>
  <si>
    <t>Статус</t>
  </si>
  <si>
    <t>Договор</t>
  </si>
  <si>
    <t>Объект и адрес по договору</t>
  </si>
  <si>
    <t>Адрес ПИК</t>
  </si>
  <si>
    <t>Вид работ</t>
  </si>
  <si>
    <t>ГПР</t>
  </si>
  <si>
    <t>Сумма договора, руб</t>
  </si>
  <si>
    <t>Сумма договора, руб
на 21.04.2026</t>
  </si>
  <si>
    <t>ПДЦ 21.04.2026 - 04.05.2026</t>
  </si>
  <si>
    <t>Кавказский бульвар</t>
  </si>
  <si>
    <t xml:space="preserve">ПДЦ 04.05.2026 - 15.06.2026 </t>
  </si>
  <si>
    <t>ПДЦ 
16.06.2026-31.07.2026</t>
  </si>
  <si>
    <t>ПДЦ актуально на 30.09.26</t>
  </si>
  <si>
    <t>Шаблон</t>
  </si>
  <si>
    <t>Выполнено, руб</t>
  </si>
  <si>
    <t>Актуально на 21.04.2026</t>
  </si>
  <si>
    <t>г. Москва, Кавказский б-р, вл. 51, ДОО на 250 мест, Этап 3.2</t>
  </si>
  <si>
    <t>Выполнение апрель</t>
  </si>
  <si>
    <t>Выполнение май</t>
  </si>
  <si>
    <t>Выполнение июнь</t>
  </si>
  <si>
    <t>Выполнение июль</t>
  </si>
  <si>
    <t>Выполнение август</t>
  </si>
  <si>
    <t>Выполнение сентябрь</t>
  </si>
  <si>
    <t>РП/Прораб</t>
  </si>
  <si>
    <t>Красноказарменная</t>
  </si>
  <si>
    <t>Примечания</t>
  </si>
  <si>
    <t>г. Москва, Красноказарменная 15, Этап 3, ДОО на 110 мест</t>
  </si>
  <si>
    <t>г. Москва, Красноказарменная 15, площадка</t>
  </si>
  <si>
    <t>Общая стоимость контрактов, руб.</t>
  </si>
  <si>
    <t>Кронштадский 11</t>
  </si>
  <si>
    <t>Ленингадское шоссе (КИН)</t>
  </si>
  <si>
    <t>Ленинградское шоссе 67.</t>
  </si>
  <si>
    <t>Люберецкий</t>
  </si>
  <si>
    <t>ООО "ГП-МО"</t>
  </si>
  <si>
    <t>Люберцы, ЖК Люберецкий, площадка.</t>
  </si>
  <si>
    <t xml:space="preserve"> г. Люберцы, ЖК Люберецкий, мобилизация корпус 9.2.</t>
  </si>
  <si>
    <t>Люблинский парк</t>
  </si>
  <si>
    <t>Матвеевский парк ( Vangarden, Среда на Лобачевского)</t>
  </si>
  <si>
    <t>г. Москва, Очаковское ш., вл. 3, 3А, 5, площадка  
  77:07:0012008:4340, 77:07:0012008:4342, 77:07:0012008:4323, 77:07:0012008:4403, 77:07:0012008:4409, 77:07:0012008:4417, 77:07:0012008:4406, 77:07:0012008:4412</t>
  </si>
  <si>
    <t xml:space="preserve">г. Москва, Очаковское ш., вл. 3, 3А, 5, площадка  
Городок               </t>
  </si>
  <si>
    <t>г. Москва, Очаковское ш., вл. 3, 3А, 5. 
Среда</t>
  </si>
  <si>
    <t>г. Москва, Очаковское ш., вл. 3, 3а, 5, площадка
 4 очередь</t>
  </si>
  <si>
    <t>Моментс (Красногорский, Волоколамское ш.)</t>
  </si>
  <si>
    <t>Актуальная инфомация на 25.05.2026</t>
  </si>
  <si>
    <t>ЗАКАЗЧИК ПИК</t>
  </si>
  <si>
    <t>Москворечье (Котляковский)</t>
  </si>
  <si>
    <t>г. Москва, ул. Котляковская, площадка</t>
  </si>
  <si>
    <t>ЖК Московречье, ул.Котляковская, площадка.</t>
  </si>
  <si>
    <t xml:space="preserve">ПДЦ 04.05.2026 - 12.05.2026 </t>
  </si>
  <si>
    <t>Первый Московский  фаза 7 к3</t>
  </si>
  <si>
    <t xml:space="preserve">ПДЦ 12.05.2026 - 18.05.2026 </t>
  </si>
  <si>
    <t>ООО "НДК"</t>
  </si>
  <si>
    <t xml:space="preserve">Первый московский Фаза 9 к 1-2 </t>
  </si>
  <si>
    <t>Общая стоимость по Заказчику ПИК, руб.</t>
  </si>
  <si>
    <t>Первый московский Фаза 9 к 3-4</t>
  </si>
  <si>
    <t>Полярная</t>
  </si>
  <si>
    <t xml:space="preserve"> ул. Полярная, вл. 25, площадка. </t>
  </si>
  <si>
    <t>Рассказовка фаза 12</t>
  </si>
  <si>
    <t>Рассказовка фаза 13</t>
  </si>
  <si>
    <t>Рассказовка фаза 18</t>
  </si>
  <si>
    <t>Саларьево парк</t>
  </si>
  <si>
    <t>Многоэтажный жилой дом, корпус 74</t>
  </si>
  <si>
    <t xml:space="preserve">д. Саларьево, 14 очередь, корп. 83			</t>
  </si>
  <si>
    <t>д. Саларьево, 11-я очередь, корп. 57</t>
  </si>
  <si>
    <t>корпус 69</t>
  </si>
  <si>
    <t>корпус 56</t>
  </si>
  <si>
    <t>корпус 86</t>
  </si>
  <si>
    <t>корпус 20</t>
  </si>
  <si>
    <t xml:space="preserve">д. Саларьево, 11-я очередь
</t>
  </si>
  <si>
    <t xml:space="preserve">д. Саларьево, 12-я очередь
</t>
  </si>
  <si>
    <t xml:space="preserve">д. Саларьево, 13-я очередь
</t>
  </si>
  <si>
    <t xml:space="preserve">д. Саларьево, 14-я очередь
</t>
  </si>
  <si>
    <t xml:space="preserve">д. Саларьево, площадка
</t>
  </si>
  <si>
    <t>Северный терминал (Ижорская, Коровинское)</t>
  </si>
  <si>
    <t>Середневский лес (Филимонковское, ОАО "Марьинская птицефабрика")</t>
  </si>
  <si>
    <t>Сигнальный</t>
  </si>
  <si>
    <t>г. Москва, Сигнальный пр-д, вл. 16, блок 2, корп. 2.1.2, 2.1.3, 2.2 с подземным паркингом.</t>
  </si>
  <si>
    <t>г. Москва, Сигнальный пр-д, вл. 16, СОШ на 600 мест.</t>
  </si>
  <si>
    <t>г. Москва, Сигнальный пр-д, вл. 16, ДОО на 250 мест</t>
  </si>
  <si>
    <t>Часовая (Soul)</t>
  </si>
  <si>
    <t>г.Москва, ул.Часовая, вл.28, площадка</t>
  </si>
  <si>
    <t>Шереметьевский</t>
  </si>
  <si>
    <t>ООО "ГП-МСК"</t>
  </si>
  <si>
    <t>Н</t>
  </si>
  <si>
    <t xml:space="preserve">
г. Москва, Марьина роща, Складочная улица, вл.6, СОШ на 650 мест</t>
  </si>
  <si>
    <t>Ютаново (Газопровод)</t>
  </si>
  <si>
    <t>Дата документа/    период (материалы)</t>
  </si>
  <si>
    <t>Номер</t>
  </si>
  <si>
    <t>Наименование</t>
  </si>
  <si>
    <t xml:space="preserve">Сумма компенсации </t>
  </si>
  <si>
    <t>Ресурс</t>
  </si>
  <si>
    <t>Дата получения</t>
  </si>
  <si>
    <t>Путь к файлу</t>
  </si>
  <si>
    <t>Принято/
отклонено</t>
  </si>
  <si>
    <t>Компенсация</t>
  </si>
  <si>
    <t>Ответственное лицо</t>
  </si>
  <si>
    <t xml:space="preserve">Способ компенсации </t>
  </si>
  <si>
    <t>Плановый срок получения компенсации</t>
  </si>
  <si>
    <t>Статус  на текущую дату</t>
  </si>
  <si>
    <t xml:space="preserve">Дата получения компенсации </t>
  </si>
  <si>
    <t>Примечание</t>
  </si>
  <si>
    <t>Кольская, 8</t>
  </si>
  <si>
    <t>292/1-2887-И</t>
  </si>
  <si>
    <t>Претензия
о выплате затрат
на устранение недостатков</t>
  </si>
  <si>
    <t>Диадок</t>
  </si>
  <si>
    <t xml:space="preserve">Бочаев Руслан Хасанович/  -
</t>
  </si>
  <si>
    <t>1.1</t>
  </si>
  <si>
    <t>Корпус 6</t>
  </si>
  <si>
    <t>Z:\ПТО СКАЛА\ШТРАФЫ тест\Кольская 8</t>
  </si>
  <si>
    <t>Принято</t>
  </si>
  <si>
    <t>Предусмотрена</t>
  </si>
  <si>
    <t>Компенсация путем закрытия 500 м3 дополнительной уборки снега</t>
  </si>
  <si>
    <t>Подготовка документов  в ПТО</t>
  </si>
  <si>
    <t>Компенсация получена с КС №13 по договору № ??? в январе 2030г.</t>
  </si>
  <si>
    <t>Активный</t>
  </si>
  <si>
    <t>ВП6.2-СКАЛА-МР от 16.12.2024</t>
  </si>
  <si>
    <t>Обручева 27</t>
  </si>
  <si>
    <t>«Жилые дома Корпуса 6.1, 6.2. Этап 2. Корпус 6.2» по адресу: Москва, ЮВАО, Текстильщики, у-й Грайвороновский проезд, вл.3</t>
  </si>
  <si>
    <t>Превышение стоимости закупки плит относительно сметы</t>
  </si>
  <si>
    <t>Мобилизация</t>
  </si>
  <si>
    <t>Отклонено</t>
  </si>
  <si>
    <t>октябрь 2026</t>
  </si>
  <si>
    <t>Зеленоград</t>
  </si>
  <si>
    <t>08.2025-07.2026</t>
  </si>
  <si>
    <t>Компенсация стоимости
плит 2П30 и ПАГ-14</t>
  </si>
  <si>
    <t>Собираем УПД для сверки</t>
  </si>
  <si>
    <t>Z:\ПТО СКАЛА\3. Объекты\Зеленоград ЦИЭ\6. Компенсации\Компенсация плит, июль 2026</t>
  </si>
  <si>
    <t>В работе</t>
  </si>
  <si>
    <t>Акт сверки стоимости материалов</t>
  </si>
  <si>
    <t>ноябрь 2026</t>
  </si>
  <si>
    <t>Рассказовка Ф18 к.1</t>
  </si>
  <si>
    <t>507-1585/26-ИСХ</t>
  </si>
  <si>
    <t>Штраф</t>
  </si>
  <si>
    <t>https://myabs.absgroup.ru/control/ordinance</t>
  </si>
  <si>
    <t>Рассказовка Ф13 к.1</t>
  </si>
  <si>
    <t>507-1463/26-ИСХ</t>
  </si>
  <si>
    <t>ШТРАФ</t>
  </si>
  <si>
    <t>№ВП6.2-СКАЛА-МР от 16.12.2024</t>
  </si>
  <si>
    <t>507-1469/26-ИСХ</t>
  </si>
  <si>
    <t>15.11.2024 -30.06.2026*</t>
  </si>
  <si>
    <t>507-1468/26-ИСХ</t>
  </si>
  <si>
    <t>507-1450/26-ИСХ</t>
  </si>
  <si>
    <t>507-1467/26-ИСХ</t>
  </si>
  <si>
    <t>ВП6.2-СКАЛА-СПС от 11.12.2024</t>
  </si>
  <si>
    <t>507-1459/26-ИСХ</t>
  </si>
  <si>
    <t>Эксплуатация</t>
  </si>
  <si>
    <t>507-1460/26-ИСХ</t>
  </si>
  <si>
    <t>№ВП6.2-СКАЛА-СПС от 11.12.2024</t>
  </si>
  <si>
    <t>01.01.2026 -31.03.2026</t>
  </si>
  <si>
    <t xml:space="preserve">НЗ на продление на подписании </t>
  </si>
  <si>
    <t>1.2</t>
  </si>
  <si>
    <t>Площадка</t>
  </si>
  <si>
    <t>№ВП-СКАЛА-ВЖББ-ПЛОЩ от 04.08.2025</t>
  </si>
  <si>
    <t>объекты капитального строительства, расположенные на земельном (-ых) участке (-ах) с кадастровым (-и) номером (-ами): 77:04:0002005, по адресу: г. Москва, 1-й Грайвороновский пр-д, вл. 3, площадка</t>
  </si>
  <si>
    <t>12.05.2025 -31.12.2026</t>
  </si>
  <si>
    <t>пока на стопе, но в будущем работы планируются на площадке</t>
  </si>
  <si>
    <t>№ВП-СКАЛА-ЭКСП от 17.04.2026</t>
  </si>
  <si>
    <t>объекты капитального строительства, расположенные на земельном (-ых) участке (-ах) с кадастровым (-и) номером (-ами): 77:04:0002005:16049, по адресу: г. Москва, 1-й Грайвороновский пр-д, вл. 3, площадка</t>
  </si>
  <si>
    <t>подписали 21.04.2026, полностью забираем апрель</t>
  </si>
  <si>
    <t>1.3</t>
  </si>
  <si>
    <t>Закрыт</t>
  </si>
  <si>
    <t>ВП-СКАЛА-ВЖББ-ПЛОЩ от 04.08.2025</t>
  </si>
  <si>
    <t>Корпус 5</t>
  </si>
  <si>
    <t>№В5-СП-СК от 06.10.2022</t>
  </si>
  <si>
    <t>объект капитального строительства,предполагаемый к размещению на земельном (-ых) участке (-ах) с кадастровым (-и) номером (- ами): 77:04:0002005:10954, по адресу: г. Москва, 1-й Грайвороновский пр., вл. 3 (корп. 5.1, 5.2, 5.3, 5.4)</t>
  </si>
  <si>
    <t>01.09.2022 -31.12.2026</t>
  </si>
  <si>
    <t>Корпуса сдали/ закупаем заказчику бытовки еще через остатки  в договоре</t>
  </si>
  <si>
    <t>2</t>
  </si>
  <si>
    <t>ВП-СКАЛА-ЭКСП от 17.04.2026</t>
  </si>
  <si>
    <t>Бочаев Руслан Хасанович/  
Ациев Абдулгалим Рабаданович</t>
  </si>
  <si>
    <t>2.1</t>
  </si>
  <si>
    <t>ВП5.2-СКАЛА-ЗР от 28.06.2023</t>
  </si>
  <si>
    <t xml:space="preserve">№КБ51-СКЛ-ВДПР/пл от 28.10.2024 </t>
  </si>
  <si>
    <t>объекты капитального строительства, расположенные на земельном (-ых) участке (-ах) с кадастровым (-и) номером (-ами): 77:05:0005006:4958; 77:05:0005006:4954; 77:05:0005006:4953, по адресу: г. Москва, Кавказский б-р, вл. 51, площадка</t>
  </si>
  <si>
    <t>Электрика/водопровод</t>
  </si>
  <si>
    <t>16.09.2024 -30.06.2026*</t>
  </si>
  <si>
    <t>№КБ51-Скала-РВР-МУС/эт2 от 01.10.2024</t>
  </si>
  <si>
    <t>объект капитального строительства: корп. 1.5, 1.6, входящий в состав имущественного комплекса: «Общественно-жилая застройка, 1-я очередь строительства (корпуса 1.1, 1.2, 1.3, 1.4, 1.5, 1.6)» по адресу: Российская Федерация, город Москва, внутригородская территория муниципальный округ Царицыно, Кавказский бульвар, земельный участок 51</t>
  </si>
  <si>
    <t>Вывоз мусора</t>
  </si>
  <si>
    <t>02.09.2024 -30.06.2026*</t>
  </si>
  <si>
    <t>В5-СП-СК от 06.10.2022</t>
  </si>
  <si>
    <t>допник на согласовании</t>
  </si>
  <si>
    <t>2.2</t>
  </si>
  <si>
    <t>ДОО</t>
  </si>
  <si>
    <t>№КБ51-СКЛ-Экс/ДОО от 20.06.2023</t>
  </si>
  <si>
    <t>объект капитального строительства: «Дошкольная образовательная организация на 250 мест» по адресу: г. Москва, Кавказский б-р, вл. 51, ДОО на 250 мест, Этап 3.2 б</t>
  </si>
  <si>
    <t>01.08.2025 - 31.05.2026</t>
  </si>
  <si>
    <t>до мая</t>
  </si>
  <si>
    <t>3</t>
  </si>
  <si>
    <t>Кавказский б-р, вл. 51</t>
  </si>
  <si>
    <t>Петропавловских Александр Павлович/ Газзаев Алан Владимирович</t>
  </si>
  <si>
    <t>3.1</t>
  </si>
  <si>
    <t>№ 021501717 от 05.05.2025 года</t>
  </si>
  <si>
    <t>объекты капитального строительства, расположенные на земельном (-ых) участке
(-ах) с кадастровым (-и) номером (-ами): 77:07:0012008:4324, по адресу: г. Москва,
Очаковское ш., вл. 3, 3А, 5, площадка.</t>
  </si>
  <si>
    <t>21.04.2025 - 31.05.2026</t>
  </si>
  <si>
    <t>В процессе закрытия</t>
  </si>
  <si>
    <t xml:space="preserve">КБ51-СКЛ-ВДПР/пл от 28.10.2024 </t>
  </si>
  <si>
    <t>30.06.2026*</t>
  </si>
  <si>
    <t>№ 022446936 от 23.10.2025 года</t>
  </si>
  <si>
    <t>объекты капитального строительства, расположенные на земельном (-ых) участке
(-ах) с кадастровым (-и) номером (-ами): 77:07:0012008:4341, 77:07:0012008:4403,
77:07:0012008:4413, 77:07:0012008:4342, по адресу: город Москва, вн.тер.г. муниципальный округ Очаково-Матвеевское, шоссе Очаковское, земельный участок 3А/32А.</t>
  </si>
  <si>
    <t>Электрика</t>
  </si>
  <si>
    <t>29.09.2025 - 31.01.2026</t>
  </si>
  <si>
    <t>3.2</t>
  </si>
  <si>
    <t>Дороги между очередями</t>
  </si>
  <si>
    <t>№021963258 от 29.07.2025</t>
  </si>
  <si>
    <t>объекты капитального строительства, расположенные на земельном (-ых) участке
(-ах) с кадастровым (-и) номером (-ами): 77:07:0012008:4340, 77:07:0012008:4342,
77:07:0012008:4323, 77:07:0012008:4403, 77:07:0012008:4409, 77:07:0012008:4417,
77:07:0012008:4406, по адресу: г. Москва, вн.тер.г. муниципальный округ Очаково-
Матвеевское, шоссе Очаковское, земельный участок 3А/32А, земельный участок 5А/47</t>
  </si>
  <si>
    <t>01.06.2025 -30.06.2026*</t>
  </si>
  <si>
    <t>ДС продление 2026 / согласование</t>
  </si>
  <si>
    <t>3.3</t>
  </si>
  <si>
    <t>Бытовой городок</t>
  </si>
  <si>
    <t>№ 021616823 от 23.05.2025 года</t>
  </si>
  <si>
    <t>объекты капитального строительства, расположенные на земельном (-ых) участке
(-ах) с кадастровым (-и) номером (-ами): 77:07:0012008:4402, по адресу: г. Москва,
Очаковское ш., вл. 3, 3А, 5, площадка</t>
  </si>
  <si>
    <t>КБ51-Скала-РВР-МУС/эт2 от 01.10.2024</t>
  </si>
  <si>
    <t>01.05.2025 - 31.12.2026</t>
  </si>
  <si>
    <t>893 700,00</t>
  </si>
  <si>
    <t>3.4</t>
  </si>
  <si>
    <t>Проектируемый проезд № 1439</t>
  </si>
  <si>
    <t xml:space="preserve">№ 023164846 от 11.03.2026 года			</t>
  </si>
  <si>
    <t>объекты капитального строительства, расположенные на земельном (-ых) участке
(-ах) с кадастровым (-и) номером (-ами): 77:07:0012008:4398, по адресу: город Москва, внутригородская территория муниципальный округ Очаково-Матвеевское, проезд Стройкомбината, земельный участок 1А</t>
  </si>
  <si>
    <t>01.03.2026 - 30.06.2026</t>
  </si>
  <si>
    <t>3.5</t>
  </si>
  <si>
    <t>4 очередь</t>
  </si>
  <si>
    <t xml:space="preserve">№019968493 от 03.09.2024 </t>
  </si>
  <si>
    <t>КБ51-СКЛ-Моб/ДОО от 20.06.2023</t>
  </si>
  <si>
    <t>объекты капитального строительства, расположенные на земельном (-ых)
участке (-ах) с кадастровым (-и) номером (-ами): 77:07:0012008:4100; 77:07:0012008:4101;
77:07:0012008:4083; 77:07:0012008:4075; 77:07:0012008:4096; 77:07:0012008:4097;
77:07:0012008:4077; 77:07:0012008:4095; 77:07:0012008:4091; 77:07:0012008:4081;
77:07:0012008:3750; 77:07:0012008:4094; 77:07:0012008:4084; 77:07:0012008:4079, по
адресу: г. Москва, Очаковское ш., вл. 3, 3а, 5, площадка</t>
  </si>
  <si>
    <t>01.07.2024 - 31.12.2026</t>
  </si>
  <si>
    <t>Продление</t>
  </si>
  <si>
    <t>№019346722 от 30.05.2024</t>
  </si>
  <si>
    <t>объекты капитального строительства, расположенные на земельном (-ых)
участке (-ах) с кадастровым (-и) номером (-ами): 77:07:0012008:4402, по адресу: г. Москва,
Очаковское ш., вл. 3, 3а, 5, площадка</t>
  </si>
  <si>
    <t>22.04.2024 - 30.06.2026</t>
  </si>
  <si>
    <t>№020226119 от 10.10.2024</t>
  </si>
  <si>
    <t>объекты капитального строительства, расположенные на земельном (-ых)
участке (-ах) с кадастровым (-и) номером (-ами): 77:07:0012008:4402, по
адресу: Очаковское ш., вл. 3, 3А, 5, площадка</t>
  </si>
  <si>
    <t>02.09.2024 - 31.05.2026</t>
  </si>
  <si>
    <t>Подать на закрытие</t>
  </si>
  <si>
    <t>КБ51-СКЛ-Экс/ДОО от 20.06.2023</t>
  </si>
  <si>
    <t>3.6</t>
  </si>
  <si>
    <t>ЖК Среда</t>
  </si>
  <si>
    <t>№018419783 от 25.12.2023</t>
  </si>
  <si>
    <t>объекты капитального строительства, расположенные на земельном (-ых)
участке (-ах) с кадастровым (-и) номером (-ами): -, по адресу: г. Москва, Очаковское ш.,
вл. 3, 3А, 5.</t>
  </si>
  <si>
    <t>01.01.2024- - 30.06.2026*</t>
  </si>
  <si>
    <t>Продлен новым договором/ по факту все закрыто/ были ПМК, которые не обслуживали и КЛ/вода , также вышли в марте, июнь-июль 2024 простой, поэтому 4 месяца в остатке</t>
  </si>
  <si>
    <t>№023532811 от 14.05.2026</t>
  </si>
  <si>
    <t>Матвеевский парк</t>
  </si>
  <si>
    <t>01.01.2026-31.12.2026</t>
  </si>
  <si>
    <t>смена адреса/продление/согласование договора</t>
  </si>
  <si>
    <t>№СК-МОБ/ОЧШ-5.1-5.8 от 14.03.2024</t>
  </si>
  <si>
    <t>объекты капитального строительства, расположенные на земельном (-ых)
участке (-ах) с кадастровым (-и) номером (-ами): 77:07:0012008:4413, по адресу: г. Москва, Очаковское ш., вл. 3, 3а, 5</t>
  </si>
  <si>
    <t>01.01.2024 -30.06.2026*</t>
  </si>
  <si>
    <t>новые объемы по новому договору, остатки добираются по этому</t>
  </si>
  <si>
    <t>№023392699 от 17.04.2026</t>
  </si>
  <si>
    <t>объекты капитального строительства, расположенные на земельном (-ых) участке
(-ах) с кадастровым (-и) номером (-ами): 77:07:0012008:4413, по адресу: г. Москва, ЗАО,
Очаково-Матвеевское, Очаковское ш.</t>
  </si>
  <si>
    <t>27.03.2026 - 31.05.2026</t>
  </si>
  <si>
    <t>Бочаев Руслан Хасанович/                                        Газзаев Алан Владимирович</t>
  </si>
  <si>
    <t>смена адреса/ на подписании</t>
  </si>
  <si>
    <t>021501717 от 05.05.2025</t>
  </si>
  <si>
    <t>3.7</t>
  </si>
  <si>
    <t>ЖК Комфорт</t>
  </si>
  <si>
    <t>№ 022769562 от 12.12.2025 года</t>
  </si>
  <si>
    <t>объекты капитального строительства, расположенные на земельном (-ых) участке
(-ах) с кадастровым (-и) номером (-ами): 77:07:0012008:4421, по адресу: г. Москва,
Очаковское ш., вл. 3, 3а, 5</t>
  </si>
  <si>
    <t>11.12.2025 - 31.05.2026</t>
  </si>
  <si>
    <t>Не начали работы , будет еще экспл.</t>
  </si>
  <si>
    <t>4</t>
  </si>
  <si>
    <t>022446936 от 23.10.2025</t>
  </si>
  <si>
    <t xml:space="preserve">
Алиев Абдулагат Алиевич/                                       Чалишев Фируз Талбакович
</t>
  </si>
  <si>
    <t>4.1</t>
  </si>
  <si>
    <t>№СК/ВЛ-СДП от 01.03.2023</t>
  </si>
  <si>
    <t>объекты капитального строительства, расположенные на земельном (-ых)
участке (-ах) с кадастровым (-и) номером (-ами): 77:08:0009002:1000, по адресу: г. Москва, Волоколамское ш., вл. 28, площадка.</t>
  </si>
  <si>
    <t>01.03.2023 - 31.03.2026</t>
  </si>
  <si>
    <t>Только эксплуатация</t>
  </si>
  <si>
    <t>5</t>
  </si>
  <si>
    <t>021963258 от 29.07.2025</t>
  </si>
  <si>
    <t>Петропавловских Александр Павлович/-</t>
  </si>
  <si>
    <t>5.1</t>
  </si>
  <si>
    <t>83 корпус</t>
  </si>
  <si>
    <t>№020545364 от 26.11.2024</t>
  </si>
  <si>
    <t>объект капитального строительства: «Многоэтажный жилой дом, корпус 83 с
подземной стоянкой автомобилей, с инженерными сетями, в составе Жилой застройки с
объектами социальной инфраструктуры» по адресу: Москва, НАО, вн.тер.г. поселение, г.
Москва, Московский, улица Саларьевская, земельный участок 17</t>
  </si>
  <si>
    <t>08.10.2024 -30.06.2026*</t>
  </si>
  <si>
    <t>021616823 от 23.05.2025</t>
  </si>
  <si>
    <t xml:space="preserve">№021299329 от 24.03.2025 </t>
  </si>
  <si>
    <t>5.2</t>
  </si>
  <si>
    <t>74 корпус</t>
  </si>
  <si>
    <t>№ 022039867 от 11.08.2025 года</t>
  </si>
  <si>
    <t>023164846 от 11.03.2026</t>
  </si>
  <si>
    <t>объекты капитального строительства, расположенные на земельном (-ых) участке
(-ах) с кадастровым (-и) номером (-ами): 77:17:0110205:17424, 77:17:0110205:17418,
77:17:0110205:17420, по адресу: г. Москва, п. Московский, д. Саларьево</t>
  </si>
  <si>
    <t>11.06.2025 - 30.06.2026</t>
  </si>
  <si>
    <t>вышел ДС</t>
  </si>
  <si>
    <t xml:space="preserve">№ 022086879 от 19.08.2025 года			</t>
  </si>
  <si>
    <t>объект капитального строительства: «Многоэтажный жилой дом, корпус 74 с
подземной стоянкой автомобилей, с инженерными сетями, в составе Жилой застройки с
объектами социальной инфраструктуры» по адресу: Москва, НАО, вн.тер.г. муниципальный округ, г. Москва, Коммунарка, улица Трёхполье, земельный участок 7</t>
  </si>
  <si>
    <t>01.06.2025-31.12.2026</t>
  </si>
  <si>
    <t>5.3</t>
  </si>
  <si>
    <t>57 корпус</t>
  </si>
  <si>
    <t>№021777580 от 20.06.2025 года</t>
  </si>
  <si>
    <t>объект капитального строительства: Корпус 57 (этап 1), входящий в состав
имущественного комплекса: ««Многоэтажный жилой дом, корпус 57, с инженерными
сетями, в составе Жилой застройки с объектами социальной инфраструктуры» Адрес
объекта: г. Москва, п. Сосенское, вблизи д. Николо-Хованское. Этап 1» по адресу: Москва, НАО, поселение, г. Москва, Сосенское, вблизи д. Николо-Хованское</t>
  </si>
  <si>
    <t>29.05.2025 - 31.05.2026</t>
  </si>
  <si>
    <t>019968493 от 03.09.2024</t>
  </si>
  <si>
    <t xml:space="preserve">№ 022427735 от 14.11.2025 года			</t>
  </si>
  <si>
    <t>объекты капитального строительства, расположенные на земельном (-ых) участке
(-ах) с кадастровым (-и) номером (-ами): 77:17:0120114:6123, по адресу: г. Москва, п
Сосенское, вблизи д. Николо-Хованское</t>
  </si>
  <si>
    <t>01.07.2025-31.12.2026</t>
  </si>
  <si>
    <t>5.4</t>
  </si>
  <si>
    <t>69 корпус</t>
  </si>
  <si>
    <t>№ 022298241 от 29.09.2025 года</t>
  </si>
  <si>
    <t>объект капитального строительства: корп. 69 (этап 1), входящий в состав
имущественного комплекса: «Многоэтажный жилой дом, корпус 69 с подземной стоянкой автомобилей, с инженерными сетями, в составе Жилой застройки с объектами социальной инфраструктуры. 1 этап (секции 1, 2, 3, 4, 5, 6, 7)» по адресу: Москва, НАО, вн.тер.г.
муниципальный округ, г. Москва, Коммунарка, улица Трёхполье, земельный участок 7</t>
  </si>
  <si>
    <t>08.09.2025 - 30.06.2026*</t>
  </si>
  <si>
    <t>019346722 от 30.05.2024</t>
  </si>
  <si>
    <t>№023191344 от 16.03.2026</t>
  </si>
  <si>
    <t>объект капитального строительства: корп. 69 (этап 1), входящий в состав
имущественного комплекса: «Многоэтажный жилой дом, корпус 69 с подземной стоянкой
автомобилей, с инженерными сетями, в составе Жилой застройки с объектами социальной
инфраструктуры. 1 этап (секции 1, 2, 3, 4, 5, 6, 7)» по адресу: Москва, НАО, вн.тер.г.
муниципальный округ, г. Москва, Коммунарка, улица Трёхполье, земельный участок 7</t>
  </si>
  <si>
    <t>01.01.2026 - 31.12.2026</t>
  </si>
  <si>
    <t>5.5</t>
  </si>
  <si>
    <t>73 корпус</t>
  </si>
  <si>
    <t>№023224047 от 20.03.2026</t>
  </si>
  <si>
    <t>объект капитального строительства: «Многоэтажный жилой дом, корпус 73 с
подземной стоянкой автомобилей, с инженерными сетями, в составе Жилой застройки с
объектами социальной инфраструктуры» по адресу: Москва, НАО, вн.тер.г. поселение, г.
Москва, Московский, ул. Саларьевская</t>
  </si>
  <si>
    <t>10.03.2026 - 31.05.2026</t>
  </si>
  <si>
    <t>Первая КС апрель</t>
  </si>
  <si>
    <t>5.6</t>
  </si>
  <si>
    <t>020226119 от 10.10.2024</t>
  </si>
  <si>
    <t>20 корпус</t>
  </si>
  <si>
    <t>№018088049 от 16.11.2023</t>
  </si>
  <si>
    <t>объект капитального строительства,предполагаемый к размещению на
земельном (-ых) участке (-ах) с кадастровым (-и) номером (- ами): 77:17:0110205:17418
77:17:0110205:17420, по адресу: г.Москва, п. Московский, д Саларьево ((Корпус 20))</t>
  </si>
  <si>
    <t>13.11.2023 -30.06.2026*</t>
  </si>
  <si>
    <t>Редкие работы</t>
  </si>
  <si>
    <t>6</t>
  </si>
  <si>
    <t>018419783 от 25.12.2023</t>
  </si>
  <si>
    <t/>
  </si>
  <si>
    <t>6.1</t>
  </si>
  <si>
    <t xml:space="preserve">№ЧСВ-СКАЛА-МОБ от 20.06.2025 </t>
  </si>
  <si>
    <t>объекты капитального строительства, расположенные на земельном (-ых) участке
(-ах) с кадастровым (-и) номером (-ами): 77:09:0000000:189135,, по адресу: г. Москва, ул.
Часовая, вл. 28</t>
  </si>
  <si>
    <t>22.04.2025 - 31.05.2026</t>
  </si>
  <si>
    <t>023532811 от 14.05.2026</t>
  </si>
  <si>
    <t>ждем ДС/подписание/ сумма договора с уч ДС</t>
  </si>
  <si>
    <t>№ЧСВ-СКАЛА-ЭКСПЛ от 10.03.2025</t>
  </si>
  <si>
    <t>объекты капитального строительства, расположенные на земельном (-ых) участке
(-ах) с кадастровым (-и) номером (-ами): 77:09:0000000:189135, по адресу: г. Москва, ул.
Часовая, вл. 28</t>
  </si>
  <si>
    <t>01.01.2025 - 31.12.2026</t>
  </si>
  <si>
    <t>7</t>
  </si>
  <si>
    <t>СК-МОБ/ОЧШ-5.1-5.8 от 14.03.2024</t>
  </si>
  <si>
    <t>Бочаев Руслан Хасанович/  
Тверитин Александр Викторович</t>
  </si>
  <si>
    <t>7.1</t>
  </si>
  <si>
    <t>г. Москва, ул. Люблинская, 2-я очередь, этап 2, корп. 14.1, 14.2, 14.5, 14.6 с подземным паркингом</t>
  </si>
  <si>
    <t>№ЛП2-2Э-22.10-СКАЛА от 22.10.2025</t>
  </si>
  <si>
    <t>Объект капитального строительства: «Многоэтажные жилые дома корпуса 14.1,
14.2, 14.5, 14.6 с подземной автостоянкой в составе комплексной общественно-жилой
застройки» по адресу: Москва, ЮВАО, Люблино, ул.Иловайская, земельный участок 2Б/3;
ул. Нижние Поля, влд. 20, к.1; к. 1, стр. 2, 3, 5; ул.Нижние Поля</t>
  </si>
  <si>
    <t xml:space="preserve">г. Москва, ул. Люблинская, 2-я очередь, этап 2, корп. 14.1, 14.2, 14.5, 14.6 с подземным паркингом	</t>
  </si>
  <si>
    <t>023392699 от 17.04.2026</t>
  </si>
  <si>
    <t>01.10.2026-31.05.2026</t>
  </si>
  <si>
    <t>Подаёмся ежемесячно</t>
  </si>
  <si>
    <t>7.2</t>
  </si>
  <si>
    <t>г. Москва, ул. Люблинская, вл. 72, паркинг лит. 37 на 498 м/м</t>
  </si>
  <si>
    <t>№Д886616/24 от 16.10.2024</t>
  </si>
  <si>
    <t>Объект капитального строительства: «Наземная многоуровневая неотапливаемая
стоянка автомобилей корпус 37 (Этап 28) в составе комплексной общественно-жилой
застройки» по адресу: Российская Федерация, г. Москва, вн.тер. г. Муниципальный округ
Люблино, ул.Люблинская, з/у 72</t>
  </si>
  <si>
    <t>01.09.2024-31.12.2026*</t>
  </si>
  <si>
    <t>022769562 от 12.12.2025</t>
  </si>
  <si>
    <t>Временно не работаем</t>
  </si>
  <si>
    <t>7.3</t>
  </si>
  <si>
    <t>№Д539835/24 от 22.01.2024</t>
  </si>
  <si>
    <t>09.01.2024-31.12.2026*</t>
  </si>
  <si>
    <t>Подаёмся периодически</t>
  </si>
  <si>
    <t>7.4</t>
  </si>
  <si>
    <t>г. Москва, ул. Люблинская, 2-я очередь, корп. 16, ДОО на 225 мест</t>
  </si>
  <si>
    <t>3.8</t>
  </si>
  <si>
    <t>Бытовой городок (без дорог)</t>
  </si>
  <si>
    <t>№Д853011/24 от 23.09.2024</t>
  </si>
  <si>
    <t>Объект капитального строительства: «Дошкольная образовательная организация
на 225 мест. Корп. 16» по адресу: Москва, ЮВАО, г. Москва, Люблино, Иловайская</t>
  </si>
  <si>
    <t>024196291 от 07.09.2026</t>
  </si>
  <si>
    <t>объект капитального строительства: объекты капитального строительства, расположенные на земельном (-ых) участке (-ах) с кадастровым (-и) номером (-ами): 77:07:0012008:4421, по адресу: г. Москва, Очаковское ш., вл. 3, 3А, 5, Очередь (Стандарт)</t>
  </si>
  <si>
    <t>г. Москва, Очаковское ш., вл. 3, 3А, 5, Очередь (Стандарт)</t>
  </si>
  <si>
    <t>01.09.2024-31.07.2026</t>
  </si>
  <si>
    <t>7.5</t>
  </si>
  <si>
    <t>№Д020351113 от 29.10.2024</t>
  </si>
  <si>
    <t>09.10.2024-31.12.2026*</t>
  </si>
  <si>
    <t>7.6</t>
  </si>
  <si>
    <t>№Д861746/24 от 30.09.2024</t>
  </si>
  <si>
    <t>16.09.2024-31.12.2026*</t>
  </si>
  <si>
    <t>Подаёмся часто</t>
  </si>
  <si>
    <t>7.7</t>
  </si>
  <si>
    <t>г. Москва, ул. Люблинская, вл. 72, корп. 32, ДОУ 4 на 350 мест</t>
  </si>
  <si>
    <t>№Д798942/24 от 05.08.2024</t>
  </si>
  <si>
    <t>Объект капитального строительства: «Комплексная общественно-жилая
застройка. Корпус 32. Дошкольная образовательная организация на 350 мест» по адресу:
Москва, ЮВАО, вн.тер.г. муниципальный округ Люблино, ул. Люблинская, з/у 72</t>
  </si>
  <si>
    <t>31.07.2025-31.07.2026</t>
  </si>
  <si>
    <t>7.8</t>
  </si>
  <si>
    <t>№Д403755/23 от 02.02.2024</t>
  </si>
  <si>
    <t>«Комплексная общественно-жилая застройка. Корпус 32. Дошкольная
образовательная организация на 350 мест»</t>
  </si>
  <si>
    <t>15.01.2024-31.12.2026*</t>
  </si>
  <si>
    <t>СК/ВЛ-СДП от 01.03.2023</t>
  </si>
  <si>
    <t>7.9</t>
  </si>
  <si>
    <t>г. Москва, ул. Люблинская, вл. 72, поликлиника на 560 пос/см</t>
  </si>
  <si>
    <t>№Д798825/24 от 03.08.2024</t>
  </si>
  <si>
    <t>Объект капитального строительства: «Комплексная общественно-жилая
застройка. Корпус 33. Детско- взрослая поликлиника на 560 посещений» по адресу:
Москва, ЮВАО, г. Москва, Люблино, ул. Люблинская</t>
  </si>
  <si>
    <t>01.09.2024-30.11.2026</t>
  </si>
  <si>
    <t>7.10</t>
  </si>
  <si>
    <t>№Д812725/24 от 19.08.2024</t>
  </si>
  <si>
    <t>«Комплексная общественно-жилая 
застройка. Корпус 33. Детско- взрослая поликлиника на 560 посещений» по адресу: 
Москва, ЮВАО, г. Москва, Люблино, ул. Люблинская</t>
  </si>
  <si>
    <t>31.01.2025-31.12.2026*</t>
  </si>
  <si>
    <t>7.11</t>
  </si>
  <si>
    <t>№Д791796/24 от 29.07.2024</t>
  </si>
  <si>
    <t>«Комплексная общественно-жилая застройка. Корпус 33. Детско-взрослая
поликлиника на 560 посещений »</t>
  </si>
  <si>
    <t>29.07.2024-31.12.2026*</t>
  </si>
  <si>
    <t>7.12</t>
  </si>
  <si>
    <t>г. Москва, ул. Люблинская, вл. 72, корп. 34, Школа на 2200 мест</t>
  </si>
  <si>
    <t>№Д570794/24 от 24.01.2024</t>
  </si>
  <si>
    <t>«Комплексная общественно-жилая застройка. Корпус 34. Общеобразовательная
организация на 2200 мест»</t>
  </si>
  <si>
    <t>01.02.2023-30.09.2026</t>
  </si>
  <si>
    <t>7.13</t>
  </si>
  <si>
    <t>№Д413965/23 от 20.10.2023</t>
  </si>
  <si>
    <t>«Комплексная общественно-жилая застройка. Корп. 34. Общеобразовательная
организация на 2200 мест» на земельном(-ых) участке(-ах) с кадастровым(-ыми) номером(-ами) 77:04:0003010:15 по адресу: г. Москва, ул. Люблинская, вл. 72</t>
  </si>
  <si>
    <t>01.11.2023-31.12.2026*</t>
  </si>
  <si>
    <t>020545364 от 26.11.2024</t>
  </si>
  <si>
    <t>7.14</t>
  </si>
  <si>
    <t>г. Москва, ул. Люблинская, вл. 72, Блок 12</t>
  </si>
  <si>
    <t>№Д572864/24 от 08.02.2024</t>
  </si>
  <si>
    <t>Объект капитального строительства: «Многоэтажный жилой дом корпус 12 (Этап
18) в составе комплексной общественно-жилой застройки» по адресу: г. Москва, ул.
Люблинская, вл. 72</t>
  </si>
  <si>
    <t xml:space="preserve">г. Москва, ул. Люблинская, вл. 72, Блок 12	
	</t>
  </si>
  <si>
    <t>01.02.2024-31.08.2026</t>
  </si>
  <si>
    <t>ДС на согласовании.
Подаёмся ежемесячно.</t>
  </si>
  <si>
    <t>7.15</t>
  </si>
  <si>
    <t>№Д263913/23 от 29.06.2023</t>
  </si>
  <si>
    <t>20.06.2023-31.12.2026*</t>
  </si>
  <si>
    <t>7.16</t>
  </si>
  <si>
    <t>г. Москва, ул. Люблинская, вл. 72, корп. 17</t>
  </si>
  <si>
    <t>№Д1329441/25 от 08.10.2025</t>
  </si>
  <si>
    <t>Объект капитального строительства: «Многоэтажный жилой дом корпус 17 (Этап
24) в составе комплексной общественно-жилой застройки» по адресу: г. Москва, ул.
Люблинская, вл. 72</t>
  </si>
  <si>
    <t xml:space="preserve">г. Москва, ул. Люблинская, вл. 72, корп. 17	</t>
  </si>
  <si>
    <t>021299329 от 24.03.2025</t>
  </si>
  <si>
    <t>01.10.2025-31.12.2026*</t>
  </si>
  <si>
    <t>7.17</t>
  </si>
  <si>
    <t>г. Москва, ул. Люблинская, вл. 72, корп. 19 с БКФН</t>
  </si>
  <si>
    <t>№Д1330628/25 от 09.10.2025</t>
  </si>
  <si>
    <t>Объект капитального строительства: «Многоэтажный жилой дом корпус 19 (Этап
23) в составе комплексной общественно-жилой застройки» по адресу: г. Москва, ул.
Люблинская, вл. 72</t>
  </si>
  <si>
    <t xml:space="preserve">г. Москва, ул. Люблинская, вл. 72, корп. 19 с БКФН	     </t>
  </si>
  <si>
    <t>Будем подаваться
в ближайшие месяцы</t>
  </si>
  <si>
    <t>7.18</t>
  </si>
  <si>
    <t>г. Москва, ул. Люблинская, вл. 72, корп. 18, 20 с БКФН</t>
  </si>
  <si>
    <t>№Д1330623/25 от 09.10.2025</t>
  </si>
  <si>
    <t>Объект капитального строительства: «Многоэтажный жилой дом корпус 18,20
(Этап 22) в составе комплексной общественно-жилой застройки» по адресу: Москва,
ЮВАО, Люблино, Люблинская ул. вл. 72</t>
  </si>
  <si>
    <t xml:space="preserve">г. Москва, ул. Люблинская, вл. 72, корп. 18, 20 с БКФН	</t>
  </si>
  <si>
    <t>30.09.2025-30.11.2026*</t>
  </si>
  <si>
    <t>022039867 от 11.08.2025</t>
  </si>
  <si>
    <t>8</t>
  </si>
  <si>
    <t>Середневский лес</t>
  </si>
  <si>
    <t>022086879 от 19.08.2025</t>
  </si>
  <si>
    <t>Петропавловских Александр Павлович/              Клоков Андрей Альбертович</t>
  </si>
  <si>
    <t>8.1</t>
  </si>
  <si>
    <t>г. Москва, п. Филимонковское, Середнево, площадка</t>
  </si>
  <si>
    <t>№СРД-ПЛ-СР от 30.05.2024</t>
  </si>
  <si>
    <t>Объекты капитального строительства, расположенные на земельном (-ых)
участке (-ах) с кадастровым (-и) номером (-ами): 77:17:0110114:561, по адресу: г. Москва,
поселение Филимонковское, ОАО "Марьинская птицефабрика"</t>
  </si>
  <si>
    <t xml:space="preserve">г. Москва, п. Филимонковское, Середнево, площадка	</t>
  </si>
  <si>
    <t>01.03.2024-30.04.2026</t>
  </si>
  <si>
    <t>В марте подали последнее выполнение по ДС</t>
  </si>
  <si>
    <t>8.2</t>
  </si>
  <si>
    <t>г. Москва, п. Филимонковское, Середнево, корп. 4.3</t>
  </si>
  <si>
    <t>021777580 от 20.06.2025</t>
  </si>
  <si>
    <t>№СЕР-СКАЛ -МОБ-4.3 от 24.01.2024</t>
  </si>
  <si>
    <t>Объект капитального строительства,предполагаемый к размещению на
земельном (-ых) участке (-ах) с кадастровым (-и) номером (- ами): 77:17:0110114:2415, по
адресу: г. Москва, поселение Филимонковское, ОАО Марьинская птицефабрика (корп.4.3)</t>
  </si>
  <si>
    <t xml:space="preserve">г. Москва, п. Филимонковское, Середнево, корп. 4.3	</t>
  </si>
  <si>
    <t>01.02.2024-30.04.2026*</t>
  </si>
  <si>
    <t>В апреле подадим последнее выполнение по ДС</t>
  </si>
  <si>
    <t>8.3</t>
  </si>
  <si>
    <t>г. Москва, п. Филимонковское, Середнево, корп. 4.1</t>
  </si>
  <si>
    <t>№СРД-4.1-МОБ-Скл от 06.12.2022</t>
  </si>
  <si>
    <t>Объект капитального строительства,предполагаемый к размещению на
земельном (-ых) участке (-ах) с кадастровым (-и) номером (- ами): 77:17:0110114:562 , по
адресу: г. Москва, поселение Филимонковское, ОАО "Марьинская птицефабрика" (4.1)</t>
  </si>
  <si>
    <t xml:space="preserve">г. Москва, п. Филимонковское, Середнево, корп. 4.1	</t>
  </si>
  <si>
    <t>28.11.2022-01.06.2026*</t>
  </si>
  <si>
    <t>НЗ на последнее выполнение по ИС в работе</t>
  </si>
  <si>
    <t>9</t>
  </si>
  <si>
    <t>022427735 от 14.11.2025</t>
  </si>
  <si>
    <t xml:space="preserve">Алиев Абдул Алиевич,                                                              /Гапизов Фидель -Кастро
</t>
  </si>
  <si>
    <t>9.1</t>
  </si>
  <si>
    <t>г. Москва, Зеленоград ЦИЭ, площадка</t>
  </si>
  <si>
    <t>№021324562 от 08.04.2025</t>
  </si>
  <si>
    <t>Объекты капитального строительства, расположенные на земельном (-ых) участке
(-ах) с кадастровым (-и) номером (-ами): 77:10:0006007:8, по адресу: г. Москва, Зеленоград ЦИЭ, площадка</t>
  </si>
  <si>
    <t xml:space="preserve"> </t>
  </si>
  <si>
    <t>01.04.2025-31.12.2026</t>
  </si>
  <si>
    <t xml:space="preserve">022298241 от 29.09.2025 </t>
  </si>
  <si>
    <t>ID акта</t>
  </si>
  <si>
    <t>Статус согласования</t>
  </si>
  <si>
    <t>9.2</t>
  </si>
  <si>
    <t>№021928281 от 21.07.2025</t>
  </si>
  <si>
    <t>30.04.2025-31.12.2026*</t>
  </si>
  <si>
    <t>жду ИС</t>
  </si>
  <si>
    <t>10</t>
  </si>
  <si>
    <t>Бусиновский парк</t>
  </si>
  <si>
    <t>023191344 от 16.03.2026</t>
  </si>
  <si>
    <t>Плановая сумма, руб</t>
  </si>
  <si>
    <t>Не забрали в КС, руб</t>
  </si>
  <si>
    <t>Итого в КС, руб</t>
  </si>
  <si>
    <t>Аванс, руб.</t>
  </si>
  <si>
    <t>штрафы / затраты</t>
  </si>
  <si>
    <t>Гарант. уд., руб.</t>
  </si>
  <si>
    <t>К оплате, руб.</t>
  </si>
  <si>
    <t>Оплатили, руб</t>
  </si>
  <si>
    <t>Остаток к оплате, руб.</t>
  </si>
  <si>
    <t xml:space="preserve">
Алиев Абдулагат Алиевич/
Чалишев Бехруз Муродович</t>
  </si>
  <si>
    <t>10.1</t>
  </si>
  <si>
    <t>Комментарии по КС</t>
  </si>
  <si>
    <t>г. Москва, ул. Ижорская, вл. 6, Коровинское ш., вл. 35, корп. 8, ДОО на 150 мест</t>
  </si>
  <si>
    <t>023061794 от 18.02.2026</t>
  </si>
  <si>
    <t>023224047 от 20.03.2026</t>
  </si>
  <si>
    <t>Объект капитального строительства: «Дошкольная образовательная организация
на 150 мест, корпус 8» по адресу: Москва, САО, г. Москва, Западное Дегунино, Ижорская ул.</t>
  </si>
  <si>
    <t xml:space="preserve">г. Москва, ул. Ижорская, вл. 6, Коровинское ш., вл. 35, корп. 8, ДОО на 150 мест	</t>
  </si>
  <si>
    <t>01.02.2026-31.01.2027</t>
  </si>
  <si>
    <t>10.2</t>
  </si>
  <si>
    <t>г. Москва, ул. Ижорская, вл. 6, Коровинское ш., вл. 35, корп. 5.1-5.4 с подземным паркингом (мена)</t>
  </si>
  <si>
    <t>БП5.1-5.4_3 от 01.12.2025</t>
  </si>
  <si>
    <t>Объект капитального строительства,предполагаемый к размещению на земельном
(-ых) участке (-ах) с кадастровым (-и) номером (- ами): 77:09:0002016:14, по адресу: г.
Москва, ул. Ижорская, вл. 6, Коровинское ш., вл. 35 (корп. 5.1-5.4)</t>
  </si>
  <si>
    <t>01.02.2026-30.01.2027</t>
  </si>
  <si>
    <t>023679723 от 09.06.2026</t>
  </si>
  <si>
    <t>10.3</t>
  </si>
  <si>
    <t>БП5.1-5.4_2 от 25.11.2025</t>
  </si>
  <si>
    <t>Объект капитального строительства,предполагаемый к размещению на земельном
(-ых) участке (-ах) с кадастровым (-и) номером (- ами): 77:09:0002016:14, по адресу: г.
Москва, ул. Ижорская, вл. 6, Коровинское ш., вл. 35 (корп. 5.1-5.4 )</t>
  </si>
  <si>
    <t>Е</t>
  </si>
  <si>
    <t>10.4</t>
  </si>
  <si>
    <t>г. Москва, ул. Ижорская, вл. 6, Коровинское ш., вл. 35, корп. 4.1-4.4 с подземным паркингом (мена)</t>
  </si>
  <si>
    <t>БП4.1-4-4_2 от 28.11.2025</t>
  </si>
  <si>
    <t>Объект капитального строительства,предполагаемый к размещению на земельном
(-ых) участке (-ах) с кадастровым (-и) номером (- ами): 77:09:0002016:6096, по адресу: г.
Москва, ул. Ижорская, вл. 6, Коровинское ш., вл. 35 (корп. 4.1-4.4)</t>
  </si>
  <si>
    <t>ИК</t>
  </si>
  <si>
    <t>15.12.2025-14.12.2026</t>
  </si>
  <si>
    <t>018088049 от 16.11.2023</t>
  </si>
  <si>
    <t>10.5</t>
  </si>
  <si>
    <t>БП4.1-4-4_1 от 25.11.2025</t>
  </si>
  <si>
    <t>Объект капитального строительства,предполагаемый к размещению на земельном
(-ых) участке (-ах) с кадастровым (-и) номером (- ами): 77:09:0002016:6096, по адресу: ул. Ижорская, вл. 6, Коровинское ш., вл. 35 (корп. 4.1-4.4)</t>
  </si>
  <si>
    <t>10.11.2025-31.01.2026</t>
  </si>
  <si>
    <t>Подписан обеими сторонами</t>
  </si>
  <si>
    <t>10.6</t>
  </si>
  <si>
    <t>эксплуатация</t>
  </si>
  <si>
    <t>г. Москва, ул. Ижорская, вл. 6, Коровинское ш., вл. 35, площадка</t>
  </si>
  <si>
    <t>ИЖ-250225-содерж/площадка от 01.01.2025</t>
  </si>
  <si>
    <t>Объекты капитального строительства, расположенные на земельном (-ых) участке
(-ах) с кадастровым (-и) номером (-ами): 77:09:0002016:7597, по адресу: г. Москва, ул.
Ижорская, вл. 6, Коровинское ш., вл. 35, площадка</t>
  </si>
  <si>
    <t>Д17068382-АМУР от 01.06.2023</t>
  </si>
  <si>
    <t>01.01.2025-31.12.2026</t>
  </si>
  <si>
    <t>5.7</t>
  </si>
  <si>
    <t>10.7</t>
  </si>
  <si>
    <t>11-я очередь</t>
  </si>
  <si>
    <t>022681692 от 04.12.2025</t>
  </si>
  <si>
    <t>Объекты капитального строительства, расположенные на земельном (-ых) участке
(-ах) с кадастровым (-и) номером (-ами): 77:09:0002016:7581, по адресу: г. Москва,
внутригородская территория муниципальный округ Западное Дегунино, Коровинское
шоссе</t>
  </si>
  <si>
    <t>30.09.2025-30.04.2026</t>
  </si>
  <si>
    <t>021776439 от 20.06.2025</t>
  </si>
  <si>
    <t>объекты капитального строительства, расположенные на земельном (-ых) участке (-ах) с кадастровым (-и) номером (-ами): 77:17:0120114:6123, по адресу: г. Москва, п. Московский, д. Саларьево</t>
  </si>
  <si>
    <t>10.8</t>
  </si>
  <si>
    <t>021966423 от 29.07.2025</t>
  </si>
  <si>
    <t>14.07.2025-31.01.2026</t>
  </si>
  <si>
    <t>10.9</t>
  </si>
  <si>
    <t>г. Москва, ул. Ижорская, вл. 6, Коровинское ш., вл. 35, 5-я оч., корп. 1.3</t>
  </si>
  <si>
    <t>ИЖ-240125-ОРГстроиПл/1.3 от 25.12.2023</t>
  </si>
  <si>
    <t>Объект капитального строительства,предполагаемый к размещению на
земельном (-ых) участке (-ах) с кадастровым (-и) номером (- ами): 77:09:0002016:7589, по
адресу: ЖК "Бусиновский парк" г. Москва, ул. Ижорская, вл. 6, Коровинское ш., вл. 35, 5-я оч., (Корпус 1.3)</t>
  </si>
  <si>
    <t xml:space="preserve">г. Москва, ул. Ижорская, вл. 6, Коровинское ш., вл. 35, 5-я оч., корп. 1.3	</t>
  </si>
  <si>
    <t>25.12.2023-31.12.2026*</t>
  </si>
  <si>
    <t>10.10</t>
  </si>
  <si>
    <t>ПИК</t>
  </si>
  <si>
    <t>5.8</t>
  </si>
  <si>
    <t>14-я очередь, УДС</t>
  </si>
  <si>
    <t>г. Москва, ул. Ижорская, вл. 6, Коровинское ш., вл. 35, 5-я оч., корп. 1.4</t>
  </si>
  <si>
    <t>024205036 от 08.09.2026</t>
  </si>
  <si>
    <t>ИЖ-240125-ОРГстроиПл/1.4 от 25.12.2023</t>
  </si>
  <si>
    <t>объекты капитального строительства, расположенные на земельном (-ых) участке (-ах) с кадастровым (-и) номером (-ами): 77:17:0110205:17417, по адресу: Российская Федерация, город Москва, вн.тер.г. поселение Московский, улица Саларьевская, земельный участок 17</t>
  </si>
  <si>
    <t>Объект капитального строительства,предполагаемый к размещению на
земельном (-ых) участке (-ах) с кадастровым (-и) номером (- ами): 77:09:0002016:7589, по
адресу: ЖК "Бусиновский парк" г. Москва, ул. Ижорская, вл. 6, Коровинское ш., вл. 35, 5-я
оч. (Корпус 1.4)</t>
  </si>
  <si>
    <t>д. Саларьево, 14-я очередь</t>
  </si>
  <si>
    <t xml:space="preserve">г. Москва, ул. Ижорская, вл. 6, Коровинское ш., вл. 35, 5-я оч., корп. 1.4	</t>
  </si>
  <si>
    <t>АМУР-ДОО-СКАЛА от 12.03.2024</t>
  </si>
  <si>
    <t>10.11</t>
  </si>
  <si>
    <t>г. Москва, ул. Ижорская, вл. 6, Коровинское ш., вл. 35, 6-я оч., корп. 2.3</t>
  </si>
  <si>
    <t>ИЖ-240125-ОРГстроиПл/2.3 от 25.12.2023</t>
  </si>
  <si>
    <t>Объект капитального строительства,предполагаемый к размещению на
земельном (-ых) участке (-ах) с кадастровым (-и) номером (- ами): 77:09:0002016:7591, по
адресу: ЖК "Бусиновский парк", г. Москва, ул. Ижорская, вл. 6, Коровинское ш., вл. 35, 6-я оч. (Корпус 2.3)</t>
  </si>
  <si>
    <t xml:space="preserve">г. Москва, ул. Ижорская, вл. 6, Коровинское ш., вл. 35, 6-я оч., корп. 2.3	</t>
  </si>
  <si>
    <t>10.12</t>
  </si>
  <si>
    <t>г. Москва, ул. Ижорская, вл. 6, Коровинское ш., вл. 35, 6-я оч., корп. 2.4</t>
  </si>
  <si>
    <t>5.9</t>
  </si>
  <si>
    <t>82 корпус</t>
  </si>
  <si>
    <t>ИЖ-20240123-ОРГстрПЛ/2.4 от 25.12.2023</t>
  </si>
  <si>
    <t>Объект капитального строительства,предполагаемый к размещению на
земельном (-ых) участке (-ах) с кадастровым (-и) номером (- ами): 77:09:0002016:7591, по
адресу: ЖК "Бусиновский парк", г. Москва, ул. Ижорская, вл. 6, Коровинское ш., вл. 35, 6-я оч. (Копус 2.4)</t>
  </si>
  <si>
    <t xml:space="preserve">г. Москва, ул. Ижорская, вл. 6, Коровинское ш., вл. 35, 6-я оч., корп. 2.4	</t>
  </si>
  <si>
    <t>023684716 от 10.06.2026</t>
  </si>
  <si>
    <t>объект капитального строительства: объект капитального строительства,предполагаемый к размещению на земельном (-ых) участке (-ах) с кадастровым (-и) номером (- ами): 77:17:0110205:17417, по адресу: город Москва, вн.тер.г. поселение Московский, улица Саларьевская, земельный участок 17 (корп. 82)</t>
  </si>
  <si>
    <t>д. Саларьево, 14 очередь, корп. 82</t>
  </si>
  <si>
    <t>подготовительные работы</t>
  </si>
  <si>
    <t>Д022032386-АМУР от 08.08.2025</t>
  </si>
  <si>
    <t>10.13</t>
  </si>
  <si>
    <t>г. Москва, ул. Ижорская, вл. 6, Коровинское ш., вл. 35, корп. 9, Школа на 1050 мест</t>
  </si>
  <si>
    <t>ИЖ-230718-МБ-к.9-шк от 30.06.2023</t>
  </si>
  <si>
    <t>Объект капитального строительства, расположенный по адресу: г. Москва, ул.
Ижорская, вл. 6, Коровинское ш., вл. 35</t>
  </si>
  <si>
    <t xml:space="preserve">г. Москва, ул. Ижорская, вл. 6, Коровинское ш., вл. 35, корп. 9, Школа на 1050 мест	</t>
  </si>
  <si>
    <t>30.06.2023-31.12.2026</t>
  </si>
  <si>
    <t>11</t>
  </si>
  <si>
    <t>Северный Терминал</t>
  </si>
  <si>
    <t>5.10</t>
  </si>
  <si>
    <t>78.2  корпус</t>
  </si>
  <si>
    <t xml:space="preserve">21532237 от 07.05.2025			</t>
  </si>
  <si>
    <t>5.11</t>
  </si>
  <si>
    <t>Д</t>
  </si>
  <si>
    <t>022298209 от 30.09.2025</t>
  </si>
  <si>
    <t>объекты капитального строительства, расположенные на земельном (-ых) участке
(-ах) с кадастровым (-и) номером (-ами): 77:17:0110205, по адресу: г. Москва, п.
Московский, д. Саларьево</t>
  </si>
  <si>
    <t>ПИК2В</t>
  </si>
  <si>
    <t>11.1</t>
  </si>
  <si>
    <t>г. Москва, Северный терминал, (Коровинское ш., вл. 35), площадка</t>
  </si>
  <si>
    <t>СТ-250213-содерж/площадка от 01.01.2025</t>
  </si>
  <si>
    <t>Объекты капитального строительства, расположенные на земельном (-ых)
участке (-ах) с кадастровым (-и) номером (-ами): 77:09:0002016:73, по адресу: г. Москва, Северный терминал, (Коровинское ш., вл. 35), площадка</t>
  </si>
  <si>
    <t xml:space="preserve">г. Москва, Северный терминал, (Коровинское ш., вл. 35), площадка	
	</t>
  </si>
  <si>
    <t>11.2</t>
  </si>
  <si>
    <t>СТ-230212-Моб/площадка от 25.12.2023</t>
  </si>
  <si>
    <t>Объекты капитального строительства, расположенные на земельном (-ых)
участке (-ах) с кадастровым (-и) номером (-ами): 77:09:0002016:7581, по адресу: г. Москва, Северный терминал, (Коровинское ш., вл. 35), площадка</t>
  </si>
  <si>
    <t>25.12.2023-31.10.2025</t>
  </si>
  <si>
    <t>12</t>
  </si>
  <si>
    <t>Ютаново</t>
  </si>
  <si>
    <t>СК отклонил без пояснений Блок 4</t>
  </si>
  <si>
    <t>ЧСВ-СКАЛА-МОБ от 20.06.2025</t>
  </si>
  <si>
    <t>19 082 460,90</t>
  </si>
  <si>
    <t>Бусиновский парк (Реновация)</t>
  </si>
  <si>
    <t xml:space="preserve">
Нойков Сергей Александрович/-
</t>
  </si>
  <si>
    <t>12.1</t>
  </si>
  <si>
    <t>г. Москва, ул. Газопровод, вл. 6Г, площадка</t>
  </si>
  <si>
    <t>021396179 от 11.04.2025</t>
  </si>
  <si>
    <t>Объекты капитального строительства, расположенные на земельном (-ых) участке
(-ах) с кадастровым (-и) номером (-ами): 77:05:0008005:13599, по адресу: г. Москва, ул.
Газопровод, вл. 6Г, площадка</t>
  </si>
  <si>
    <t>01.04.2025-30.06.2026</t>
  </si>
  <si>
    <t xml:space="preserve"> Блок 5</t>
  </si>
  <si>
    <t>13</t>
  </si>
  <si>
    <t>ЧСВ-СКАЛА-ЭКСПЛ от 10.03.2025</t>
  </si>
  <si>
    <t>Блок 4</t>
  </si>
  <si>
    <t>Блок 5</t>
  </si>
  <si>
    <t>13.1</t>
  </si>
  <si>
    <t>г. Москва, Кронштадтский б-р, вл. 11, корпус 1, стр. 1.1, 1.2, 1.3 с подземным паркингом</t>
  </si>
  <si>
    <t>ЛП2-2Э-22.10-СКАЛА от 22.10.2025</t>
  </si>
  <si>
    <t xml:space="preserve">Бусиновский парк </t>
  </si>
  <si>
    <t>ИЖ-240125-ОРГстроиПл/1.3</t>
  </si>
  <si>
    <t>СКАЛА-ЭКС-КР11/С1.1-1.3 от 19.03.2024</t>
  </si>
  <si>
    <t>Объект капитального строительства,предполагаемый к размещению на
земельном (-ых) участке (-ах) с кадастровым (-и) номером (- ами): 77:09:0001020:47, по
адресу: г. Москва, Кронштадтский б-р, вл. 11 (корпус 1, стр. 1.1, 1.2, 1.3)</t>
  </si>
  <si>
    <t>01.03.2024-30.11.2026</t>
  </si>
  <si>
    <t>СОШ</t>
  </si>
  <si>
    <t>13.2</t>
  </si>
  <si>
    <t>СКАЛА-МОБ-КР11/С1.1-1.3 от 05.03.2024</t>
  </si>
  <si>
    <t>04.03.2024-30.04.2026</t>
  </si>
  <si>
    <t>паркинг</t>
  </si>
  <si>
    <t>14</t>
  </si>
  <si>
    <t>Строгино, 360</t>
  </si>
  <si>
    <t xml:space="preserve">ЛП2-2Э-31.10-СКАЛА от 31.10.2025 </t>
  </si>
  <si>
    <t>022724054 от 18.12.2025</t>
  </si>
  <si>
    <t xml:space="preserve">
Алиев Абдулагат Алиевич/                           Муртузалиев Саид Багатырович
</t>
  </si>
  <si>
    <t>14.1</t>
  </si>
  <si>
    <t>Д886616/24 от 16.10.2024</t>
  </si>
  <si>
    <t>Северный терминал</t>
  </si>
  <si>
    <t>ул. Маршала Прошлякова, ПЗЗ, Площадка</t>
  </si>
  <si>
    <t>31.12.2026*</t>
  </si>
  <si>
    <t xml:space="preserve">№022877879 от 16.01.2026 </t>
  </si>
  <si>
    <t>объекты капитального строительства, расположенные на земельном (-ых) участке
(-ах) с кадастровым (-и) номером (-ами): 77:08:0013006:2, 77:08:0013006:4, 77:08:0013001
:24, по адресу: г. Москва, ул. Маршала Прошлякова, ПЗЗ, Площадка;</t>
  </si>
  <si>
    <t xml:space="preserve">ул. Маршала Прошлякова, ПЗЗ, Площадка	
	</t>
  </si>
  <si>
    <t>Д539835/24 от 22.01.2024</t>
  </si>
  <si>
    <t>Выполнение подаем ежемесячно</t>
  </si>
  <si>
    <t>№022820238 от 29.12.2025</t>
  </si>
  <si>
    <t>объекты капитального строительства, расположенные на земельном (-ых) участке
(-ах) с кадастровым (-и) номером (-ами): 77:08:0013006:4, по адресу: г. Москва, ул. Маршала Прошлякова.</t>
  </si>
  <si>
    <t>28.11.2025- 31.05.2026</t>
  </si>
  <si>
    <t>А</t>
  </si>
  <si>
    <t>Д853011/24 от 23.09.2024</t>
  </si>
  <si>
    <t xml:space="preserve"> НЗ на доп работы</t>
  </si>
  <si>
    <t>15</t>
  </si>
  <si>
    <t>Обручева, 27 (ТАТУМ)</t>
  </si>
  <si>
    <t>Д020351113 от 29.10.2024</t>
  </si>
  <si>
    <t xml:space="preserve">
Бочаев Руслан Хасанович/
Клоков Андрей Альбертович</t>
  </si>
  <si>
    <t>15.1</t>
  </si>
  <si>
    <t xml:space="preserve">Грин парк </t>
  </si>
  <si>
    <t>г. Москва, ул. Обручева, вл. 27, Площадка</t>
  </si>
  <si>
    <t>Д1097444/25 от 10.03.2025</t>
  </si>
  <si>
    <t>№022941730 от 01.01.2026</t>
  </si>
  <si>
    <t>объекты капитального строительства, расположенные на земельном (-ых) участке
(-ах) с кадастровым (-и) номером (-ами): 77:09:0002016:7597, по адресу: г. Москва, ул.
Обручева, вл. 27</t>
  </si>
  <si>
    <t>Д861746/24 от 30.09.2024</t>
  </si>
  <si>
    <t>М</t>
  </si>
  <si>
    <t>№ОБРУЧСЗС2025 от 18.12.2025 г</t>
  </si>
  <si>
    <t>Д798942/24 от 05.08.2024</t>
  </si>
  <si>
    <t>Досфлота</t>
  </si>
  <si>
    <t>ООО "ПИК-Менеджмент"</t>
  </si>
  <si>
    <t>ДФ-СКАЛА-ЭКСПЛ от 09.02.2026</t>
  </si>
  <si>
    <t>16</t>
  </si>
  <si>
    <t>Д403755/23 от 02.02.2024</t>
  </si>
  <si>
    <t>мобилизация</t>
  </si>
  <si>
    <t>021560450 от 14.05.2025</t>
  </si>
  <si>
    <t>Д567957/24 от 05.02.2024</t>
  </si>
  <si>
    <t>Нойков Сергей Александрович/ 
Ибрагимов Мурад Арсланалиевич</t>
  </si>
  <si>
    <t>16.1</t>
  </si>
  <si>
    <t>г. Москва, 3-й Нижнелихоборский пр-д, вл. 1, корп. 3.1-3.4</t>
  </si>
  <si>
    <t>№БА85-СКАЛ-2204 от 22.04.2024</t>
  </si>
  <si>
    <t>объект капитального строительства: «Этап 1. Жилой дом, состоящий из корпусов
3.1, 3.2, 3.3, 3.4, с общественными помещениями и подземной автостоянкой. Этап 2.
Гостиница, состоящая из корпусов 3.5 и 3.6, с общественными помещениями и подземной
автостоянкой. Этап 1» по адресу: Москва, САО, район Тимирязевский, проезд
Нижнелихоборский 3-ий</t>
  </si>
  <si>
    <t xml:space="preserve">г. Москва, 3-й Нижнелихоборский пр-д, вл. 1, корп. 3.1-3.4	
	</t>
  </si>
  <si>
    <t>01.01.2024-30.06.2026</t>
  </si>
  <si>
    <t>Зелёный парк</t>
  </si>
  <si>
    <t>021324562 от 08.04.2025</t>
  </si>
  <si>
    <t>Д798825/24 от 03.08.2024</t>
  </si>
  <si>
    <t>№Д1675587/22 от 14.11.2022</t>
  </si>
  <si>
    <t>объект капитального строительства,предполагаемый к размещению на
земельном (-ых) участке (-ах) с кадастровым (-и) номером (- ами): 77:09:0003024:4155, по
адресу: г. Москва, САО, Тимирязевский, 3-й Нижнелихоборский пр, вл.1 (корп. 3.1-3.4 с
подземным паркингом)</t>
  </si>
  <si>
    <t>30.10.2022-30.06.2026*</t>
  </si>
  <si>
    <t>16.2</t>
  </si>
  <si>
    <t>г. Москва, 3-й Нижнелихоборский пр-д, вл. 1, площадка</t>
  </si>
  <si>
    <t>021928281 от 21.07.2025</t>
  </si>
  <si>
    <t>№БА85-СКАЛ-МОБ от 14.04.2023</t>
  </si>
  <si>
    <t>объекты капитального строительства, расположенные на земельном (-ых)
участке (-ах) с кадастровым (-и) номером (-ами): 77:09:0003024:4155, по адресу: г. Москва,
3-й Нижнелихоборский пр-д, вл. 1, площадка</t>
  </si>
  <si>
    <t xml:space="preserve">г. Москва, 3-й Нижнелихоборский пр-д, вл. 1, площадка	</t>
  </si>
  <si>
    <t>17.04.2023-31.06.2026*</t>
  </si>
  <si>
    <t>17</t>
  </si>
  <si>
    <t>Д812725/24 от 19.08.2024</t>
  </si>
  <si>
    <t>Кронштадтский 11</t>
  </si>
  <si>
    <t>Д791796/24 от 29.07.2024</t>
  </si>
  <si>
    <t>17.1</t>
  </si>
  <si>
    <t>г. Москва, ВДНХ, ул. Сельскохозяйственная, вл. 35, оч. 3, БНК на 270 мест с СОШ на 825 мест</t>
  </si>
  <si>
    <t>№Д1097444/25 от 10.03.2025</t>
  </si>
  <si>
    <t>объект капитального строительства: «Школьное здание на 825 мест» по адресу:
Москва, СВАО, внутригородская территория муниципальный округ Отрадное, ул.
Сельскохозяйственная</t>
  </si>
  <si>
    <t xml:space="preserve">г. Москва, ВДНХ, ул. Сельскохозяйственная, вл. 35, оч. 3, БНК на 270 мест с СОШ на 825 мест	
	</t>
  </si>
  <si>
    <t>Д570794/24 от 24.01.2024</t>
  </si>
  <si>
    <t>№022286388 от 10.10.202</t>
  </si>
  <si>
    <t>объект капитального строительства: «Школьное здание на 825 мест с
пристроенным зданием блока начальных классов на 270 мест» по адресу: Москва, СВАО,
внутригородская территория муниципальный округ Отрадное, ул. Сельскохозяйственная, зу 35/1, вл. 35</t>
  </si>
  <si>
    <t>Мобилизация электрика</t>
  </si>
  <si>
    <t>12.09.2025-30.06.2026*</t>
  </si>
  <si>
    <t xml:space="preserve">Люберецкий </t>
  </si>
  <si>
    <t>20992060 от 06.02.2025</t>
  </si>
  <si>
    <t>18</t>
  </si>
  <si>
    <t>Сигнальный 16</t>
  </si>
  <si>
    <t>Жду ответа от Бочаева     к17</t>
  </si>
  <si>
    <t>Д413965/23 от 20.10.2023</t>
  </si>
  <si>
    <t>ЛП72-17-2205-СКАЛА от 22.05.2026</t>
  </si>
  <si>
    <t>18.1</t>
  </si>
  <si>
    <t>г. Москва, Сигнальный пр-д, вл. 16, блок 2, корп. 2.1.2, 2.1.3, 2.2 с подземным паркингом</t>
  </si>
  <si>
    <t>Жду ответа от Бочаева     к19</t>
  </si>
  <si>
    <t>№022257183 от 22.09.2025</t>
  </si>
  <si>
    <t>объект капитального строительства: «Общественно-жилая застройка с объектами
социальной инфраструктуры. 2 этап - жилой комплекс с подземной стоянкой автомобилей»
по адресу: СВАО, Отрадное, Сигнальный проезд, влд. 16, стр.2</t>
  </si>
  <si>
    <t xml:space="preserve">г. Москва, Сигнальный пр-д, вл. 16, блок 2, корп. 2.1.2, 2.1.3, 2.2 с подземным паркингом	
	</t>
  </si>
  <si>
    <t>01.08.2025-31.05.2026</t>
  </si>
  <si>
    <t>Д572864/24 от 08.02.2024</t>
  </si>
  <si>
    <t>Подаем через диадок</t>
  </si>
  <si>
    <t>ЛП72-19-2005-СКАЛА от 20.05.2026</t>
  </si>
  <si>
    <t xml:space="preserve">Д022031645-АМУР от 08.08.2025 </t>
  </si>
  <si>
    <t>№016922599 от 24.05.2023</t>
  </si>
  <si>
    <t>объект капитального строительства: «Общественно-жилая застройка с объектами
социальной инфраструктуры. 2 этап - жилой комплекс с подземной стоянкой
автомобилей» по адресу: СВАО, Отрадное, Сигнальный проезд, влд. 16, стр.2</t>
  </si>
  <si>
    <t>12.05.2023-30.06.2026*</t>
  </si>
  <si>
    <t>Жду ответа от Бочаева     к18-20</t>
  </si>
  <si>
    <t>18.2</t>
  </si>
  <si>
    <t xml:space="preserve"> г. Москва, Сигнальный пр-д, вл. 16, СОШ на 600 мест</t>
  </si>
  <si>
    <t>Д1560971/26 от 26.05.2026</t>
  </si>
  <si>
    <t>№МОБИЛИЗАЦИЯ-СИГН16 от 08.04.2024</t>
  </si>
  <si>
    <t>Д263913/23 от 29.06.2023</t>
  </si>
  <si>
    <t>объект капитального строительства: «Школьное здание на 600 мест» по адресу:
Москва, СВАО, Отрадное, проезд Сигнальный, вл. 16, строение 27/1</t>
  </si>
  <si>
    <t xml:space="preserve"> г. Москва, Сигнальный пр-д, вл. 16, СОШ на 600 мест	
	</t>
  </si>
  <si>
    <t xml:space="preserve">Д403755/23-АМУР от 13.10.2023                     </t>
  </si>
  <si>
    <t>01.02.2024-30.06.2026*</t>
  </si>
  <si>
    <t>Жду ответа от Бочаева     к16ил</t>
  </si>
  <si>
    <t>№Д1805364/23 от 09.03.2023</t>
  </si>
  <si>
    <t>объект капитального строительства: «Дошкольная образовательная организация
на 250 мест» по адресу: Москва, СВАО, Отрадное, Сигнальный проезд, влд. 16, стр. 2</t>
  </si>
  <si>
    <t>28.11.2022-30.06.2026*</t>
  </si>
  <si>
    <t>БА85-СКАЛ-2204 от 22.04.2024</t>
  </si>
  <si>
    <t>19</t>
  </si>
  <si>
    <t>Д1543313/26 от 06.05.2026</t>
  </si>
  <si>
    <t>Жду ответа от Бочаева     к14ил</t>
  </si>
  <si>
    <t>7.19</t>
  </si>
  <si>
    <t>Д1329441/25 от 08.10.2025</t>
  </si>
  <si>
    <t>к32</t>
  </si>
  <si>
    <t>7.20</t>
  </si>
  <si>
    <t>к33</t>
  </si>
  <si>
    <t>Нойков Сергей Александрович/                         Абдурахимов Шохджахон Шухратович</t>
  </si>
  <si>
    <t>19.1</t>
  </si>
  <si>
    <t>ул. Амурская, вл. 2, Блок 4, этап 4.1 с БКФН и подз. паркингом</t>
  </si>
  <si>
    <t>№Д17068382-АМУР от 01.06.2023</t>
  </si>
  <si>
    <t>объект капитального строительства,предполагаемый к размещению на
земельном (-ых) участке (-ах) с кадастровым (-и) номером (- ами): 77:03:0002007:2154, по
адресу: г. Москва, ул. Амурская, вл. 2 А/1 (4)</t>
  </si>
  <si>
    <t xml:space="preserve">ул. Амурская, вл. 2, Блок 4, этап 4.1 с БКФН и подз. паркингом              </t>
  </si>
  <si>
    <t>СК отклонил без пояснений</t>
  </si>
  <si>
    <t>01.06.2023-31.12.2026</t>
  </si>
  <si>
    <t>к34</t>
  </si>
  <si>
    <t>7.21</t>
  </si>
  <si>
    <t>Д1330628/25 от 09.10.2025</t>
  </si>
  <si>
    <t>Объект капитального строительства: «Многоэтажный жилой дом корпус 19 (Этап
23) в составе комплексной общественно-жилой застройки» по адресу: г. Москва, ул.
Люблинская, вл. 72</t>
  </si>
  <si>
    <t>№Д022032386-АМУР от 08.08.2025</t>
  </si>
  <si>
    <t>объект капитального строительства: «Жилая застройка с объектами социальной
инфраструктуры, Этап 4.1» по адресу: Москва, ВАО, г. Москва, Гольяново, ул. Амурская,
вл. 2А/1</t>
  </si>
  <si>
    <t>к12</t>
  </si>
  <si>
    <t>05.08.2025-30.06.2026*</t>
  </si>
  <si>
    <t>7.22</t>
  </si>
  <si>
    <t>№Д022031645-АМУР от 08.08.2025</t>
  </si>
  <si>
    <t>№ Д022026864-АМУР от 07.08.2025</t>
  </si>
  <si>
    <t>Демонтаж</t>
  </si>
  <si>
    <t>07.08.2025-30.06.2026*</t>
  </si>
  <si>
    <t>к18-20</t>
  </si>
  <si>
    <t>7.23</t>
  </si>
  <si>
    <t>№023185883-АМУР от 13.03.2026</t>
  </si>
  <si>
    <t>Врем дороги</t>
  </si>
  <si>
    <t>06.03.2026-31.05.2026</t>
  </si>
  <si>
    <t>Д1330623/25 от 09.10.2025</t>
  </si>
  <si>
    <t>30.11.2026*</t>
  </si>
  <si>
    <t>19.2</t>
  </si>
  <si>
    <t>ул. Амурская, д. 2, блок 1, корп. 1.1-1.5</t>
  </si>
  <si>
    <t>№Д021922847-АМУР от 18.07.2025</t>
  </si>
  <si>
    <t>объект капитального строительства: «Жилая застройка с объектами социальной
инфраструктуры, 3 этап строительства» по адресу: Москва, ул.Амурская (ВАО, район
Гольяново)</t>
  </si>
  <si>
    <t xml:space="preserve">ул. Амурская, д. 2, блок 1, корп. 1.1-1.5        </t>
  </si>
  <si>
    <t>18.07.2025-30.04.2026</t>
  </si>
  <si>
    <t>СК отклонил с комментом,
что нет ИГС, когда она есть</t>
  </si>
  <si>
    <t>Блок 5 (РВР)</t>
  </si>
  <si>
    <t>№021532237 от 07.05.2025</t>
  </si>
  <si>
    <t>23.04.2025-30.06.2026</t>
  </si>
  <si>
    <t>к17</t>
  </si>
  <si>
    <t>БП5.1-5.4_4 от 21.07.2026</t>
  </si>
  <si>
    <t>7.24</t>
  </si>
  <si>
    <t>19.3</t>
  </si>
  <si>
    <t>№АМУР-ДОО-СКАЛА от 12.03.2024</t>
  </si>
  <si>
    <t>объект капитального строительства: «Дошкольная образовательная организация
на 250 мест» по адресу: Москва, ВАО, Гольяново, ул.Амурская вл.2</t>
  </si>
  <si>
    <t xml:space="preserve">№Д403755/23-АМУР от 13.10.2023 </t>
  </si>
  <si>
    <t>30.10.2023-30.06.2026*</t>
  </si>
  <si>
    <t>20</t>
  </si>
  <si>
    <t>СК отклонил с комментом,
что работы не выполнены</t>
  </si>
  <si>
    <t xml:space="preserve">
Бочаев Руслан Хасанович/
Джабаров Ботирбек Абдушукурович</t>
  </si>
  <si>
    <t>20.1</t>
  </si>
  <si>
    <t>Люберцы, ЖК Люберецкий, площадка</t>
  </si>
  <si>
    <t>№020992060 от 06.02.2025</t>
  </si>
  <si>
    <t>- объекты капитального строительства, расположенные на земельном (-ых)
участке (-ах) с кадастровым (-и) номером (-ами): 50:22:0010105:33806, по
адресу: Московская область, Люберецкий район, г. Люберцы, район Красная горка, мкр.
12.</t>
  </si>
  <si>
    <t xml:space="preserve">Люберцы, ЖК Люберецкий, площадка	</t>
  </si>
  <si>
    <t>01.02.2025-30.06.2026</t>
  </si>
  <si>
    <t>СРД-ПЛ-СР от 30.05.2024</t>
  </si>
  <si>
    <t>Площадка по НЗ</t>
  </si>
  <si>
    <t>21</t>
  </si>
  <si>
    <t>024112230 от 21.08.2026</t>
  </si>
  <si>
    <t xml:space="preserve">Нойков Сергей Александрович/-
</t>
  </si>
  <si>
    <t>21.1</t>
  </si>
  <si>
    <t>г. Москва, Марьина роща, Складочная улица, вл.6, СОШ на 650 мест</t>
  </si>
  <si>
    <t>№021495668 от 01.04.2025</t>
  </si>
  <si>
    <t>01.03.2025-30.09.2026</t>
  </si>
  <si>
    <t>в диадоке напрямую</t>
  </si>
  <si>
    <t>СЕР-СКАЛ -МОБ-4.3 от 24.01.2024</t>
  </si>
  <si>
    <t>30.04.2026*</t>
  </si>
  <si>
    <t>21.2</t>
  </si>
  <si>
    <t>ДС!!!!!!!! 10 июля</t>
  </si>
  <si>
    <t xml:space="preserve">«Общеобразовательная организация на 1650 мест по адресу: г.Москва, НАО, город Московский, район тепличного комбината №1, третий микрорайон, квартал 2». </t>
  </si>
  <si>
    <t>№ПМ/СОШ8/ПП от 03.12.2025</t>
  </si>
  <si>
    <t>Эксплуатация и мобилизация</t>
  </si>
  <si>
    <t>дек 2025 - авг 2027</t>
  </si>
  <si>
    <t>к работе приступили в марте</t>
  </si>
  <si>
    <t>22</t>
  </si>
  <si>
    <t>Досфлота, 10</t>
  </si>
  <si>
    <t>СРД-4.1-МОБ-Скл от 06.12.2022</t>
  </si>
  <si>
    <t>022286388 от 10.10.2025</t>
  </si>
  <si>
    <t>01.06.2026*</t>
  </si>
  <si>
    <t>22.1</t>
  </si>
  <si>
    <t>«Центральная футбольная академия ДИНАМО. Этап 1» по адресу: Москва, СЗАО, г. Москва, Южное Тушино, проезд Досфлота</t>
  </si>
  <si>
    <t>№ДФ-СКАЛА-ЭКСПЛ от 09.02.2026</t>
  </si>
  <si>
    <t xml:space="preserve">Эксплуатация </t>
  </si>
  <si>
    <t>01.01.2026-21.01.2027</t>
  </si>
  <si>
    <t>выполнение в апреле</t>
  </si>
  <si>
    <t>22.2</t>
  </si>
  <si>
    <t>Центральная Футбольная Академия Динамо  
г. Москва, пр-д Досфлота, вл.10</t>
  </si>
  <si>
    <t>№021560450 от 14.05.25</t>
  </si>
  <si>
    <t>022941730 от 01.01.2026</t>
  </si>
  <si>
    <t>01.04.2025-21.12.2025</t>
  </si>
  <si>
    <t>ЗАКАЗЧИК НДК</t>
  </si>
  <si>
    <t>Общая стоимость по Заказчику НДК, руб.</t>
  </si>
  <si>
    <t>ОБРУЧСЗС2025 от 18.12.2025</t>
  </si>
  <si>
    <t>Эксплуатация 1, 2 корпус</t>
  </si>
  <si>
    <t>Первый Московский Фаза 9, 1-2</t>
  </si>
  <si>
    <t>ПП/9/1-2 от 26.05.2023</t>
  </si>
  <si>
    <t>Эксплуатация 3, 4 корпус</t>
  </si>
  <si>
    <t>Первый Московский Фаза 9 , 3-4</t>
  </si>
  <si>
    <t>ПП/9/3-4 от 20.08.2024</t>
  </si>
  <si>
    <t>КИН (Ленингадское шоссе)</t>
  </si>
  <si>
    <t>Скала_25_моб от 24.02.2025</t>
  </si>
  <si>
    <t xml:space="preserve">     к16ил</t>
  </si>
  <si>
    <t>Эксплуатация 1 корпус</t>
  </si>
  <si>
    <t>Рассказовка Фаза 13</t>
  </si>
  <si>
    <t>ПБ/ПП/13Ф от 21.11.2025</t>
  </si>
  <si>
    <t>Первый Московский фаза 9 , ДОО на 350 мест</t>
  </si>
  <si>
    <t>№ПМ/ДОО/ПП от 27.11.2025</t>
  </si>
  <si>
    <t>«Дошкольная образовательная организация на 350 мест по адресу: г. Москва, НАО, г. Московский, район тепличного комбината №1, третий микрорайон, квартал 3».</t>
  </si>
  <si>
    <t>часть земельного участка с кадастровым номером 77:17:0110205:24062</t>
  </si>
  <si>
    <t>Эксплуатация 2 корпус 3 месяца</t>
  </si>
  <si>
    <t>Отклонен</t>
  </si>
  <si>
    <t xml:space="preserve">   к14ил</t>
  </si>
  <si>
    <t>Петропавловских Александр Павлович/        Гулиев Шахин Афсар Оглы</t>
  </si>
  <si>
    <t>Первый Московский фаза 8.2, школа на 1650 мест</t>
  </si>
  <si>
    <t>№ ПМ/СОШ8/ПП от 03.12.2025г.</t>
  </si>
  <si>
    <t>«Общеобразовательная организация на 1650 мест по адресу: г.Москва, НАО, город Московский, район тепличного комбината №1, третий микрорайон, квартал 2».</t>
  </si>
  <si>
    <t>часть земельного участка с кадастровым номером 77:17:0110205:24059 по адресу: г.Москва, поселение Московский, г. Московский, ул. Лаптева, з/у 2</t>
  </si>
  <si>
    <t>март 26-сент 28</t>
  </si>
  <si>
    <t>Рассказовка Фаза 12</t>
  </si>
  <si>
    <t>№ПБ/Ф12/П-300 от 11.11.2025</t>
  </si>
  <si>
    <t>Штаб строительства для обслуживания объекта строительства «Третья очередь строительства жилой застройки по адресу: г. Москва, пос. Внуковское, д. Рассказовка, 13 квартал. Жилые корпуса 1, 2»</t>
  </si>
  <si>
    <t>г. Москва, пос. Внуковское, д. Рассказовка, 13 квартал</t>
  </si>
  <si>
    <t>11.11.2025 - 15.03.2026</t>
  </si>
  <si>
    <t>2 корпус_земля</t>
  </si>
  <si>
    <t>Бочаев Руслан Хасанович/                                Ациев Абдулгалим Рабаданович,                                 Хасаев Рашид Амаршаевич</t>
  </si>
  <si>
    <t>Ожидаем подписание ДС лдя подачи выполнения под факт работ</t>
  </si>
  <si>
    <t>Рассказовка Фаза 13 корпус 1</t>
  </si>
  <si>
    <t>№ПБ/ПП/13Ф от 21.11.2025</t>
  </si>
  <si>
    <t>Объект капитального строительства «Третья очередь строительства жилой
застройки по адресу: г. Москва, пос. Внуковское, д. Рассказовка, 13 квартал, Жилые корпуса 1, 2».</t>
  </si>
  <si>
    <t>г. Москва, пос. Внуковское, д. Рассказовка, 13 квартал, Жилые корпуса 1, 2</t>
  </si>
  <si>
    <t>01.09.2025 - 31.08.2029</t>
  </si>
  <si>
    <t>Рассказовка Фаза 13 корпус 2</t>
  </si>
  <si>
    <t>Подготовительные работы</t>
  </si>
  <si>
    <t>Рассказовка Фаза 18</t>
  </si>
  <si>
    <t>ПБ/ЗЕМ/Ф18 от 05.02.2025</t>
  </si>
  <si>
    <t>Рассказовка Фаза 13 электрика</t>
  </si>
  <si>
    <t>Дополнительное соглашение № 1
к Договору подряда № ПБ/ПП/13Ф от 21.11.2025г.</t>
  </si>
  <si>
    <t>01.09.2025 - 15.05.2026</t>
  </si>
  <si>
    <t>Бочаев Руслан Хасанович /  
Цегельник Андрей Юльевич</t>
  </si>
  <si>
    <t>Рассказовка Фаза 18 корпус 1</t>
  </si>
  <si>
    <t>Эксплуатация корпуса 1,</t>
  </si>
  <si>
    <t>№ПБ/ЗЕМ/Ф18 от 05.02.2025</t>
  </si>
  <si>
    <t>Объект капитального строительства «Третья очередь строительства жилой застройки по адресу: г. Москва, пос.Внуковское, д.Рассказовка, 18 квартал, Жилые корпуса 1, 2».</t>
  </si>
  <si>
    <t>г. Москва, пос.Внуковское, д.Рассказовка, 18 квартал, Жилые корпуса 1, 2</t>
  </si>
  <si>
    <t>05.02.2025 - 15.03.2027</t>
  </si>
  <si>
    <t>ПБ/ПЛОЩАДКА/Ф18 от 18.04.2025</t>
  </si>
  <si>
    <t>Рассказовка Фаза 18 корпус 2</t>
  </si>
  <si>
    <t>к12 (уборка за территорией ЖК зимой)</t>
  </si>
  <si>
    <t>эксплуатация/мобилизация</t>
  </si>
  <si>
    <t>Первый Московский фаза 11 парковка</t>
  </si>
  <si>
    <t xml:space="preserve">Рассказовка Фаза 18 </t>
  </si>
  <si>
    <t>№ПБ/ПЛОЩАДКА/Ф18 от 18.04.2025</t>
  </si>
  <si>
    <t xml:space="preserve">ПМ/Ф11/Авт2/ПП от 24.03.2026 </t>
  </si>
  <si>
    <t>18.04.2025 - 31.10.2026</t>
  </si>
  <si>
    <t>Первый Московский фаза 9 корпуса 1, 2</t>
  </si>
  <si>
    <t>№ПП/9/1-2 от 26.05.2023</t>
  </si>
  <si>
    <t xml:space="preserve">Жилая застройка на земельных участках тепличного комбината №1 в г.Московский. Третий микрорайон. Квартал 3. Корпуса №№1,2» </t>
  </si>
  <si>
    <t>г. Москва, НАО, город Московский, район Тепличного комбината №1.</t>
  </si>
  <si>
    <t>26.05.2023 - 31.10.2026</t>
  </si>
  <si>
    <t>Первый Московский фаза 9 корпуса 3, 4</t>
  </si>
  <si>
    <t>№ПП/9/3-4 от 20.08.2024</t>
  </si>
  <si>
    <t>Жилая застройка на земельных участках Тепличного комбината № 1 в городе Московский. Третий микрорайон. Квартал 3. Корпус 3,4</t>
  </si>
  <si>
    <t>20.08.2024 - 30.11.2027</t>
  </si>
  <si>
    <t>Первый Московский фаза 7 корпус 3</t>
  </si>
  <si>
    <t>№ПМ/Ф7.2/К3/СКАЛ от 25.06.2025</t>
  </si>
  <si>
    <t>Устройство временной дороги для Объекта: Жилая застройка на земельных участках Тепличного комбината №1 в г.Московский. Третий микрорайон. Квартал 2. Корпус 3 по адресу: г.Москва, НАО, поселение Московский, город Московский, ул.Лаптева, з/у 2</t>
  </si>
  <si>
    <t>г.Москва, НАО, поселение Московский, город Московский, ул.Лаптева, з/у 2</t>
  </si>
  <si>
    <t>25.06.2025 - 31.12.2025</t>
  </si>
  <si>
    <t>Первый Московский ф 11 Автопарковка №2</t>
  </si>
  <si>
    <t xml:space="preserve">№ПМ/Ф11/Авт2/ПП от 24.03.2026 </t>
  </si>
  <si>
    <t>часть земельного участка с кадастровым номером №77:17:0110205:27010</t>
  </si>
  <si>
    <t>Мобилизация и Эксплуатация</t>
  </si>
  <si>
    <t>01.12.2025-31.11.2028</t>
  </si>
  <si>
    <t>МОБ 4 кв</t>
  </si>
  <si>
    <t>Экспл Городок</t>
  </si>
  <si>
    <t>Недобачий Руслан Владимирович/        Гулиев Шахин Афсар Оглы</t>
  </si>
  <si>
    <t>Первый Московский ф 7 ДОО</t>
  </si>
  <si>
    <t>№ ПМ/Ф7.1/ДОО-Сод от 09.02.2026</t>
  </si>
  <si>
    <t>«Дошкольная образовательная организация на 350 мест» по адресу: г. Москва, НАО, город Московский, район Тепличного комбината №1, третий микрорайон, квартал 2. Земельный участок с кадастровым номером 77:17:0110205:24059 по адресу: г. Москва, поселение Московский, г. Московский ул. Лаптева, з/у 2»</t>
  </si>
  <si>
    <t>Земельный участок с кадастровым номером 77:17:0110205:24059 по адресу: г. Москва, поселение Московский, г. Московский ул. Лаптева, з/у 2»</t>
  </si>
  <si>
    <t>01.01.2026-31.06.2026</t>
  </si>
  <si>
    <t xml:space="preserve">Агрокомбинат Штаб строительства </t>
  </si>
  <si>
    <t>ВТ-27.10.25 от 27.10.2025 г.</t>
  </si>
  <si>
    <t>Временное модульное здание с фундаментом в 2 этажа площадью 648 кв.м. по адресу: Российская Федерация, г. Москва, внутригородская территория поселение Московский, г. Московский, ул. Солнечная, земельный участок с кадастровым номером 77:17:0000000:18002</t>
  </si>
  <si>
    <t>г. Москва, г. Московский, ул. Солнечная</t>
  </si>
  <si>
    <t>Строительно-монтажные работы</t>
  </si>
  <si>
    <t>25.05.2026-30.06.2026</t>
  </si>
  <si>
    <t>Недобачий Руслан Владимирович</t>
  </si>
  <si>
    <t>ЭКСП Среда</t>
  </si>
  <si>
    <t>ЭКСП 4 квартал</t>
  </si>
  <si>
    <t>до 25.08. ориентир</t>
  </si>
  <si>
    <t>11.3</t>
  </si>
  <si>
    <t>Экспл кадастры</t>
  </si>
  <si>
    <t>11.4</t>
  </si>
  <si>
    <t>Экспл Проезд</t>
  </si>
  <si>
    <t>до 21.08. ориентир</t>
  </si>
  <si>
    <t>11.5</t>
  </si>
  <si>
    <t>ОБРУЧСЗС2025 от 18.12.2025 г</t>
  </si>
  <si>
    <t>11.6</t>
  </si>
  <si>
    <t>Первый Московский Фаза 9, ДОО</t>
  </si>
  <si>
    <t>11.7</t>
  </si>
  <si>
    <t>ПМ/ДОО9/ПП от 27 ноября 2025</t>
  </si>
  <si>
    <t>г. Москва, ул. Ижорская, вл. 6, Коровинское ш., вл. 35, площадка (23-25 блок)</t>
  </si>
  <si>
    <t>сказали оплачено, но в акте свеки нет 21.08</t>
  </si>
  <si>
    <t>023880269 от 10.07.2026</t>
  </si>
  <si>
    <t>016922599 от 24.05.2023</t>
  </si>
  <si>
    <t>Первый Московский Фаза 8.2, СОШ</t>
  </si>
  <si>
    <t>ПМ/СОШ8/ПП от 03 января 2025</t>
  </si>
  <si>
    <t>11.8</t>
  </si>
  <si>
    <t>МОБИЛИЗАЦИЯ-СИГН16 от 08.04.2024</t>
  </si>
  <si>
    <t>11.9</t>
  </si>
  <si>
    <t xml:space="preserve">Строгино </t>
  </si>
  <si>
    <t>022877879 от 16.01.2026</t>
  </si>
  <si>
    <t>11.10</t>
  </si>
  <si>
    <t>022820238 от 29.12.2025</t>
  </si>
  <si>
    <t>11.11</t>
  </si>
  <si>
    <t>исполнитель</t>
  </si>
  <si>
    <t>11.12</t>
  </si>
  <si>
    <t xml:space="preserve">подано </t>
  </si>
  <si>
    <t>ПОДАНО КС</t>
  </si>
  <si>
    <t>ОБЩЕЕ</t>
  </si>
  <si>
    <t>ЗЕМЛЯНЫЕ РАБОТЫ</t>
  </si>
  <si>
    <t>ПОДГОТОВИТЕЛЬНЫЕ РАБОТЫ</t>
  </si>
  <si>
    <t>12.2</t>
  </si>
  <si>
    <t>ЭКСПЛУАТАЦИЯ</t>
  </si>
  <si>
    <t>ВОДОПОНИЖЕНИЕ</t>
  </si>
  <si>
    <t>июль-август 2026</t>
  </si>
  <si>
    <t>ЭЛЕКТРОМОНТАЖНЫЕ РАБОТЫ</t>
  </si>
  <si>
    <t>022257183 от 22.09.2025</t>
  </si>
  <si>
    <t>ПО СТАТУСУ КС</t>
  </si>
  <si>
    <t>На согласовании СК</t>
  </si>
  <si>
    <t>021562613 от 14.05.2025</t>
  </si>
  <si>
    <t>195 273,00</t>
  </si>
  <si>
    <t>На согласовании ДС</t>
  </si>
  <si>
    <t>Ожидается подпись контрагента (бумага, диадок)</t>
  </si>
  <si>
    <t>На согласовании подрядчика</t>
  </si>
  <si>
    <t>14.2</t>
  </si>
  <si>
    <t>Согласован</t>
  </si>
  <si>
    <t>С</t>
  </si>
  <si>
    <t>На подписании подрядчика</t>
  </si>
  <si>
    <t>Строгино</t>
  </si>
  <si>
    <t>Подписан подрядчиком</t>
  </si>
  <si>
    <t xml:space="preserve">022877879 от 16.01.2026 </t>
  </si>
  <si>
    <t>15.2</t>
  </si>
  <si>
    <t>Ведутся работы</t>
  </si>
  <si>
    <t>15.3</t>
  </si>
  <si>
    <t>Сформирован</t>
  </si>
  <si>
    <t>г. Москва, ул. Маршала Воробьева, вл. 12, Очередь (Комфорт)</t>
  </si>
  <si>
    <t>023922476 от 17.07.2026</t>
  </si>
  <si>
    <t xml:space="preserve">объекты капитального строительства, расположенные на земельном (-ых) участке (-ах) с кадастровым (-и) номером (-ами): 77:08:0013001:60, по адресу: РФ, город Москва,вн.тер.г.муниципальный округ Строгино, улица Маршала Прошлякова, земельный участок 10 </t>
  </si>
  <si>
    <t>08.07.2026</t>
  </si>
  <si>
    <t>30.09.2026</t>
  </si>
  <si>
    <t>Удален</t>
  </si>
  <si>
    <t>15.4</t>
  </si>
  <si>
    <t>г. Москва, ул. Маршала Воробьева, вл. 12, Очередь (Комфорт). ПИК-УК ООО с СКАЛА ООО</t>
  </si>
  <si>
    <t>023723018 от 17.06.2026</t>
  </si>
  <si>
    <t>объекты капитального строительства, расположенные на земельном (-ых) участке (-ах) с кадастровым (-и) номером (-ами): 77:08:0013001:10, 77:08:0013001:60, по адресу: Российская Федерация, город Москва, вн.тер.г. муниципальный округ Строгино, улица Маршала Прошлякова, земельный участок 12/1 и земельный участок 10</t>
  </si>
  <si>
    <t>Содержание</t>
  </si>
  <si>
    <t>01.06.2026</t>
  </si>
  <si>
    <t>31.05.2027</t>
  </si>
  <si>
    <t>Д1675587/22 от 14.11.2022</t>
  </si>
  <si>
    <t>17.2</t>
  </si>
  <si>
    <t>БА85-СКАЛ-МОБ от 14.04.2023</t>
  </si>
  <si>
    <t>31.06.2026*</t>
  </si>
  <si>
    <t>Д1805364/23 от 09.03.2023</t>
  </si>
  <si>
    <t>20.2</t>
  </si>
  <si>
    <t>20.3</t>
  </si>
  <si>
    <t>Д022031645-АМУР от 08.08.2025</t>
  </si>
  <si>
    <t>20.4</t>
  </si>
  <si>
    <t>Д022026864-АМУР от 07.08.2025</t>
  </si>
  <si>
    <t>20.5</t>
  </si>
  <si>
    <t>Д021898953-АМУР от 15.07.2025</t>
  </si>
  <si>
    <t>20.6</t>
  </si>
  <si>
    <t>023185883-АМУР от 13.03.2026</t>
  </si>
  <si>
    <t>20.7</t>
  </si>
  <si>
    <t>Д021922847-АМУР от 18.07.2025</t>
  </si>
  <si>
    <t>20.8</t>
  </si>
  <si>
    <t>021532237 от 07.05.2025</t>
  </si>
  <si>
    <t>20.9</t>
  </si>
  <si>
    <t>20.10</t>
  </si>
  <si>
    <t xml:space="preserve">Д403755/23-АМУР от 13.10.2023 </t>
  </si>
  <si>
    <t>SUM из Итого в КС, руб</t>
  </si>
  <si>
    <t>О</t>
  </si>
  <si>
    <t>пр-кт Маршала Жукова, 25к1</t>
  </si>
  <si>
    <t>ООО "ГП-РЕНОВАЦИЯ"</t>
  </si>
  <si>
    <t xml:space="preserve">
Алиев Абдулагат Алиевич                                 
</t>
  </si>
  <si>
    <t>г. Москва, в.г.о. Хорошёво-Мнёвники, пр-кт Маршала
Жукова, 25к1</t>
  </si>
  <si>
    <t>СКАЛ-ЭКС1-ЖУК от 11.09.2026</t>
  </si>
  <si>
    <t>Новый договор</t>
  </si>
  <si>
    <t>СК безосновательно отклонил</t>
  </si>
  <si>
    <t>ПМ/ДОО/ПП от 27.11.2025</t>
  </si>
  <si>
    <t>СК порезал</t>
  </si>
  <si>
    <t>ПМ/СОШ8/ПП от 03.12.2025г.</t>
  </si>
  <si>
    <t>ПБ/Ф12/П-300 от 11.11.2025</t>
  </si>
  <si>
    <t>11.11.2025</t>
  </si>
  <si>
    <t>15.03.2026</t>
  </si>
  <si>
    <t>23-25</t>
  </si>
  <si>
    <t>01.09.2025</t>
  </si>
  <si>
    <t>31.08.2029</t>
  </si>
  <si>
    <t>Дополнительное соглашение  1
к Договору подряда  ПБ/ПП/13Ф от 21.11.2025г.</t>
  </si>
  <si>
    <t>15.05.2026</t>
  </si>
  <si>
    <t>05.02.2025</t>
  </si>
  <si>
    <t>15.03.2027</t>
  </si>
  <si>
    <t>Маршала Жукова, 25к1</t>
  </si>
  <si>
    <t>2.4 (по допнику)</t>
  </si>
  <si>
    <t>18.04.2025</t>
  </si>
  <si>
    <t>31.10.2026</t>
  </si>
  <si>
    <t>26.05.2023</t>
  </si>
  <si>
    <t>20.08.2024</t>
  </si>
  <si>
    <t>30.11.2027</t>
  </si>
  <si>
    <t>Первый Московский Фаза 7.1, ДОО</t>
  </si>
  <si>
    <t>Первый Московский Фаза 7.2</t>
  </si>
  <si>
    <t>Первый Московский фаза 8.2</t>
  </si>
  <si>
    <t>ПМ/Ф7.2/К3/СКАЛ от 25.06.2025</t>
  </si>
  <si>
    <t>25.06.2025</t>
  </si>
  <si>
    <t>31.07.2026</t>
  </si>
  <si>
    <t>Первый Московский фаза 9</t>
  </si>
  <si>
    <t>31.11.2028</t>
  </si>
  <si>
    <t>ПМ/Ф7.1/ДОО-Сод от 09.02.2026</t>
  </si>
  <si>
    <t>31.06.2026</t>
  </si>
  <si>
    <t>переподал по просьбе СК</t>
  </si>
  <si>
    <t xml:space="preserve">   к18-20</t>
  </si>
  <si>
    <t xml:space="preserve">  к17</t>
  </si>
  <si>
    <t xml:space="preserve">   к19</t>
  </si>
  <si>
    <t>Итого</t>
  </si>
  <si>
    <t>к19</t>
  </si>
  <si>
    <t>экспл городок (без дорог)</t>
  </si>
  <si>
    <t>МОБ Среда</t>
  </si>
  <si>
    <t>электрика</t>
  </si>
  <si>
    <t>МОБ Площадка</t>
  </si>
  <si>
    <t>ПОДАНО В Сентября</t>
  </si>
  <si>
    <t>ПОДАНО в СЕНТЯБРЕ</t>
  </si>
  <si>
    <t>ПОДАНО В Сентябре</t>
  </si>
  <si>
    <t>Эксплуатация 2 корпус</t>
  </si>
  <si>
    <t>ПОДАНО в Сентябре за 4 месяца</t>
  </si>
  <si>
    <t>н</t>
  </si>
  <si>
    <t>Подано в Сентябре</t>
  </si>
  <si>
    <t>ПОДАНО В ИЮНЕ</t>
  </si>
  <si>
    <t>ПМ/СОШ8/ПП от 03.01.2025</t>
  </si>
  <si>
    <t>пик</t>
  </si>
  <si>
    <t>024308834 от 29.09.2026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</si>
</sst>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.mm.yyyy"/>
    <numFmt numFmtId="165" formatCode="d.m.yyyy"/>
    <numFmt numFmtId="166" formatCode="#,##0.00;(#,##0.00)"/>
    <numFmt numFmtId="167" formatCode="d mmmm yyyy h:mm"/>
    <numFmt numFmtId="168" formatCode="dd.MM.yyyy"/>
    <numFmt numFmtId="169" formatCode="dd&quot;.&quot;mm&quot;.&quot;yy"/>
    <numFmt numFmtId="170" formatCode="d.m"/>
    <numFmt numFmtId="171" formatCode="d/m"/>
    <numFmt numFmtId="172" formatCode="dd.mm.yy"/>
  </numFmts>
  <fonts count="115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rgb="FF000000"/>
      <name val="Times New Roman"/>
    </font>
    <font>
      <b/>
      <sz val="18.0"/>
      <color theme="1"/>
      <name val="Calibri"/>
    </font>
    <font>
      <b/>
      <sz val="18.0"/>
      <color rgb="FF000000"/>
      <name val="Times New Roman"/>
    </font>
    <font/>
    <font>
      <i/>
      <u/>
      <sz val="17.0"/>
      <color rgb="FF0000FF"/>
      <name val="Times New Roman"/>
    </font>
    <font>
      <sz val="14.0"/>
      <color theme="1"/>
      <name val="Calibri"/>
    </font>
    <font>
      <sz val="12.0"/>
      <color rgb="FF000000"/>
      <name val="Times New Roman"/>
    </font>
    <font>
      <b/>
      <sz val="13.0"/>
      <color rgb="FF000000"/>
      <name val="Times New Roman"/>
    </font>
    <font>
      <sz val="8.0"/>
      <color theme="1"/>
      <name val="Calibri"/>
    </font>
    <font>
      <b/>
      <sz val="11.0"/>
      <color rgb="FF000000"/>
      <name val="Times New Roman"/>
    </font>
    <font>
      <b/>
      <sz val="11.0"/>
      <color rgb="FF666666"/>
      <name val="Times New Roman"/>
    </font>
    <font>
      <b/>
      <sz val="13.0"/>
      <color theme="1"/>
      <name val="Times New Roman"/>
    </font>
    <font>
      <b/>
      <sz val="13.0"/>
      <color rgb="FF990000"/>
      <name val="Times New Roman"/>
    </font>
    <font>
      <b/>
      <sz val="11.0"/>
      <color rgb="FF990000"/>
      <name val="Times New Roman"/>
    </font>
    <font>
      <sz val="13.0"/>
      <color theme="1"/>
      <name val="Arial"/>
      <scheme val="minor"/>
    </font>
    <font>
      <b/>
      <sz val="12.0"/>
      <color rgb="FF000000"/>
      <name val="Times New Roman"/>
    </font>
    <font>
      <b/>
      <sz val="12.0"/>
      <color rgb="FF990000"/>
      <name val="Times New Roman"/>
    </font>
    <font>
      <b/>
      <sz val="8.0"/>
      <color theme="1"/>
      <name val="Times New Roman"/>
    </font>
    <font>
      <b/>
      <sz val="10.0"/>
      <color rgb="FF000000"/>
      <name val="Times New Roman"/>
    </font>
    <font>
      <b/>
      <sz val="10.0"/>
      <color rgb="FF990000"/>
      <name val="Times New Roman"/>
    </font>
    <font>
      <sz val="14.0"/>
      <color rgb="FF000000"/>
      <name val="Times New Roman"/>
    </font>
    <font>
      <b/>
      <sz val="22.0"/>
      <color theme="1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Times New Roman"/>
    </font>
    <font>
      <b/>
      <sz val="11.0"/>
      <color theme="1"/>
      <name val="Times New Roman"/>
    </font>
    <font>
      <u/>
      <sz val="11.0"/>
      <color rgb="FF0000FF"/>
    </font>
    <font>
      <sz val="11.0"/>
      <color rgb="FF000000"/>
      <name val="Times New Roman"/>
    </font>
    <font>
      <sz val="11.0"/>
      <color rgb="FF990000"/>
      <name val="Times New Roman"/>
    </font>
    <font>
      <b/>
      <sz val="14.0"/>
      <color theme="1"/>
      <name val="Calibri"/>
    </font>
    <font>
      <u/>
      <sz val="11.0"/>
      <color rgb="FF0000FF"/>
    </font>
    <font>
      <sz val="14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2.0"/>
      <color theme="1"/>
      <name val="Calibri"/>
    </font>
    <font>
      <sz val="8.0"/>
      <color theme="1"/>
      <name val="Times New Roman"/>
    </font>
    <font>
      <sz val="10.0"/>
      <color theme="1"/>
      <name val="Times New Roman"/>
    </font>
    <font>
      <u/>
      <sz val="11.0"/>
      <color rgb="FF1155CC"/>
      <name val="Times New Roman"/>
    </font>
    <font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color theme="1"/>
      <name val="Arial"/>
    </font>
    <font>
      <u/>
      <sz val="11.0"/>
      <color rgb="FF000000"/>
      <name val="Times New Roman"/>
    </font>
    <font>
      <color theme="1"/>
      <name val="Times New Roman"/>
    </font>
    <font>
      <u/>
      <sz val="11.0"/>
      <color rgb="FF0000FF"/>
      <name val="Times New Roman"/>
    </font>
    <font>
      <b/>
      <color rgb="FF000000"/>
      <name val="Times New Roman"/>
    </font>
    <font>
      <u/>
      <color rgb="FF000000"/>
    </font>
    <font>
      <u/>
      <sz val="11.0"/>
      <color rgb="FF0000FF"/>
      <name val="Times New Roman"/>
    </font>
    <font>
      <b/>
      <sz val="18.0"/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color rgb="FF0000FF"/>
      <name val="Arial"/>
    </font>
    <font>
      <b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b/>
      <sz val="10.0"/>
      <color theme="1"/>
      <name val="Times New Roman"/>
    </font>
    <font>
      <color rgb="FFFF0000"/>
      <name val="Times New Roman"/>
    </font>
    <font>
      <sz val="8.0"/>
      <color rgb="FF990000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00"/>
      <name val="Times New Roman"/>
    </font>
    <font>
      <sz val="8.0"/>
      <color rgb="FF990000"/>
      <name val="Calibri"/>
    </font>
    <font>
      <u/>
      <sz val="11.0"/>
      <color rgb="FF21212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theme="1"/>
      <name val="Times New Roman"/>
    </font>
    <font>
      <sz val="11.0"/>
      <color rgb="FFFF0000"/>
      <name val="Times New Roman"/>
    </font>
    <font>
      <u/>
      <sz val="11.0"/>
      <color rgb="FFFF0000"/>
      <name val="Times New Roman"/>
    </font>
    <font>
      <b/>
      <sz val="11.0"/>
      <color rgb="FFFF0000"/>
      <name val="Times New Roman"/>
    </font>
    <font>
      <sz val="11.0"/>
      <color rgb="FF212121"/>
      <name val="Times New Roman"/>
    </font>
    <font>
      <u/>
      <sz val="11.0"/>
      <color rgb="FF212121"/>
      <name val="Times New Roman"/>
    </font>
    <font>
      <b/>
      <sz val="11.0"/>
      <color rgb="FF212121"/>
      <name val="Times New Roman"/>
    </font>
    <font>
      <u/>
      <sz val="11.0"/>
      <color rgb="FF212121"/>
      <name val="Times New Roman"/>
    </font>
    <font>
      <b/>
      <sz val="12.0"/>
      <color rgb="FF9900FF"/>
      <name val="Times New Roman"/>
    </font>
    <font>
      <b/>
      <sz val="8.0"/>
      <color rgb="FF9900FF"/>
      <name val="Times New Roman"/>
    </font>
    <font>
      <sz val="11.0"/>
      <color rgb="FF9900FF"/>
      <name val="Times New Roman"/>
    </font>
    <font>
      <sz val="8.0"/>
      <color rgb="FF000000"/>
      <name val="Times New Roman"/>
    </font>
    <font>
      <sz val="10.0"/>
      <color rgb="FF9900FF"/>
      <name val="Times New Roman"/>
    </font>
    <font>
      <b/>
      <sz val="10.0"/>
      <color rgb="FF9900FF"/>
      <name val="Times New Roman"/>
    </font>
    <font>
      <i/>
      <color theme="1"/>
      <name val="Arial"/>
    </font>
    <font>
      <sz val="11.0"/>
      <color rgb="FFFFFFFF"/>
      <name val="Times New Roman"/>
    </font>
    <font>
      <u/>
      <sz val="11.0"/>
      <color rgb="FF0000FF"/>
      <name val="Times New Roman"/>
    </font>
    <font>
      <b/>
      <sz val="11.0"/>
      <color rgb="FFFF00FF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color rgb="FF212121"/>
      <name val="Times New Roman"/>
    </font>
    <font>
      <b/>
      <color rgb="FF212121"/>
      <name val="Times New Roman"/>
    </font>
    <font>
      <u/>
      <sz val="11.0"/>
      <color rgb="FF212121"/>
      <name val="Times New Roman"/>
    </font>
    <font>
      <u/>
      <color rgb="FF1155CC"/>
      <name val="Arial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212121"/>
      <name val="Times New Roman"/>
    </font>
    <font>
      <u/>
      <sz val="11.0"/>
      <color rgb="FF212121"/>
      <name val="Times New Roman"/>
    </font>
    <font>
      <u/>
      <sz val="11.0"/>
      <color rgb="FF1155CC"/>
      <name val="Times New Roman"/>
    </font>
    <font>
      <b/>
      <u/>
      <sz val="11.0"/>
      <color rgb="FF1155CC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u/>
      <sz val="11.0"/>
      <color rgb="FF212121"/>
      <name val="Times New Roman"/>
    </font>
    <font>
      <u/>
      <sz val="11.0"/>
      <color rgb="FF1155CC"/>
      <name val="Times New Roman"/>
    </font>
    <font>
      <u/>
      <sz val="11.0"/>
      <color rgb="FF212121"/>
      <name val="Times New Roman"/>
    </font>
    <font>
      <u/>
      <sz val="11.0"/>
      <color rgb="FF1155CC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7F8ED"/>
        <bgColor rgb="FFE7F8ED"/>
      </patternFill>
    </fill>
    <fill>
      <patternFill patternType="solid">
        <fgColor rgb="FFEDF7C9"/>
        <bgColor rgb="FFEDF7C9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A3E486"/>
        <bgColor rgb="FFA3E48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7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2" fontId="2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1" numFmtId="49" xfId="0" applyFont="1" applyNumberFormat="1"/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0" fillId="3" fontId="5" numFmtId="49" xfId="0" applyAlignment="1" applyFill="1" applyFont="1" applyNumberFormat="1">
      <alignment horizontal="center" readingOrder="0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0" fillId="3" fontId="7" numFmtId="49" xfId="0" applyAlignment="1" applyFill="1" applyFont="1" applyNumberFormat="1">
      <alignment horizontal="center" readingOrder="0" shrinkToFit="0" vertical="center" wrapText="1"/>
    </xf>
    <xf borderId="3" fillId="0" fontId="8" numFmtId="0" xfId="0" applyBorder="1" applyFont="1"/>
    <xf borderId="0" fillId="0" fontId="1" numFmtId="165" xfId="0" applyAlignment="1" applyFont="1" applyNumberFormat="1">
      <alignment readingOrder="0"/>
    </xf>
    <xf borderId="0" fillId="0" fontId="9" numFmtId="0" xfId="0" applyAlignment="1" applyFont="1">
      <alignment readingOrder="0" vertical="center"/>
    </xf>
    <xf borderId="4" fillId="0" fontId="8" numFmtId="0" xfId="0" applyBorder="1" applyFont="1"/>
    <xf borderId="0" fillId="3" fontId="7" numFmtId="49" xfId="0" applyAlignment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3" fontId="7" numFmtId="10" xfId="0" applyAlignment="1" applyFill="1" applyFont="1" applyNumberFormat="1">
      <alignment horizontal="center" readingOrder="0" shrinkToFit="0" vertical="center" wrapText="1"/>
    </xf>
    <xf borderId="5" fillId="2" fontId="11" numFmtId="0" xfId="0" applyAlignment="1" applyBorder="1" applyFill="1" applyFont="1">
      <alignment horizontal="center" readingOrder="0" vertical="center"/>
    </xf>
    <xf borderId="6" fillId="3" fontId="7" numFmtId="4" xfId="0" applyAlignment="1" applyBorder="1" applyFill="1" applyFont="1" applyNumberFormat="1">
      <alignment horizontal="center" readingOrder="0" shrinkToFit="0" vertical="center" wrapText="1"/>
    </xf>
    <xf borderId="5" fillId="2" fontId="11" numFmtId="0" xfId="0" applyAlignment="1" applyBorder="1" applyFill="1" applyFont="1">
      <alignment horizontal="center" readingOrder="0" shrinkToFit="0" vertical="center" wrapText="1"/>
    </xf>
    <xf borderId="0" fillId="3" fontId="12" numFmtId="4" xfId="0" applyAlignment="1" applyFill="1" applyFont="1" applyNumberFormat="1">
      <alignment horizontal="center" readingOrder="0" shrinkToFit="0" vertical="center" wrapText="1"/>
    </xf>
    <xf borderId="1" fillId="2" fontId="13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3" fontId="5" numFmtId="49" xfId="0" applyAlignment="1" applyFill="1" applyFont="1" applyNumberFormat="1">
      <alignment horizontal="left" readingOrder="0" shrinkToFit="0" vertical="center" wrapText="1"/>
    </xf>
    <xf borderId="1" fillId="3" fontId="7" numFmtId="49" xfId="0" applyAlignment="1" applyBorder="1" applyFill="1" applyFont="1" applyNumberFormat="1">
      <alignment horizontal="center" readingOrder="0" shrinkToFit="0" vertical="center" wrapText="1"/>
    </xf>
    <xf borderId="7" fillId="0" fontId="8" numFmtId="0" xfId="0" applyBorder="1" applyFont="1"/>
    <xf borderId="0" fillId="0" fontId="7" numFmtId="49" xfId="0" applyAlignment="1" applyFont="1" applyNumberForma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0"/>
    </xf>
    <xf borderId="8" fillId="3" fontId="7" numFmtId="4" xfId="0" applyAlignment="1" applyBorder="1" applyFill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0" fillId="3" fontId="14" numFmtId="4" xfId="0" applyAlignment="1" applyFill="1" applyFont="1" applyNumberFormat="1">
      <alignment horizontal="center" readingOrder="0" shrinkToFit="0" vertical="center" wrapText="1"/>
    </xf>
    <xf borderId="0" fillId="4" fontId="14" numFmtId="4" xfId="0" applyAlignment="1" applyFill="1" applyFont="1" applyNumberFormat="1">
      <alignment horizontal="center" readingOrder="0" shrinkToFit="0" vertical="center" wrapText="1"/>
    </xf>
    <xf borderId="0" fillId="3" fontId="15" numFmtId="4" xfId="0" applyAlignment="1" applyFill="1" applyFont="1" applyNumberFormat="1">
      <alignment horizontal="center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12" numFmtId="49" xfId="0" applyAlignment="1" applyFill="1" applyFont="1" applyNumberFormat="1">
      <alignment horizontal="center" readingOrder="0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0" fillId="5" fontId="12" numFmtId="0" xfId="0" applyAlignment="1" applyFill="1" applyFont="1">
      <alignment horizontal="left" readingOrder="0" shrinkToFit="0" vertical="center" wrapText="1"/>
    </xf>
    <xf borderId="0" fillId="5" fontId="16" numFmtId="0" xfId="0" applyAlignment="1" applyFill="1" applyFont="1">
      <alignment horizontal="center" readingOrder="0" shrinkToFit="0" vertical="center" wrapText="1"/>
    </xf>
    <xf borderId="0" fillId="5" fontId="16" numFmtId="10" xfId="0" applyAlignment="1" applyFill="1" applyFont="1" applyNumberFormat="1">
      <alignment horizontal="center" readingOrder="0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8" fillId="6" fontId="17" numFmtId="4" xfId="0" applyAlignment="1" applyBorder="1" applyFill="1" applyFont="1" applyNumberFormat="1">
      <alignment horizontal="center" readingOrder="0" shrinkToFit="0" vertical="center" wrapText="1"/>
    </xf>
    <xf borderId="0" fillId="6" fontId="18" numFmtId="0" xfId="0" applyAlignment="1" applyFill="1" applyFont="1">
      <alignment horizontal="center" readingOrder="0" shrinkToFit="0" vertical="center" wrapText="1"/>
    </xf>
    <xf borderId="2" fillId="7" fontId="18" numFmtId="0" xfId="0" applyAlignment="1" applyBorder="1" applyFill="1" applyFont="1">
      <alignment horizontal="center" readingOrder="0" shrinkToFit="0" vertical="center" wrapText="1"/>
    </xf>
    <xf borderId="2" fillId="8" fontId="18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textRotation="255" vertical="center" wrapText="1"/>
    </xf>
    <xf borderId="1" fillId="5" fontId="12" numFmtId="49" xfId="0" applyAlignment="1" applyBorder="1" applyFill="1" applyFont="1" applyNumberFormat="1">
      <alignment horizontal="center" readingOrder="0" shrinkToFit="0" vertical="center" wrapText="1"/>
    </xf>
    <xf borderId="2" fillId="5" fontId="16" numFmtId="0" xfId="0" applyAlignment="1" applyBorder="1" applyFill="1" applyFont="1">
      <alignment horizontal="center" readingOrder="0" shrinkToFit="0" vertical="center" wrapText="1"/>
    </xf>
    <xf borderId="1" fillId="5" fontId="16" numFmtId="10" xfId="0" applyAlignment="1" applyBorder="1" applyFill="1" applyFont="1" applyNumberFormat="1">
      <alignment horizontal="center" readingOrder="0" shrinkToFit="0" vertical="center" wrapText="1"/>
    </xf>
    <xf borderId="1" fillId="5" fontId="16" numFmtId="0" xfId="0" applyAlignment="1" applyBorder="1" applyFill="1" applyFont="1">
      <alignment horizontal="center" readingOrder="0" shrinkToFit="0" vertical="center" wrapText="1"/>
    </xf>
    <xf borderId="1" fillId="6" fontId="17" numFmtId="0" xfId="0" applyAlignment="1" applyBorder="1" applyFill="1" applyFont="1">
      <alignment horizontal="center" readingOrder="0" shrinkToFit="0" vertical="center" wrapText="1"/>
    </xf>
    <xf borderId="2" fillId="6" fontId="17" numFmtId="0" xfId="0" applyAlignment="1" applyBorder="1" applyFill="1" applyFont="1">
      <alignment horizontal="center" readingOrder="0" shrinkToFit="0" vertical="center" wrapText="1"/>
    </xf>
    <xf borderId="9" fillId="6" fontId="17" numFmtId="4" xfId="0" applyAlignment="1" applyBorder="1" applyFill="1" applyFont="1" applyNumberFormat="1">
      <alignment horizontal="center" readingOrder="0" shrinkToFit="0" vertical="center" wrapText="1"/>
    </xf>
    <xf borderId="1" fillId="6" fontId="18" numFmtId="0" xfId="0" applyAlignment="1" applyBorder="1" applyFill="1" applyFont="1">
      <alignment horizontal="center" readingOrder="0" shrinkToFit="0" vertical="center" wrapText="1"/>
    </xf>
    <xf borderId="1" fillId="7" fontId="18" numFmtId="0" xfId="0" applyAlignment="1" applyBorder="1" applyFill="1" applyFont="1">
      <alignment horizontal="center" readingOrder="0" shrinkToFit="0" vertical="center" wrapText="1"/>
    </xf>
    <xf borderId="1" fillId="8" fontId="18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0"/>
    </xf>
    <xf borderId="2" fillId="2" fontId="7" numFmtId="49" xfId="0" applyAlignment="1" applyBorder="1" applyFill="1" applyFont="1" applyNumberFormat="1">
      <alignment horizontal="right" readingOrder="0" shrinkToFit="0" vertical="center" wrapText="0"/>
    </xf>
    <xf borderId="3" fillId="2" fontId="7" numFmtId="49" xfId="0" applyAlignment="1" applyBorder="1" applyFill="1" applyFont="1" applyNumberFormat="1">
      <alignment horizontal="right" readingOrder="0" shrinkToFit="0" vertical="center" wrapText="0"/>
    </xf>
    <xf borderId="4" fillId="2" fontId="7" numFmtId="49" xfId="0" applyAlignment="1" applyBorder="1" applyFill="1" applyFont="1" applyNumberFormat="1">
      <alignment horizontal="right" readingOrder="0" shrinkToFit="0" vertical="center" wrapText="0"/>
    </xf>
    <xf borderId="1" fillId="2" fontId="7" numFmtId="49" xfId="0" applyAlignment="1" applyBorder="1" applyFill="1" applyFont="1" applyNumberFormat="1">
      <alignment horizontal="right" readingOrder="0" shrinkToFit="0" vertical="center" wrapText="1"/>
    </xf>
    <xf borderId="1" fillId="2" fontId="20" numFmtId="10" xfId="0" applyAlignment="1" applyBorder="1" applyFill="1" applyFont="1" applyNumberFormat="1">
      <alignment horizontal="center" readingOrder="0" shrinkToFit="0" vertical="center" wrapText="1"/>
    </xf>
    <xf borderId="1" fillId="2" fontId="20" numFmtId="4" xfId="0" applyAlignment="1" applyBorder="1" applyFill="1" applyFont="1" applyNumberFormat="1">
      <alignment horizontal="center" readingOrder="0" shrinkToFit="0" vertical="center" wrapText="1"/>
    </xf>
    <xf borderId="1" fillId="6" fontId="21" numFmtId="4" xfId="0" applyAlignment="1" applyBorder="1" applyFill="1" applyFont="1" applyNumberFormat="1">
      <alignment horizontal="center" readingOrder="0" shrinkToFit="0" vertical="center" wrapText="1"/>
    </xf>
    <xf borderId="2" fillId="6" fontId="21" numFmtId="4" xfId="0" applyAlignment="1" applyBorder="1" applyFill="1" applyFont="1" applyNumberFormat="1">
      <alignment horizontal="center" readingOrder="0" shrinkToFit="0" vertical="center" wrapText="1"/>
    </xf>
    <xf borderId="9" fillId="6" fontId="21" numFmtId="4" xfId="0" applyAlignment="1" applyBorder="1" applyFill="1" applyFont="1" applyNumberFormat="1">
      <alignment horizontal="center" readingOrder="0" shrinkToFit="0" vertical="center" wrapText="1"/>
    </xf>
    <xf borderId="1" fillId="7" fontId="21" numFmtId="4" xfId="0" applyAlignment="1" applyBorder="1" applyFill="1" applyFont="1" applyNumberFormat="1">
      <alignment horizontal="center" readingOrder="0" shrinkToFit="0" vertical="center" wrapText="1"/>
    </xf>
    <xf borderId="1" fillId="8" fontId="21" numFmtId="4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" fillId="2" fontId="5" numFmtId="49" xfId="0" applyAlignment="1" applyBorder="1" applyFill="1" applyFont="1" applyNumberFormat="1">
      <alignment horizontal="left" readingOrder="0" shrinkToFit="0" vertical="center" wrapText="1"/>
    </xf>
    <xf borderId="1" fillId="2" fontId="7" numFmtId="49" xfId="0" applyAlignment="1" applyBorder="1" applyFill="1" applyFont="1" applyNumberFormat="1">
      <alignment horizontal="center" readingOrder="0" shrinkToFit="0" vertical="center" wrapText="1"/>
    </xf>
    <xf borderId="4" fillId="2" fontId="7" numFmtId="49" xfId="0" applyAlignment="1" applyBorder="1" applyFill="1" applyFont="1" applyNumberFormat="1">
      <alignment horizontal="center" readingOrder="0" shrinkToFit="0" vertical="center" wrapText="1"/>
    </xf>
    <xf borderId="1" fillId="2" fontId="22" numFmtId="0" xfId="0" applyAlignment="1" applyBorder="1" applyFill="1" applyFont="1">
      <alignment horizontal="center" readingOrder="0" shrinkToFit="0" vertical="center" wrapText="1"/>
    </xf>
    <xf borderId="10" fillId="0" fontId="19" numFmtId="0" xfId="0" applyAlignment="1" applyBorder="1" applyFont="1">
      <alignment horizontal="center" readingOrder="0" shrinkToFit="0" vertical="center" wrapText="0"/>
    </xf>
    <xf borderId="3" fillId="2" fontId="7" numFmtId="49" xfId="0" applyAlignment="1" applyBorder="1" applyFill="1" applyFont="1" applyNumberFormat="1">
      <alignment horizontal="center" readingOrder="0" shrinkToFit="0" vertical="center" wrapText="1"/>
    </xf>
    <xf borderId="2" fillId="2" fontId="7" numFmtId="49" xfId="0" applyAlignment="1" applyBorder="1" applyFill="1" applyFont="1" applyNumberFormat="1">
      <alignment horizontal="center" readingOrder="0" shrinkToFit="0" vertical="center" wrapText="0"/>
    </xf>
    <xf borderId="3" fillId="2" fontId="7" numFmtId="10" xfId="0" applyAlignment="1" applyBorder="1" applyFill="1" applyFont="1" applyNumberFormat="1">
      <alignment horizontal="center" readingOrder="0" shrinkToFit="0" vertical="center" wrapText="1"/>
    </xf>
    <xf borderId="9" fillId="2" fontId="7" numFmtId="4" xfId="0" applyAlignment="1" applyBorder="1" applyFill="1" applyFont="1" applyNumberFormat="1">
      <alignment horizontal="center" readingOrder="0" shrinkToFit="0" vertical="center" wrapText="1"/>
    </xf>
    <xf borderId="2" fillId="7" fontId="21" numFmtId="4" xfId="0" applyAlignment="1" applyBorder="1" applyFill="1" applyFont="1" applyNumberFormat="1">
      <alignment horizontal="center" readingOrder="0" shrinkToFit="0" vertical="center" wrapText="1"/>
    </xf>
    <xf borderId="2" fillId="8" fontId="21" numFmtId="4" xfId="0" applyAlignment="1" applyBorder="1" applyFill="1" applyFont="1" applyNumberFormat="1">
      <alignment horizontal="center" readingOrder="0" shrinkToFit="0" vertical="center" wrapText="1"/>
    </xf>
    <xf borderId="3" fillId="2" fontId="5" numFmtId="49" xfId="0" applyAlignment="1" applyBorder="1" applyFill="1" applyFont="1" applyNumberFormat="1">
      <alignment horizontal="left" readingOrder="0" shrinkToFit="0" vertical="center" wrapText="1"/>
    </xf>
    <xf borderId="3" fillId="9" fontId="5" numFmtId="49" xfId="0" applyAlignment="1" applyBorder="1" applyFill="1" applyFont="1" applyNumberFormat="1">
      <alignment horizontal="right" readingOrder="0" shrinkToFit="0" vertical="center" wrapText="1"/>
    </xf>
    <xf borderId="2" fillId="9" fontId="5" numFmtId="49" xfId="0" applyAlignment="1" applyBorder="1" applyFill="1" applyFont="1" applyNumberFormat="1">
      <alignment horizontal="right" readingOrder="0" shrinkToFit="0" vertical="center" wrapText="1"/>
    </xf>
    <xf borderId="4" fillId="9" fontId="5" numFmtId="49" xfId="0" applyAlignment="1" applyBorder="1" applyFill="1" applyFont="1" applyNumberFormat="1">
      <alignment horizontal="right" readingOrder="0" shrinkToFit="0" vertical="center" wrapText="1"/>
    </xf>
    <xf borderId="11" fillId="9" fontId="5" numFmtId="49" xfId="0" applyAlignment="1" applyBorder="1" applyFill="1" applyFont="1" applyNumberFormat="1">
      <alignment horizontal="right" readingOrder="0" shrinkToFit="0" vertical="center" wrapText="1"/>
    </xf>
    <xf borderId="2" fillId="2" fontId="7" numFmtId="49" xfId="0" applyAlignment="1" applyBorder="1" applyFill="1" applyFont="1" applyNumberFormat="1">
      <alignment horizontal="right" readingOrder="0" shrinkToFit="0" vertical="center" wrapText="1"/>
    </xf>
    <xf borderId="11" fillId="9" fontId="5" numFmtId="49" xfId="0" applyAlignment="1" applyBorder="1" applyFill="1" applyFont="1" applyNumberFormat="1">
      <alignment horizontal="right" readingOrder="0" shrinkToFit="0" vertical="center" wrapText="0"/>
    </xf>
    <xf borderId="12" fillId="9" fontId="20" numFmtId="49" xfId="0" applyAlignment="1" applyBorder="1" applyFill="1" applyFont="1" applyNumberFormat="1">
      <alignment horizontal="right" readingOrder="0" shrinkToFit="0" vertical="center" wrapText="1"/>
    </xf>
    <xf borderId="12" fillId="9" fontId="20" numFmtId="10" xfId="0" applyAlignment="1" applyBorder="1" applyFill="1" applyFont="1" applyNumberFormat="1">
      <alignment horizontal="center" shrinkToFit="0" vertical="center" wrapText="1"/>
    </xf>
    <xf borderId="12" fillId="9" fontId="20" numFmtId="4" xfId="0" applyAlignment="1" applyBorder="1" applyFill="1" applyFont="1" applyNumberFormat="1">
      <alignment horizontal="center" shrinkToFit="0" vertical="center" wrapText="1"/>
    </xf>
    <xf borderId="12" fillId="6" fontId="21" numFmtId="4" xfId="0" applyAlignment="1" applyBorder="1" applyFill="1" applyFont="1" applyNumberFormat="1">
      <alignment horizontal="center" shrinkToFit="0" vertical="center" wrapText="1"/>
    </xf>
    <xf borderId="11" fillId="6" fontId="21" numFmtId="4" xfId="0" applyAlignment="1" applyBorder="1" applyFill="1" applyFont="1" applyNumberFormat="1">
      <alignment horizontal="center" shrinkToFit="0" vertical="center" wrapText="1"/>
    </xf>
    <xf borderId="13" fillId="6" fontId="21" numFmtId="4" xfId="0" applyAlignment="1" applyBorder="1" applyFill="1" applyFont="1" applyNumberFormat="1">
      <alignment horizontal="center" shrinkToFit="0" vertical="center" wrapText="1"/>
    </xf>
    <xf borderId="2" fillId="2" fontId="7" numFmtId="49" xfId="0" applyAlignment="1" applyBorder="1" applyFill="1" applyFont="1" applyNumberFormat="1">
      <alignment horizontal="center" readingOrder="0" shrinkToFit="0" vertical="center" wrapText="1"/>
    </xf>
    <xf borderId="11" fillId="0" fontId="8" numFmtId="0" xfId="0" applyBorder="1" applyFont="1"/>
    <xf borderId="12" fillId="0" fontId="8" numFmtId="0" xfId="0" applyBorder="1" applyFont="1"/>
    <xf borderId="0" fillId="0" fontId="13" numFmtId="0" xfId="0" applyAlignment="1" applyFont="1">
      <alignment horizontal="center" shrinkToFit="0" vertical="center" wrapText="1"/>
    </xf>
    <xf borderId="12" fillId="7" fontId="21" numFmtId="4" xfId="0" applyAlignment="1" applyBorder="1" applyFill="1" applyFont="1" applyNumberFormat="1">
      <alignment horizontal="center" shrinkToFit="0" vertical="center" wrapText="1"/>
    </xf>
    <xf borderId="12" fillId="8" fontId="21" numFmtId="4" xfId="0" applyAlignment="1" applyBorder="1" applyFill="1" applyFont="1" applyNumberFormat="1">
      <alignment horizontal="center" shrinkToFit="0" vertical="center" wrapText="1"/>
    </xf>
    <xf borderId="12" fillId="9" fontId="23" numFmtId="4" xfId="0" applyAlignment="1" applyBorder="1" applyFill="1" applyFont="1" applyNumberFormat="1">
      <alignment horizontal="center" shrinkToFit="0" vertical="center" wrapText="1"/>
    </xf>
    <xf borderId="12" fillId="6" fontId="24" numFmtId="4" xfId="0" applyAlignment="1" applyBorder="1" applyFill="1" applyFont="1" applyNumberFormat="1">
      <alignment horizontal="center" shrinkToFit="0" vertical="center" wrapText="1"/>
    </xf>
    <xf borderId="12" fillId="9" fontId="5" numFmtId="0" xfId="0" applyAlignment="1" applyBorder="1" applyFill="1" applyFont="1">
      <alignment horizontal="left" readingOrder="0" shrinkToFit="0" vertical="center" wrapText="1"/>
    </xf>
    <xf borderId="1" fillId="9" fontId="20" numFmtId="0" xfId="0" applyAlignment="1" applyBorder="1" applyFill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12" fillId="9" fontId="20" numFmtId="0" xfId="0" applyAlignment="1" applyBorder="1" applyFill="1" applyFont="1">
      <alignment horizontal="left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2" fontId="25" numFmtId="0" xfId="0" applyAlignment="1" applyBorder="1" applyFill="1" applyFont="1">
      <alignment horizontal="center" readingOrder="0" shrinkToFit="0" vertical="center" wrapText="1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0" fillId="2" fontId="26" numFmtId="0" xfId="0" applyAlignment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left" readingOrder="0" shrinkToFit="0" vertical="center" wrapText="1"/>
    </xf>
    <xf borderId="3" fillId="2" fontId="20" numFmtId="0" xfId="0" applyAlignment="1" applyBorder="1" applyFill="1" applyFont="1">
      <alignment horizontal="left" readingOrder="0" shrinkToFit="0" vertical="center" wrapText="1"/>
    </xf>
    <xf borderId="3" fillId="2" fontId="20" numFmtId="49" xfId="0" applyAlignment="1" applyBorder="1" applyFill="1" applyFont="1" applyNumberFormat="1">
      <alignment horizontal="center" readingOrder="0" shrinkToFit="0" vertical="center" wrapText="1"/>
    </xf>
    <xf borderId="4" fillId="2" fontId="20" numFmtId="49" xfId="0" applyAlignment="1" applyBorder="1" applyFill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1" fillId="10" fontId="27" numFmtId="0" xfId="0" applyAlignment="1" applyBorder="1" applyFill="1" applyFont="1">
      <alignment horizontal="center" readingOrder="0" shrinkToFit="0" vertical="center" wrapText="1"/>
    </xf>
    <xf borderId="1" fillId="2" fontId="20" numFmtId="10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10" fontId="27" numFmtId="166" xfId="0" applyAlignment="1" applyBorder="1" applyFill="1" applyFont="1" applyNumberFormat="1">
      <alignment horizontal="center" readingOrder="0" shrinkToFit="0" vertical="center" wrapText="1"/>
    </xf>
    <xf borderId="1" fillId="2" fontId="20" numFmtId="4" xfId="0" applyAlignment="1" applyBorder="1" applyFill="1" applyFont="1" applyNumberFormat="1">
      <alignment horizontal="center" shrinkToFit="0" vertical="center" wrapText="1"/>
    </xf>
    <xf borderId="1" fillId="6" fontId="21" numFmtId="4" xfId="0" applyAlignment="1" applyBorder="1" applyFill="1" applyFont="1" applyNumberFormat="1">
      <alignment horizontal="center" shrinkToFit="0" vertical="center" wrapText="1"/>
    </xf>
    <xf borderId="2" fillId="6" fontId="21" numFmtId="4" xfId="0" applyAlignment="1" applyBorder="1" applyFill="1" applyFont="1" applyNumberFormat="1">
      <alignment horizontal="center" shrinkToFit="0" vertical="center" wrapText="1"/>
    </xf>
    <xf borderId="9" fillId="6" fontId="21" numFmtId="4" xfId="0" applyAlignment="1" applyBorder="1" applyFill="1" applyFont="1" applyNumberFormat="1">
      <alignment horizontal="center" shrinkToFit="0" vertical="center" wrapText="1"/>
    </xf>
    <xf borderId="0" fillId="5" fontId="28" numFmtId="0" xfId="0" applyAlignment="1" applyFill="1" applyFont="1">
      <alignment horizontal="center" readingOrder="0" shrinkToFit="0" vertical="center" wrapText="1"/>
    </xf>
    <xf borderId="0" fillId="5" fontId="28" numFmtId="164" xfId="0" applyAlignment="1" applyFill="1" applyFont="1" applyNumberFormat="1">
      <alignment horizontal="center" readingOrder="0" shrinkToFit="0" vertical="center" wrapText="1"/>
    </xf>
    <xf borderId="0" fillId="5" fontId="28" numFmtId="166" xfId="0" applyAlignment="1" applyFill="1" applyFont="1" applyNumberFormat="1">
      <alignment horizontal="center" readingOrder="0" shrinkToFit="0" vertical="center" wrapText="1"/>
    </xf>
    <xf borderId="1" fillId="7" fontId="21" numFmtId="4" xfId="0" applyAlignment="1" applyBorder="1" applyFill="1" applyFont="1" applyNumberFormat="1">
      <alignment horizontal="center" shrinkToFit="0" vertical="center" wrapText="1"/>
    </xf>
    <xf borderId="1" fillId="8" fontId="21" numFmtId="4" xfId="0" applyAlignment="1" applyBorder="1" applyFill="1" applyFont="1" applyNumberFormat="1">
      <alignment horizontal="center" shrinkToFit="0" vertical="center" wrapText="1"/>
    </xf>
    <xf borderId="1" fillId="2" fontId="29" numFmtId="0" xfId="0" applyAlignment="1" applyBorder="1" applyFill="1" applyFont="1">
      <alignment horizontal="left" readingOrder="0" shrinkToFit="0" vertical="center" wrapText="1"/>
    </xf>
    <xf borderId="1" fillId="2" fontId="30" numFmtId="0" xfId="0" applyAlignment="1" applyBorder="1" applyFill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12" fillId="9" fontId="14" numFmtId="0" xfId="0" applyAlignment="1" applyBorder="1" applyFill="1" applyFont="1">
      <alignment horizontal="left" readingOrder="0" shrinkToFit="0" vertical="center" wrapText="1"/>
    </xf>
    <xf borderId="4" fillId="2" fontId="30" numFmtId="0" xfId="0" applyAlignment="1" applyBorder="1" applyFill="1" applyFont="1">
      <alignment horizontal="left" readingOrder="0" shrinkToFit="0" vertical="center" wrapText="1"/>
    </xf>
    <xf borderId="1" fillId="9" fontId="22" numFmtId="0" xfId="0" applyAlignment="1" applyBorder="1" applyFill="1" applyFont="1">
      <alignment horizontal="center" readingOrder="0" shrinkToFit="0" vertical="center" wrapText="1"/>
    </xf>
    <xf borderId="1" fillId="2" fontId="30" numFmtId="49" xfId="0" applyAlignment="1" applyBorder="1" applyFill="1" applyFont="1" applyNumberFormat="1">
      <alignment horizontal="center" readingOrder="0" shrinkToFit="0" vertical="center" wrapText="1"/>
    </xf>
    <xf borderId="5" fillId="2" fontId="11" numFmtId="49" xfId="0" applyAlignment="1" applyBorder="1" applyFill="1" applyFont="1" applyNumberFormat="1">
      <alignment horizontal="center" readingOrder="0" shrinkToFit="0" vertical="center" wrapText="1"/>
    </xf>
    <xf borderId="1" fillId="2" fontId="30" numFmtId="0" xfId="0" applyAlignment="1" applyBorder="1" applyFill="1" applyFont="1">
      <alignment horizontal="center" readingOrder="0" shrinkToFit="0" vertical="center" wrapText="1"/>
    </xf>
    <xf borderId="0" fillId="5" fontId="31" numFmtId="0" xfId="0" applyAlignment="1" applyFill="1" applyFont="1">
      <alignment horizontal="center" readingOrder="0" shrinkToFit="0" vertical="center" wrapText="1"/>
    </xf>
    <xf borderId="14" fillId="2" fontId="11" numFmtId="0" xfId="0" applyAlignment="1" applyBorder="1" applyFill="1" applyFont="1">
      <alignment horizontal="left" readingOrder="0" shrinkToFit="0" vertical="center" wrapText="1"/>
    </xf>
    <xf borderId="1" fillId="2" fontId="30" numFmtId="0" xfId="0" applyAlignment="1" applyBorder="1" applyFill="1" applyFont="1">
      <alignment horizontal="center" shrinkToFit="0" vertical="center" wrapText="1"/>
    </xf>
    <xf borderId="0" fillId="5" fontId="28" numFmtId="167" xfId="0" applyAlignment="1" applyFill="1" applyFont="1" applyNumberFormat="1">
      <alignment horizontal="center" readingOrder="0" shrinkToFit="0" vertical="center" wrapText="1"/>
    </xf>
    <xf borderId="15" fillId="0" fontId="8" numFmtId="0" xfId="0" applyBorder="1" applyFont="1"/>
    <xf borderId="1" fillId="2" fontId="14" numFmtId="0" xfId="0" applyAlignment="1" applyBorder="1" applyFill="1" applyFont="1">
      <alignment horizontal="center" readingOrder="0" shrinkToFit="0" vertical="center" wrapText="1"/>
    </xf>
    <xf borderId="1" fillId="2" fontId="30" numFmtId="49" xfId="0" applyAlignment="1" applyBorder="1" applyFill="1" applyFont="1" applyNumberFormat="1">
      <alignment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1" fillId="2" fontId="32" numFmtId="0" xfId="0" applyAlignment="1" applyBorder="1" applyFill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left" readingOrder="0" shrinkToFit="0" vertical="center" wrapText="1"/>
    </xf>
    <xf borderId="0" fillId="5" fontId="28" numFmtId="0" xfId="0" applyAlignment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1" fillId="2" fontId="23" numFmtId="4" xfId="0" applyAlignment="1" applyBorder="1" applyFill="1" applyFont="1" applyNumberFormat="1">
      <alignment horizontal="center" shrinkToFit="0" vertical="center" wrapText="1"/>
    </xf>
    <xf borderId="0" fillId="5" fontId="28" numFmtId="166" xfId="0" applyAlignment="1" applyFill="1" applyFont="1" applyNumberFormat="1">
      <alignment horizontal="center" shrinkToFit="0" vertical="center" wrapText="1"/>
    </xf>
    <xf borderId="1" fillId="2" fontId="11" numFmtId="10" xfId="0" applyAlignment="1" applyBorder="1" applyFill="1" applyFont="1" applyNumberFormat="1">
      <alignment horizontal="center" readingOrder="0" shrinkToFit="0" vertical="center" wrapText="1"/>
    </xf>
    <xf borderId="1" fillId="6" fontId="24" numFmtId="4" xfId="0" applyAlignment="1" applyBorder="1" applyFill="1" applyFont="1" applyNumberFormat="1">
      <alignment horizontal="center" shrinkToFit="0" vertical="center" wrapText="1"/>
    </xf>
    <xf borderId="1" fillId="2" fontId="11" numFmtId="4" xfId="0" applyAlignment="1" applyBorder="1" applyFill="1" applyFont="1" applyNumberFormat="1">
      <alignment horizontal="center" readingOrder="0" shrinkToFit="0" vertical="center" wrapText="1"/>
    </xf>
    <xf borderId="1" fillId="6" fontId="33" numFmtId="4" xfId="0" applyAlignment="1" applyBorder="1" applyFill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center" vertical="center"/>
    </xf>
    <xf borderId="2" fillId="6" fontId="33" numFmtId="4" xfId="0" applyAlignment="1" applyBorder="1" applyFill="1" applyFont="1" applyNumberFormat="1">
      <alignment horizontal="center" readingOrder="0" shrinkToFit="0" vertical="center" wrapText="1"/>
    </xf>
    <xf borderId="9" fillId="6" fontId="33" numFmtId="4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readingOrder="0" shrinkToFit="0" vertical="center" wrapText="1"/>
    </xf>
    <xf borderId="1" fillId="2" fontId="33" numFmtId="4" xfId="0" applyAlignment="1" applyBorder="1" applyFill="1" applyFont="1" applyNumberFormat="1">
      <alignment horizontal="center" readingOrder="0" shrinkToFit="0" vertical="center" wrapText="1"/>
    </xf>
    <xf borderId="0" fillId="0" fontId="28" numFmtId="166" xfId="0" applyAlignment="1" applyFont="1" applyNumberFormat="1">
      <alignment horizontal="center" readingOrder="0" shrinkToFit="0" vertical="center" wrapText="1"/>
    </xf>
    <xf borderId="5" fillId="2" fontId="32" numFmtId="49" xfId="0" applyAlignment="1" applyBorder="1" applyFill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14" fillId="2" fontId="32" numFmtId="0" xfId="0" applyAlignment="1" applyBorder="1" applyFill="1" applyFont="1">
      <alignment horizontal="left" readingOrder="0" shrinkToFit="0" vertical="center" wrapText="1"/>
    </xf>
    <xf borderId="1" fillId="2" fontId="32" numFmtId="0" xfId="0" applyAlignment="1" applyBorder="1" applyFill="1" applyFont="1">
      <alignment horizontal="left" readingOrder="0" shrinkToFit="0" vertical="center" wrapText="1"/>
    </xf>
    <xf borderId="1" fillId="2" fontId="36" numFmtId="0" xfId="0" applyAlignment="1" applyBorder="1" applyFill="1" applyFont="1">
      <alignment horizontal="left" shrinkToFit="0" vertical="center" wrapText="1"/>
    </xf>
    <xf borderId="1" fillId="2" fontId="37" numFmtId="0" xfId="0" applyAlignment="1" applyBorder="1" applyFill="1" applyFont="1">
      <alignment horizontal="center" shrinkToFit="0" vertical="center" wrapText="1"/>
    </xf>
    <xf borderId="1" fillId="2" fontId="37" numFmtId="0" xfId="0" applyAlignment="1" applyBorder="1" applyFill="1" applyFont="1">
      <alignment horizontal="center" readingOrder="0" shrinkToFit="0" vertical="center" wrapText="1"/>
    </xf>
    <xf borderId="0" fillId="0" fontId="37" numFmtId="0" xfId="0" applyAlignment="1" applyFont="1">
      <alignment horizontal="center" shrinkToFit="0" vertical="center" wrapText="1"/>
    </xf>
    <xf borderId="4" fillId="2" fontId="37" numFmtId="0" xfId="0" applyAlignment="1" applyBorder="1" applyFill="1" applyFont="1">
      <alignment horizontal="center" shrinkToFit="0" vertical="center" wrapText="1"/>
    </xf>
    <xf borderId="1" fillId="0" fontId="37" numFmtId="0" xfId="0" applyAlignment="1" applyBorder="1" applyFont="1">
      <alignment horizontal="center" shrinkToFit="0" vertical="center" wrapText="1"/>
    </xf>
    <xf borderId="16" fillId="0" fontId="8" numFmtId="0" xfId="0" applyBorder="1" applyFont="1"/>
    <xf borderId="1" fillId="2" fontId="32" numFmtId="4" xfId="0" applyAlignment="1" applyBorder="1" applyFill="1" applyFont="1" applyNumberFormat="1">
      <alignment horizontal="center" readingOrder="0" shrinkToFit="0" vertical="center" wrapText="1"/>
    </xf>
    <xf borderId="0" fillId="0" fontId="28" numFmtId="166" xfId="0" applyAlignment="1" applyFont="1" applyNumberFormat="1">
      <alignment horizontal="center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2" fontId="36" numFmtId="0" xfId="0" applyAlignment="1" applyBorder="1" applyFill="1" applyFont="1">
      <alignment horizontal="left" readingOrder="0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4" fillId="2" fontId="37" numFmtId="0" xfId="0" applyAlignment="1" applyBorder="1" applyFill="1" applyFont="1">
      <alignment horizontal="center" readingOrder="0" shrinkToFit="0" vertical="center" wrapText="1"/>
    </xf>
    <xf borderId="1" fillId="2" fontId="32" numFmtId="49" xfId="0" applyAlignment="1" applyBorder="1" applyFill="1" applyFont="1" applyNumberFormat="1">
      <alignment horizontal="center" readingOrder="0" shrinkToFit="0" vertical="center" wrapText="1"/>
    </xf>
    <xf borderId="2" fillId="2" fontId="32" numFmtId="0" xfId="0" applyAlignment="1" applyBorder="1" applyFill="1" applyFont="1">
      <alignment horizontal="left" readingOrder="0" shrinkToFit="0" vertical="center" wrapText="1"/>
    </xf>
    <xf borderId="0" fillId="0" fontId="1" numFmtId="166" xfId="0" applyFont="1" applyNumberFormat="1"/>
    <xf borderId="17" fillId="0" fontId="8" numFmtId="0" xfId="0" applyBorder="1" applyFont="1"/>
    <xf borderId="18" fillId="0" fontId="8" numFmtId="0" xfId="0" applyBorder="1" applyFont="1"/>
    <xf borderId="10" fillId="0" fontId="8" numFmtId="0" xfId="0" applyBorder="1" applyFont="1"/>
    <xf borderId="1" fillId="9" fontId="22" numFmtId="0" xfId="0" applyAlignment="1" applyBorder="1" applyFill="1" applyFont="1">
      <alignment horizontal="right" readingOrder="0" shrinkToFit="0" vertical="center" wrapText="1"/>
    </xf>
    <xf borderId="1" fillId="2" fontId="11" numFmtId="49" xfId="0" applyAlignment="1" applyBorder="1" applyFill="1" applyFont="1" applyNumberFormat="1">
      <alignment horizontal="center" readingOrder="0" shrinkToFit="0" vertical="center" wrapText="1"/>
    </xf>
    <xf borderId="2" fillId="2" fontId="11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2" numFmtId="49" xfId="0" applyAlignment="1" applyBorder="1" applyFill="1" applyFont="1" applyNumberFormat="1">
      <alignment horizontal="left" readingOrder="0" shrinkToFit="0" vertical="center" wrapText="1"/>
    </xf>
    <xf borderId="1" fillId="0" fontId="38" numFmtId="0" xfId="0" applyAlignment="1" applyBorder="1" applyFont="1">
      <alignment readingOrder="0" shrinkToFit="0" vertical="center" wrapText="1"/>
    </xf>
    <xf borderId="1" fillId="2" fontId="14" numFmtId="0" xfId="0" applyAlignment="1" applyBorder="1" applyFill="1" applyFont="1">
      <alignment horizontal="left" readingOrder="0" shrinkToFit="0" vertical="center" wrapText="1"/>
    </xf>
    <xf borderId="19" fillId="2" fontId="11" numFmtId="0" xfId="0" applyAlignment="1" applyBorder="1" applyFill="1" applyFont="1">
      <alignment horizontal="left" readingOrder="0" vertical="center"/>
    </xf>
    <xf borderId="1" fillId="2" fontId="11" numFmtId="49" xfId="0" applyAlignment="1" applyBorder="1" applyFill="1" applyFont="1" applyNumberFormat="1">
      <alignment horizontal="left" readingOrder="0"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1" fillId="2" fontId="37" numFmtId="4" xfId="0" applyAlignment="1" applyBorder="1" applyFill="1" applyFont="1" applyNumberFormat="1">
      <alignment horizontal="center" readingOrder="0" shrinkToFit="0" vertical="center" wrapText="1"/>
    </xf>
    <xf borderId="1" fillId="2" fontId="40" numFmtId="0" xfId="0" applyAlignment="1" applyBorder="1" applyFill="1" applyFont="1">
      <alignment horizontal="center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5" fillId="2" fontId="32" numFmtId="0" xfId="0" applyAlignment="1" applyBorder="1" applyFill="1" applyFont="1">
      <alignment horizontal="left" readingOrder="0" shrinkToFit="0" vertical="center" wrapText="1"/>
    </xf>
    <xf borderId="1" fillId="2" fontId="3" numFmtId="168" xfId="0" applyAlignment="1" applyBorder="1" applyFill="1" applyFont="1" applyNumberFormat="1">
      <alignment horizontal="center" readingOrder="0" shrinkToFit="0" vertical="center" wrapText="1"/>
    </xf>
    <xf borderId="1" fillId="2" fontId="5" numFmtId="0" xfId="0" applyAlignment="1" applyBorder="1" applyFill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4" fillId="2" fontId="14" numFmtId="0" xfId="0" applyAlignment="1" applyBorder="1" applyFill="1" applyFont="1">
      <alignment horizontal="left" readingOrder="0" shrinkToFit="0" vertical="center" wrapText="1"/>
    </xf>
    <xf borderId="14" fillId="2" fontId="37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2" fontId="37" numFmtId="0" xfId="0" applyAlignment="1" applyBorder="1" applyFill="1" applyFont="1">
      <alignment horizontal="left" readingOrder="0" shrinkToFit="0" vertical="center" wrapText="1"/>
    </xf>
    <xf borderId="1" fillId="11" fontId="22" numFmtId="0" xfId="0" applyAlignment="1" applyBorder="1" applyFill="1" applyFont="1">
      <alignment horizontal="center" readingOrder="0" shrinkToFit="0" vertical="center" wrapText="1"/>
    </xf>
    <xf borderId="1" fillId="11" fontId="41" numFmtId="0" xfId="0" applyAlignment="1" applyBorder="1" applyFill="1" applyFont="1">
      <alignment horizontal="center" readingOrder="0" shrinkToFit="0" vertical="center" wrapText="1"/>
    </xf>
    <xf borderId="19" fillId="2" fontId="3" numFmtId="0" xfId="0" applyAlignment="1" applyBorder="1" applyFill="1" applyFont="1">
      <alignment horizontal="left" readingOrder="0" vertical="center"/>
    </xf>
    <xf borderId="20" fillId="2" fontId="14" numFmtId="0" xfId="0" applyAlignment="1" applyBorder="1" applyFill="1" applyFont="1">
      <alignment horizontal="center" readingOrder="0" shrinkToFit="0" vertical="center" wrapText="1"/>
    </xf>
    <xf borderId="19" fillId="2" fontId="14" numFmtId="0" xfId="0" applyAlignment="1" applyBorder="1" applyFill="1" applyFont="1">
      <alignment horizontal="center" readingOrder="0" shrinkToFit="0" vertical="center" wrapText="1"/>
    </xf>
    <xf borderId="21" fillId="2" fontId="14" numFmtId="168" xfId="0" applyAlignment="1" applyBorder="1" applyFill="1" applyFont="1" applyNumberFormat="1">
      <alignment horizontal="center" readingOrder="0" shrinkToFit="0" vertical="center" wrapText="1"/>
    </xf>
    <xf borderId="1" fillId="6" fontId="33" numFmtId="4" xfId="0" applyAlignment="1" applyBorder="1" applyFill="1" applyFont="1" applyNumberFormat="1">
      <alignment horizontal="center" shrinkToFit="0" wrapText="1"/>
    </xf>
    <xf borderId="21" fillId="2" fontId="14" numFmtId="49" xfId="0" applyAlignment="1" applyBorder="1" applyFill="1" applyFont="1" applyNumberFormat="1">
      <alignment horizontal="center" shrinkToFit="0" vertical="center" wrapText="1"/>
    </xf>
    <xf borderId="22" fillId="2" fontId="14" numFmtId="0" xfId="0" applyAlignment="1" applyBorder="1" applyFill="1" applyFont="1">
      <alignment horizontal="center" shrinkToFit="0" vertical="center" wrapText="1"/>
    </xf>
    <xf borderId="21" fillId="2" fontId="14" numFmtId="0" xfId="0" applyAlignment="1" applyBorder="1" applyFill="1" applyFont="1">
      <alignment horizontal="center" shrinkToFit="0" vertical="center" wrapText="1"/>
    </xf>
    <xf borderId="22" fillId="2" fontId="14" numFmtId="0" xfId="0" applyAlignment="1" applyBorder="1" applyFill="1" applyFont="1">
      <alignment horizontal="center" readingOrder="0" shrinkToFit="0" vertical="center" wrapText="1"/>
    </xf>
    <xf borderId="21" fillId="2" fontId="14" numFmtId="4" xfId="0" applyAlignment="1" applyBorder="1" applyFill="1" applyFont="1" applyNumberFormat="1">
      <alignment horizontal="center" shrinkToFit="0" vertical="center" wrapText="1"/>
    </xf>
    <xf borderId="21" fillId="2" fontId="14" numFmtId="4" xfId="0" applyAlignment="1" applyBorder="1" applyFill="1" applyFont="1" applyNumberFormat="1">
      <alignment horizontal="center" readingOrder="0" shrinkToFit="0" vertical="center" wrapText="1"/>
    </xf>
    <xf borderId="0" fillId="2" fontId="14" numFmtId="4" xfId="0" applyAlignment="1" applyFill="1" applyFont="1" applyNumberFormat="1">
      <alignment horizontal="center" shrinkToFit="0" vertical="center" wrapText="1"/>
    </xf>
    <xf borderId="23" fillId="0" fontId="8" numFmtId="0" xfId="0" applyBorder="1" applyFont="1"/>
    <xf borderId="24" fillId="0" fontId="8" numFmtId="0" xfId="0" applyBorder="1" applyFont="1"/>
    <xf borderId="20" fillId="2" fontId="14" numFmtId="169" xfId="0" applyAlignment="1" applyBorder="1" applyFill="1" applyFont="1" applyNumberFormat="1">
      <alignment horizontal="center" vertical="center"/>
    </xf>
    <xf borderId="19" fillId="2" fontId="14" numFmtId="169" xfId="0" applyAlignment="1" applyBorder="1" applyFill="1" applyFont="1" applyNumberFormat="1">
      <alignment horizontal="center" vertical="center"/>
    </xf>
    <xf borderId="19" fillId="2" fontId="14" numFmtId="168" xfId="0" applyAlignment="1" applyBorder="1" applyFill="1" applyFont="1" applyNumberFormat="1">
      <alignment horizontal="center" vertical="center"/>
    </xf>
    <xf borderId="19" fillId="2" fontId="42" numFmtId="49" xfId="0" applyAlignment="1" applyBorder="1" applyFill="1" applyFont="1" applyNumberFormat="1">
      <alignment horizontal="center" vertical="center"/>
    </xf>
    <xf borderId="19" fillId="2" fontId="14" numFmtId="49" xfId="0" applyAlignment="1" applyBorder="1" applyFill="1" applyFont="1" applyNumberFormat="1">
      <alignment vertical="center"/>
    </xf>
    <xf borderId="25" fillId="2" fontId="14" numFmtId="0" xfId="0" applyAlignment="1" applyBorder="1" applyFill="1" applyFont="1">
      <alignment vertical="center"/>
    </xf>
    <xf borderId="19" fillId="2" fontId="32" numFmtId="0" xfId="0" applyAlignment="1" applyBorder="1" applyFill="1" applyFont="1">
      <alignment vertical="center"/>
    </xf>
    <xf borderId="3" fillId="2" fontId="14" numFmtId="0" xfId="0" applyAlignment="1" applyBorder="1" applyFill="1" applyFont="1">
      <alignment vertical="center"/>
    </xf>
    <xf borderId="26" fillId="2" fontId="14" numFmtId="0" xfId="0" applyAlignment="1" applyBorder="1" applyFill="1" applyFont="1">
      <alignment vertical="center"/>
    </xf>
    <xf borderId="19" fillId="2" fontId="14" numFmtId="4" xfId="0" applyAlignment="1" applyBorder="1" applyFill="1" applyFont="1" applyNumberFormat="1">
      <alignment vertical="center"/>
    </xf>
    <xf borderId="0" fillId="2" fontId="14" numFmtId="4" xfId="0" applyAlignment="1" applyFill="1" applyFont="1" applyNumberFormat="1">
      <alignment vertical="center"/>
    </xf>
    <xf borderId="20" fillId="2" fontId="43" numFmtId="4" xfId="0" applyAlignment="1" applyBorder="1" applyFill="1" applyFont="1" applyNumberFormat="1">
      <alignment horizontal="center" readingOrder="0" vertical="center"/>
    </xf>
    <xf borderId="19" fillId="2" fontId="43" numFmtId="1" xfId="0" applyAlignment="1" applyBorder="1" applyFill="1" applyFont="1" applyNumberFormat="1">
      <alignment horizontal="center" readingOrder="0" vertical="center"/>
    </xf>
    <xf borderId="19" fillId="2" fontId="32" numFmtId="1" xfId="0" applyAlignment="1" applyBorder="1" applyFill="1" applyFont="1" applyNumberFormat="1">
      <alignment horizontal="center" readingOrder="0" vertical="center"/>
    </xf>
    <xf borderId="19" fillId="2" fontId="43" numFmtId="168" xfId="0" applyAlignment="1" applyBorder="1" applyFill="1" applyFont="1" applyNumberFormat="1">
      <alignment readingOrder="0"/>
    </xf>
    <xf borderId="19" fillId="2" fontId="44" numFmtId="0" xfId="0" applyAlignment="1" applyBorder="1" applyFill="1" applyFont="1">
      <alignment horizontal="center" readingOrder="0" vertical="center"/>
    </xf>
    <xf borderId="19" fillId="2" fontId="32" numFmtId="49" xfId="0" applyAlignment="1" applyBorder="1" applyFill="1" applyFont="1" applyNumberFormat="1">
      <alignment readingOrder="0" vertical="center"/>
    </xf>
    <xf borderId="19" fillId="2" fontId="32" numFmtId="0" xfId="0" applyAlignment="1" applyBorder="1" applyFill="1" applyFont="1">
      <alignment readingOrder="0" vertical="center"/>
    </xf>
    <xf borderId="19" fillId="2" fontId="32" numFmtId="0" xfId="0" applyAlignment="1" applyBorder="1" applyFill="1" applyFont="1">
      <alignment vertical="center"/>
    </xf>
    <xf borderId="19" fillId="2" fontId="32" numFmtId="0" xfId="0" applyAlignment="1" applyBorder="1" applyFill="1" applyFont="1">
      <alignment horizontal="left" readingOrder="0" vertical="center"/>
    </xf>
    <xf borderId="19" fillId="0" fontId="14" numFmtId="4" xfId="0" applyAlignment="1" applyBorder="1" applyFont="1" applyNumberFormat="1">
      <alignment readingOrder="0" vertical="center"/>
    </xf>
    <xf borderId="19" fillId="0" fontId="32" numFmtId="4" xfId="0" applyAlignment="1" applyBorder="1" applyFont="1" applyNumberFormat="1">
      <alignment readingOrder="0" vertical="center"/>
    </xf>
    <xf borderId="0" fillId="0" fontId="32" numFmtId="4" xfId="0" applyAlignment="1" applyFont="1" applyNumberFormat="1">
      <alignment readingOrder="0" vertical="center"/>
    </xf>
    <xf borderId="2" fillId="2" fontId="32" numFmtId="4" xfId="0" applyAlignment="1" applyBorder="1" applyFill="1" applyFont="1" applyNumberFormat="1">
      <alignment horizontal="left" readingOrder="0" shrinkToFit="0" vertical="center" wrapText="1"/>
    </xf>
    <xf borderId="19" fillId="2" fontId="32" numFmtId="1" xfId="0" applyAlignment="1" applyBorder="1" applyFill="1" applyFont="1" applyNumberFormat="1">
      <alignment horizontal="right" readingOrder="0" vertical="center"/>
    </xf>
    <xf borderId="19" fillId="2" fontId="43" numFmtId="168" xfId="0" applyAlignment="1" applyBorder="1" applyFill="1" applyFont="1" applyNumberFormat="1">
      <alignment horizontal="right" readingOrder="0"/>
    </xf>
    <xf borderId="19" fillId="0" fontId="32" numFmtId="4" xfId="0" applyAlignment="1" applyBorder="1" applyFont="1" applyNumberFormat="1">
      <alignment horizontal="right" readingOrder="0" vertical="center"/>
    </xf>
    <xf borderId="1" fillId="2" fontId="32" numFmtId="0" xfId="0" applyAlignment="1" applyBorder="1" applyFill="1" applyFont="1">
      <alignment horizontal="center" shrinkToFit="0" vertical="center" wrapText="1"/>
    </xf>
    <xf borderId="19" fillId="2" fontId="32" numFmtId="0" xfId="0" applyAlignment="1" applyBorder="1" applyFill="1" applyFont="1">
      <alignment horizontal="left" readingOrder="0" vertical="center"/>
    </xf>
    <xf borderId="19" fillId="2" fontId="32" numFmtId="170" xfId="0" applyAlignment="1" applyBorder="1" applyFill="1" applyFont="1" applyNumberFormat="1">
      <alignment horizontal="right" readingOrder="0" vertical="center"/>
    </xf>
    <xf borderId="5" fillId="2" fontId="25" numFmtId="0" xfId="0" applyAlignment="1" applyBorder="1" applyFill="1" applyFont="1">
      <alignment horizontal="center" readingOrder="0" shrinkToFit="0" vertical="center" wrapText="1"/>
    </xf>
    <xf borderId="1" fillId="0" fontId="33" numFmtId="4" xfId="0" applyAlignment="1" applyBorder="1" applyFont="1" applyNumberFormat="1">
      <alignment horizontal="center" readingOrder="0" shrinkToFit="0" vertical="center" wrapText="1"/>
    </xf>
    <xf borderId="0" fillId="0" fontId="40" numFmtId="0" xfId="0" applyAlignment="1" applyFont="1">
      <alignment horizontal="center" shrinkToFit="0" vertical="center" wrapText="1"/>
    </xf>
    <xf borderId="4" fillId="2" fontId="40" numFmtId="0" xfId="0" applyAlignment="1" applyBorder="1" applyFill="1" applyFont="1">
      <alignment horizontal="center" shrinkToFit="0" vertical="center" wrapText="1"/>
    </xf>
    <xf borderId="20" fillId="2" fontId="32" numFmtId="0" xfId="0" applyAlignment="1" applyBorder="1" applyFill="1" applyFont="1">
      <alignment horizontal="center" readingOrder="0" vertical="center"/>
    </xf>
    <xf borderId="5" fillId="2" fontId="11" numFmtId="0" xfId="0" applyAlignment="1" applyBorder="1" applyFill="1" applyFont="1">
      <alignment horizontal="left" readingOrder="0" shrinkToFit="0" vertical="center" wrapText="1"/>
    </xf>
    <xf borderId="1" fillId="2" fontId="25" numFmtId="0" xfId="0" applyAlignment="1" applyBorder="1" applyFill="1" applyFont="1">
      <alignment horizontal="left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4" fillId="2" fontId="32" numFmtId="0" xfId="0" applyAlignment="1" applyBorder="1" applyFill="1" applyFont="1">
      <alignment horizontal="left" readingOrder="0" shrinkToFit="0" vertical="center" wrapText="1"/>
    </xf>
    <xf borderId="1" fillId="2" fontId="32" numFmtId="0" xfId="0" applyAlignment="1" applyBorder="1" applyFill="1" applyFont="1">
      <alignment horizontal="left" readingOrder="0" shrinkToFit="0" vertical="top" wrapText="1"/>
    </xf>
    <xf borderId="19" fillId="2" fontId="32" numFmtId="0" xfId="0" applyAlignment="1" applyBorder="1" applyFill="1" applyFont="1">
      <alignment horizontal="center" readingOrder="0" vertical="center"/>
    </xf>
    <xf borderId="1" fillId="0" fontId="41" numFmtId="0" xfId="0" applyAlignment="1" applyBorder="1" applyFont="1">
      <alignment horizontal="center" readingOrder="0" shrinkToFit="0" vertical="top" wrapText="1"/>
    </xf>
    <xf borderId="1" fillId="2" fontId="30" numFmtId="0" xfId="0" applyAlignment="1" applyBorder="1" applyFill="1" applyFont="1">
      <alignment horizontal="left" shrinkToFit="0" vertical="center" wrapText="1"/>
    </xf>
    <xf borderId="19" fillId="2" fontId="45" numFmtId="0" xfId="0" applyAlignment="1" applyBorder="1" applyFill="1" applyFont="1">
      <alignment readingOrder="0" vertical="center"/>
    </xf>
    <xf borderId="20" fillId="2" fontId="30" numFmtId="0" xfId="0" applyAlignment="1" applyBorder="1" applyFill="1" applyFont="1">
      <alignment horizontal="center" shrinkToFit="0" wrapText="1"/>
    </xf>
    <xf borderId="19" fillId="2" fontId="46" numFmtId="0" xfId="0" applyBorder="1" applyFill="1" applyFont="1"/>
    <xf borderId="21" fillId="2" fontId="30" numFmtId="168" xfId="0" applyAlignment="1" applyBorder="1" applyFill="1" applyFont="1" applyNumberFormat="1">
      <alignment horizontal="center" shrinkToFit="0" wrapText="1"/>
    </xf>
    <xf borderId="19" fillId="0" fontId="32" numFmtId="1" xfId="0" applyAlignment="1" applyBorder="1" applyFont="1" applyNumberFormat="1">
      <alignment readingOrder="0" vertical="center"/>
    </xf>
    <xf borderId="21" fillId="2" fontId="30" numFmtId="49" xfId="0" applyAlignment="1" applyBorder="1" applyFill="1" applyFont="1" applyNumberFormat="1">
      <alignment horizontal="center" shrinkToFit="0" wrapText="1"/>
    </xf>
    <xf borderId="19" fillId="2" fontId="32" numFmtId="168" xfId="0" applyAlignment="1" applyBorder="1" applyFill="1" applyFont="1" applyNumberFormat="1">
      <alignment readingOrder="0"/>
    </xf>
    <xf borderId="22" fillId="2" fontId="30" numFmtId="0" xfId="0" applyAlignment="1" applyBorder="1" applyFill="1" applyFont="1">
      <alignment horizontal="center" shrinkToFit="0" wrapText="1"/>
    </xf>
    <xf borderId="21" fillId="2" fontId="30" numFmtId="0" xfId="0" applyAlignment="1" applyBorder="1" applyFill="1" applyFont="1">
      <alignment horizontal="center" shrinkToFit="0" wrapText="1"/>
    </xf>
    <xf borderId="22" fillId="2" fontId="30" numFmtId="0" xfId="0" applyAlignment="1" applyBorder="1" applyFill="1" applyFont="1">
      <alignment horizontal="center" shrinkToFit="0" wrapText="1"/>
    </xf>
    <xf borderId="21" fillId="2" fontId="30" numFmtId="4" xfId="0" applyAlignment="1" applyBorder="1" applyFill="1" applyFont="1" applyNumberFormat="1">
      <alignment horizontal="center" shrinkToFit="0" wrapText="1"/>
    </xf>
    <xf borderId="20" fillId="2" fontId="46" numFmtId="0" xfId="0" applyBorder="1" applyFill="1" applyFont="1"/>
    <xf borderId="19" fillId="2" fontId="43" numFmtId="4" xfId="0" applyBorder="1" applyFill="1" applyFont="1" applyNumberFormat="1"/>
    <xf borderId="20" fillId="2" fontId="46" numFmtId="169" xfId="0" applyBorder="1" applyFill="1" applyFont="1" applyNumberFormat="1"/>
    <xf borderId="19" fillId="2" fontId="46" numFmtId="169" xfId="0" applyBorder="1" applyFill="1" applyFont="1" applyNumberFormat="1"/>
    <xf borderId="19" fillId="2" fontId="47" numFmtId="0" xfId="0" applyAlignment="1" applyBorder="1" applyFill="1" applyFont="1">
      <alignment readingOrder="0"/>
    </xf>
    <xf borderId="19" fillId="2" fontId="46" numFmtId="168" xfId="0" applyBorder="1" applyFill="1" applyFont="1" applyNumberFormat="1"/>
    <xf borderId="14" fillId="2" fontId="3" numFmtId="0" xfId="0" applyAlignment="1" applyBorder="1" applyFill="1" applyFont="1">
      <alignment horizontal="left" readingOrder="0" shrinkToFit="0" vertical="center" wrapText="1"/>
    </xf>
    <xf borderId="19" fillId="2" fontId="46" numFmtId="49" xfId="0" applyBorder="1" applyFill="1" applyFont="1" applyNumberFormat="1"/>
    <xf borderId="25" fillId="2" fontId="46" numFmtId="0" xfId="0" applyBorder="1" applyFill="1" applyFont="1"/>
    <xf borderId="19" fillId="2" fontId="30" numFmtId="0" xfId="0" applyBorder="1" applyFill="1" applyFont="1"/>
    <xf borderId="19" fillId="2" fontId="43" numFmtId="4" xfId="0" applyAlignment="1" applyBorder="1" applyFill="1" applyFont="1" applyNumberFormat="1">
      <alignment horizontal="right" readingOrder="0" shrinkToFit="0" wrapText="1"/>
    </xf>
    <xf borderId="3" fillId="2" fontId="46" numFmtId="0" xfId="0" applyBorder="1" applyFill="1" applyFont="1"/>
    <xf borderId="26" fillId="2" fontId="46" numFmtId="0" xfId="0" applyBorder="1" applyFill="1" applyFont="1"/>
    <xf borderId="19" fillId="2" fontId="46" numFmtId="4" xfId="0" applyBorder="1" applyFill="1" applyFont="1" applyNumberFormat="1"/>
    <xf borderId="20" fillId="12" fontId="48" numFmtId="4" xfId="0" applyAlignment="1" applyBorder="1" applyFill="1" applyFont="1" applyNumberFormat="1">
      <alignment horizontal="center"/>
    </xf>
    <xf borderId="19" fillId="12" fontId="46" numFmtId="1" xfId="0" applyBorder="1" applyFill="1" applyFont="1" applyNumberFormat="1"/>
    <xf borderId="19" fillId="12" fontId="46" numFmtId="168" xfId="0" applyAlignment="1" applyBorder="1" applyFill="1" applyFont="1" applyNumberFormat="1">
      <alignment vertical="bottom"/>
    </xf>
    <xf borderId="20" fillId="2" fontId="43" numFmtId="0" xfId="0" applyAlignment="1" applyBorder="1" applyFill="1" applyFont="1">
      <alignment horizontal="center" readingOrder="0" vertical="center"/>
    </xf>
    <xf borderId="19" fillId="2" fontId="43" numFmtId="4" xfId="0" applyAlignment="1" applyBorder="1" applyFill="1" applyFont="1" applyNumberFormat="1">
      <alignment readingOrder="0"/>
    </xf>
    <xf borderId="19" fillId="12" fontId="49" numFmtId="0" xfId="0" applyAlignment="1" applyBorder="1" applyFill="1" applyFont="1">
      <alignment horizontal="center"/>
    </xf>
    <xf borderId="19" fillId="0" fontId="37" numFmtId="49" xfId="0" applyBorder="1" applyFont="1" applyNumberFormat="1"/>
    <xf borderId="19" fillId="12" fontId="37" numFmtId="0" xfId="0" applyBorder="1" applyFill="1" applyFont="1"/>
    <xf borderId="19" fillId="12" fontId="37" numFmtId="0" xfId="0" applyAlignment="1" applyBorder="1" applyFill="1" applyFont="1">
      <alignment readingOrder="0"/>
    </xf>
    <xf borderId="19" fillId="12" fontId="30" numFmtId="4" xfId="0" applyAlignment="1" applyBorder="1" applyFill="1" applyFont="1" applyNumberFormat="1">
      <alignment horizontal="right"/>
    </xf>
    <xf borderId="26" fillId="2" fontId="43" numFmtId="4" xfId="0" applyAlignment="1" applyBorder="1" applyFill="1" applyFont="1" applyNumberFormat="1">
      <alignment horizontal="center" readingOrder="0" vertical="center"/>
    </xf>
    <xf borderId="19" fillId="2" fontId="50" numFmtId="0" xfId="0" applyAlignment="1" applyBorder="1" applyFill="1" applyFont="1">
      <alignment horizontal="right" readingOrder="0"/>
    </xf>
    <xf borderId="19" fillId="12" fontId="37" numFmtId="4" xfId="0" applyAlignment="1" applyBorder="1" applyFill="1" applyFont="1" applyNumberFormat="1">
      <alignment horizontal="right"/>
    </xf>
    <xf borderId="19" fillId="12" fontId="46" numFmtId="4" xfId="0" applyBorder="1" applyFill="1" applyFont="1" applyNumberFormat="1"/>
    <xf borderId="0" fillId="0" fontId="51" numFmtId="0" xfId="0" applyAlignment="1" applyFont="1">
      <alignment readingOrder="0"/>
    </xf>
    <xf borderId="19" fillId="12" fontId="37" numFmtId="1" xfId="0" applyAlignment="1" applyBorder="1" applyFill="1" applyFont="1" applyNumberFormat="1">
      <alignment horizontal="center"/>
    </xf>
    <xf borderId="19" fillId="12" fontId="46" numFmtId="0" xfId="0" applyBorder="1" applyFill="1" applyFont="1"/>
    <xf borderId="19" fillId="2" fontId="50" numFmtId="4" xfId="0" applyAlignment="1" applyBorder="1" applyFill="1" applyFont="1" applyNumberFormat="1">
      <alignment horizontal="right" readingOrder="0"/>
    </xf>
    <xf borderId="19" fillId="12" fontId="37" numFmtId="1" xfId="0" applyAlignment="1" applyBorder="1" applyFill="1" applyFont="1" applyNumberFormat="1">
      <alignment horizontal="right"/>
    </xf>
    <xf borderId="19" fillId="12" fontId="48" numFmtId="168" xfId="0" applyAlignment="1" applyBorder="1" applyFill="1" applyFont="1" applyNumberFormat="1">
      <alignment horizontal="right" vertical="bottom"/>
    </xf>
    <xf borderId="19" fillId="12" fontId="48" numFmtId="1" xfId="0" applyAlignment="1" applyBorder="1" applyFill="1" applyFont="1" applyNumberFormat="1">
      <alignment horizontal="center"/>
    </xf>
    <xf borderId="19" fillId="2" fontId="32" numFmtId="49" xfId="0" applyAlignment="1" applyBorder="1" applyFill="1" applyFont="1" applyNumberFormat="1">
      <alignment readingOrder="0" vertical="center"/>
    </xf>
    <xf borderId="20" fillId="12" fontId="37" numFmtId="4" xfId="0" applyAlignment="1" applyBorder="1" applyFill="1" applyFont="1" applyNumberFormat="1">
      <alignment horizontal="center"/>
    </xf>
    <xf borderId="20" fillId="12" fontId="37" numFmtId="0" xfId="0" applyAlignment="1" applyBorder="1" applyFill="1" applyFont="1">
      <alignment horizontal="center"/>
    </xf>
    <xf borderId="19" fillId="2" fontId="43" numFmtId="1" xfId="0" applyAlignment="1" applyBorder="1" applyFill="1" applyFont="1" applyNumberFormat="1">
      <alignment horizontal="center" readingOrder="0" vertical="center"/>
    </xf>
    <xf borderId="19" fillId="12" fontId="37" numFmtId="170" xfId="0" applyAlignment="1" applyBorder="1" applyFill="1" applyFont="1" applyNumberFormat="1">
      <alignment horizontal="right"/>
    </xf>
    <xf borderId="11" fillId="2" fontId="14" numFmtId="0" xfId="0" applyAlignment="1" applyBorder="1" applyFill="1" applyFont="1">
      <alignment horizontal="left" readingOrder="0" shrinkToFit="0" vertical="center" wrapText="1"/>
    </xf>
    <xf borderId="19" fillId="12" fontId="52" numFmtId="0" xfId="0" applyBorder="1" applyFill="1" applyFont="1"/>
    <xf borderId="1" fillId="2" fontId="41" numFmtId="0" xfId="0" applyAlignment="1" applyBorder="1" applyFill="1" applyFont="1">
      <alignment horizontal="center" readingOrder="0" shrinkToFit="0" vertical="center" wrapText="1"/>
    </xf>
    <xf borderId="1" fillId="2" fontId="37" numFmtId="49" xfId="0" applyAlignment="1" applyBorder="1" applyFill="1" applyFont="1" applyNumberFormat="1">
      <alignment horizontal="center" readingOrder="0" shrinkToFit="0" vertical="center" wrapText="1"/>
    </xf>
    <xf borderId="2" fillId="2" fontId="37" numFmtId="0" xfId="0" applyAlignment="1" applyBorder="1" applyFill="1" applyFont="1">
      <alignment horizontal="left" readingOrder="0" shrinkToFit="0" vertical="top" wrapText="1"/>
    </xf>
    <xf borderId="1" fillId="2" fontId="14" numFmtId="0" xfId="0" applyAlignment="1" applyBorder="1" applyFill="1" applyFont="1">
      <alignment horizontal="left" readingOrder="0" shrinkToFit="0" vertical="center" wrapText="1"/>
    </xf>
    <xf borderId="1" fillId="0" fontId="37" numFmtId="0" xfId="0" applyAlignment="1" applyBorder="1" applyFont="1">
      <alignment horizontal="center" readingOrder="0" shrinkToFit="0" vertical="top" wrapText="1"/>
    </xf>
    <xf borderId="1" fillId="2" fontId="14" numFmtId="49" xfId="0" applyAlignment="1" applyBorder="1" applyFill="1" applyFont="1" applyNumberFormat="1">
      <alignment horizontal="center" readingOrder="0" shrinkToFit="0" vertical="center" wrapText="1"/>
    </xf>
    <xf borderId="1" fillId="9" fontId="30" numFmtId="0" xfId="0" applyAlignment="1" applyBorder="1" applyFill="1" applyFont="1">
      <alignment horizontal="left" readingOrder="0" shrinkToFit="0" vertical="center" wrapText="1"/>
    </xf>
    <xf borderId="1" fillId="0" fontId="37" numFmtId="49" xfId="0" applyAlignment="1" applyBorder="1" applyFont="1" applyNumberFormat="1">
      <alignment horizontal="center" readingOrder="0" shrinkToFit="0" vertical="center" wrapText="1"/>
    </xf>
    <xf borderId="2" fillId="0" fontId="37" numFmtId="0" xfId="0" applyAlignment="1" applyBorder="1" applyFont="1">
      <alignment horizontal="left" readingOrder="0" shrinkToFit="0" vertical="top" wrapText="1"/>
    </xf>
    <xf borderId="1" fillId="0" fontId="37" numFmtId="4" xfId="0" applyAlignment="1" applyBorder="1" applyFont="1" applyNumberFormat="1">
      <alignment horizontal="center" readingOrder="0" shrinkToFit="0" vertical="center" wrapText="1"/>
    </xf>
    <xf borderId="1" fillId="0" fontId="32" numFmtId="0" xfId="0" applyAlignment="1" applyBorder="1" applyFont="1">
      <alignment horizontal="left" readingOrder="0" shrinkToFit="0" vertical="top" wrapText="1"/>
    </xf>
    <xf borderId="20" fillId="2" fontId="48" numFmtId="4" xfId="0" applyAlignment="1" applyBorder="1" applyFill="1" applyFont="1" applyNumberFormat="1">
      <alignment horizontal="center" readingOrder="0" vertical="center"/>
    </xf>
    <xf borderId="19" fillId="12" fontId="46" numFmtId="4" xfId="0" applyAlignment="1" applyBorder="1" applyFill="1" applyFont="1" applyNumberFormat="1">
      <alignment vertical="bottom"/>
    </xf>
    <xf borderId="19" fillId="2" fontId="48" numFmtId="4" xfId="0" applyBorder="1" applyFill="1" applyFont="1" applyNumberFormat="1"/>
    <xf borderId="19" fillId="2" fontId="37" numFmtId="168" xfId="0" applyAlignment="1" applyBorder="1" applyFill="1" applyFont="1" applyNumberFormat="1">
      <alignment readingOrder="0"/>
    </xf>
    <xf borderId="11" fillId="2" fontId="53" numFmtId="49" xfId="0" applyAlignment="1" applyBorder="1" applyFill="1" applyFont="1" applyNumberFormat="1">
      <alignment horizontal="center" readingOrder="0" shrinkToFit="0" vertical="center" wrapText="1"/>
    </xf>
    <xf borderId="19" fillId="12" fontId="54" numFmtId="0" xfId="0" applyAlignment="1" applyBorder="1" applyFill="1" applyFont="1">
      <alignment vertical="bottom"/>
    </xf>
    <xf borderId="19" fillId="2" fontId="55" numFmtId="0" xfId="0" applyAlignment="1" applyBorder="1" applyFill="1" applyFont="1">
      <alignment horizontal="center" readingOrder="0" vertical="center"/>
    </xf>
    <xf borderId="11" fillId="9" fontId="29" numFmtId="49" xfId="0" applyAlignment="1" applyBorder="1" applyFill="1" applyFont="1" applyNumberFormat="1">
      <alignment horizontal="right" readingOrder="0" shrinkToFit="0" vertical="center" wrapText="1"/>
    </xf>
    <xf borderId="19" fillId="0" fontId="30" numFmtId="4" xfId="0" applyAlignment="1" applyBorder="1" applyFont="1" applyNumberFormat="1">
      <alignment readingOrder="0" vertical="center"/>
    </xf>
    <xf borderId="19" fillId="0" fontId="37" numFmtId="4" xfId="0" applyAlignment="1" applyBorder="1" applyFont="1" applyNumberFormat="1">
      <alignment readingOrder="0" vertical="center"/>
    </xf>
    <xf borderId="0" fillId="0" fontId="37" numFmtId="4" xfId="0" applyAlignment="1" applyFont="1" applyNumberFormat="1">
      <alignment readingOrder="0" vertical="center"/>
    </xf>
    <xf borderId="20" fillId="0" fontId="37" numFmtId="4" xfId="0" applyAlignment="1" applyBorder="1" applyFont="1" applyNumberFormat="1">
      <alignment horizontal="center"/>
    </xf>
    <xf borderId="19" fillId="0" fontId="46" numFmtId="1" xfId="0" applyBorder="1" applyFont="1" applyNumberFormat="1"/>
    <xf borderId="19" fillId="0" fontId="37" numFmtId="1" xfId="0" applyAlignment="1" applyBorder="1" applyFont="1" applyNumberFormat="1">
      <alignment readingOrder="0"/>
    </xf>
    <xf borderId="19" fillId="0" fontId="37" numFmtId="168" xfId="0" applyAlignment="1" applyBorder="1" applyFont="1" applyNumberFormat="1">
      <alignment horizontal="center" readingOrder="0" vertical="bottom"/>
    </xf>
    <xf borderId="0" fillId="12" fontId="46" numFmtId="4" xfId="0" applyFill="1" applyFont="1" applyNumberFormat="1"/>
    <xf borderId="12" fillId="9" fontId="12" numFmtId="4" xfId="0" applyAlignment="1" applyBorder="1" applyFill="1" applyFont="1" applyNumberFormat="1">
      <alignment horizontal="center" shrinkToFit="0" vertical="center" wrapText="1"/>
    </xf>
    <xf borderId="19" fillId="0" fontId="37" numFmtId="0" xfId="0" applyAlignment="1" applyBorder="1" applyFont="1">
      <alignment horizontal="center" readingOrder="0"/>
    </xf>
    <xf borderId="19" fillId="0" fontId="37" numFmtId="49" xfId="0" applyAlignment="1" applyBorder="1" applyFont="1" applyNumberFormat="1">
      <alignment readingOrder="0"/>
    </xf>
    <xf borderId="19" fillId="0" fontId="37" numFmtId="0" xfId="0" applyBorder="1" applyFont="1"/>
    <xf borderId="19" fillId="0" fontId="37" numFmtId="0" xfId="0" applyAlignment="1" applyBorder="1" applyFont="1">
      <alignment readingOrder="0"/>
    </xf>
    <xf borderId="19" fillId="0" fontId="30" numFmtId="4" xfId="0" applyAlignment="1" applyBorder="1" applyFont="1" applyNumberFormat="1">
      <alignment horizontal="right" readingOrder="0"/>
    </xf>
    <xf borderId="26" fillId="12" fontId="48" numFmtId="4" xfId="0" applyAlignment="1" applyBorder="1" applyFill="1" applyFont="1" applyNumberFormat="1">
      <alignment horizontal="center"/>
    </xf>
    <xf borderId="19" fillId="12" fontId="46" numFmtId="1" xfId="0" applyAlignment="1" applyBorder="1" applyFill="1" applyFont="1" applyNumberFormat="1">
      <alignment vertical="bottom"/>
    </xf>
    <xf borderId="19" fillId="0" fontId="37" numFmtId="4" xfId="0" applyAlignment="1" applyBorder="1" applyFont="1" applyNumberFormat="1">
      <alignment horizontal="left" readingOrder="0"/>
    </xf>
    <xf borderId="0" fillId="0" fontId="46" numFmtId="4" xfId="0" applyFont="1" applyNumberFormat="1"/>
    <xf borderId="12" fillId="6" fontId="17" numFmtId="4" xfId="0" applyAlignment="1" applyBorder="1" applyFill="1" applyFont="1" applyNumberFormat="1">
      <alignment horizontal="center" shrinkToFit="0" vertical="center" wrapText="1"/>
    </xf>
    <xf borderId="0" fillId="12" fontId="56" numFmtId="0" xfId="0" applyAlignment="1" applyFill="1" applyFont="1">
      <alignment vertical="bottom"/>
    </xf>
    <xf borderId="19" fillId="12" fontId="37" numFmtId="49" xfId="0" applyBorder="1" applyFill="1" applyFont="1" applyNumberFormat="1"/>
    <xf borderId="19" fillId="0" fontId="37" numFmtId="4" xfId="0" applyAlignment="1" applyBorder="1" applyFont="1" applyNumberFormat="1">
      <alignment horizontal="right" readingOrder="0" vertical="center"/>
    </xf>
    <xf borderId="19" fillId="12" fontId="57" numFmtId="0" xfId="0" applyAlignment="1" applyBorder="1" applyFill="1" applyFont="1">
      <alignment horizontal="right" vertical="bottom"/>
    </xf>
    <xf borderId="20" fillId="0" fontId="48" numFmtId="4" xfId="0" applyAlignment="1" applyBorder="1" applyFont="1" applyNumberFormat="1">
      <alignment horizontal="center"/>
    </xf>
    <xf borderId="12" fillId="9" fontId="29" numFmtId="0" xfId="0" applyAlignment="1" applyBorder="1" applyFill="1" applyFont="1">
      <alignment horizontal="left" readingOrder="0" shrinkToFit="0" vertical="center" wrapText="1"/>
    </xf>
    <xf borderId="1" fillId="9" fontId="29" numFmtId="0" xfId="0" applyAlignment="1" applyBorder="1" applyFill="1" applyFont="1">
      <alignment horizontal="center" readingOrder="0" shrinkToFit="0" vertical="center" wrapText="1"/>
    </xf>
    <xf borderId="19" fillId="0" fontId="37" numFmtId="171" xfId="0" applyAlignment="1" applyBorder="1" applyFont="1" applyNumberFormat="1">
      <alignment horizontal="center" readingOrder="0"/>
    </xf>
    <xf borderId="1" fillId="2" fontId="30" numFmtId="4" xfId="0" applyAlignment="1" applyBorder="1" applyFill="1" applyFont="1" applyNumberFormat="1">
      <alignment horizontal="center" readingOrder="0" shrinkToFit="0" vertical="center" wrapText="1"/>
    </xf>
    <xf borderId="1" fillId="6" fontId="18" numFmtId="4" xfId="0" applyAlignment="1" applyBorder="1" applyFill="1" applyFont="1" applyNumberFormat="1">
      <alignment horizontal="center" readingOrder="0" shrinkToFit="0" vertical="center" wrapText="1"/>
    </xf>
    <xf borderId="19" fillId="12" fontId="57" numFmtId="4" xfId="0" applyAlignment="1" applyBorder="1" applyFill="1" applyFont="1" applyNumberFormat="1">
      <alignment horizontal="center"/>
    </xf>
    <xf borderId="20" fillId="0" fontId="48" numFmtId="4" xfId="0" applyAlignment="1" applyBorder="1" applyFont="1" applyNumberFormat="1">
      <alignment horizontal="center" vertical="center"/>
    </xf>
    <xf borderId="19" fillId="0" fontId="46" numFmtId="1" xfId="0" applyAlignment="1" applyBorder="1" applyFont="1" applyNumberFormat="1">
      <alignment vertical="center"/>
    </xf>
    <xf borderId="19" fillId="12" fontId="57" numFmtId="4" xfId="0" applyAlignment="1" applyBorder="1" applyFill="1" applyFont="1" applyNumberFormat="1">
      <alignment horizontal="right" vertical="bottom"/>
    </xf>
    <xf borderId="19" fillId="0" fontId="37" numFmtId="1" xfId="0" applyAlignment="1" applyBorder="1" applyFont="1" applyNumberFormat="1">
      <alignment vertical="center"/>
    </xf>
    <xf borderId="19" fillId="0" fontId="37" numFmtId="168" xfId="0" applyAlignment="1" applyBorder="1" applyFont="1" applyNumberFormat="1">
      <alignment horizontal="center" readingOrder="0" vertical="center"/>
    </xf>
    <xf borderId="19" fillId="0" fontId="37" numFmtId="0" xfId="0" applyAlignment="1" applyBorder="1" applyFont="1">
      <alignment horizontal="center" readingOrder="0" vertical="center"/>
    </xf>
    <xf borderId="19" fillId="0" fontId="37" numFmtId="49" xfId="0" applyAlignment="1" applyBorder="1" applyFont="1" applyNumberFormat="1">
      <alignment readingOrder="0" vertical="center"/>
    </xf>
    <xf borderId="19" fillId="0" fontId="37" numFmtId="0" xfId="0" applyAlignment="1" applyBorder="1" applyFont="1">
      <alignment vertical="center"/>
    </xf>
    <xf borderId="19" fillId="0" fontId="37" numFmtId="0" xfId="0" applyAlignment="1" applyBorder="1" applyFont="1">
      <alignment readingOrder="0" vertical="center"/>
    </xf>
    <xf borderId="19" fillId="0" fontId="30" numFmtId="4" xfId="0" applyAlignment="1" applyBorder="1" applyFont="1" applyNumberFormat="1">
      <alignment horizontal="right" readingOrder="0" vertical="center"/>
    </xf>
    <xf borderId="19" fillId="0" fontId="37" numFmtId="4" xfId="0" applyAlignment="1" applyBorder="1" applyFont="1" applyNumberFormat="1">
      <alignment horizontal="right"/>
    </xf>
    <xf borderId="19" fillId="0" fontId="46" numFmtId="4" xfId="0" applyAlignment="1" applyBorder="1" applyFont="1" applyNumberFormat="1">
      <alignment vertical="center"/>
    </xf>
    <xf borderId="19" fillId="0" fontId="37" numFmtId="4" xfId="0" applyAlignment="1" applyBorder="1" applyFont="1" applyNumberFormat="1">
      <alignment vertical="center"/>
    </xf>
    <xf borderId="0" fillId="0" fontId="46" numFmtId="4" xfId="0" applyAlignment="1" applyFont="1" applyNumberFormat="1">
      <alignment vertical="center"/>
    </xf>
    <xf borderId="19" fillId="0" fontId="48" numFmtId="1" xfId="0" applyAlignment="1" applyBorder="1" applyFont="1" applyNumberFormat="1">
      <alignment readingOrder="0"/>
    </xf>
    <xf borderId="20" fillId="0" fontId="32" numFmtId="0" xfId="0" applyAlignment="1" applyBorder="1" applyFont="1">
      <alignment horizontal="center" readingOrder="0" vertical="center"/>
    </xf>
    <xf borderId="19" fillId="0" fontId="48" numFmtId="1" xfId="0" applyAlignment="1" applyBorder="1" applyFont="1" applyNumberFormat="1">
      <alignment horizontal="center" readingOrder="0" vertical="center"/>
    </xf>
    <xf borderId="19" fillId="0" fontId="32" numFmtId="1" xfId="0" applyAlignment="1" applyBorder="1" applyFont="1" applyNumberFormat="1">
      <alignment horizontal="left" readingOrder="0" vertical="center"/>
    </xf>
    <xf borderId="19" fillId="0" fontId="37" numFmtId="168" xfId="0" applyAlignment="1" applyBorder="1" applyFont="1" applyNumberFormat="1">
      <alignment readingOrder="0"/>
    </xf>
    <xf borderId="19" fillId="0" fontId="37" numFmtId="0" xfId="0" applyAlignment="1" applyBorder="1" applyFont="1">
      <alignment horizontal="center" readingOrder="0" vertical="center"/>
    </xf>
    <xf borderId="19" fillId="0" fontId="32" numFmtId="49" xfId="0" applyAlignment="1" applyBorder="1" applyFont="1" applyNumberFormat="1">
      <alignment readingOrder="0" vertical="center"/>
    </xf>
    <xf borderId="19" fillId="2" fontId="37" numFmtId="0" xfId="0" applyAlignment="1" applyBorder="1" applyFill="1" applyFont="1">
      <alignment readingOrder="0"/>
    </xf>
    <xf borderId="19" fillId="0" fontId="32" numFmtId="0" xfId="0" applyAlignment="1" applyBorder="1" applyFont="1">
      <alignment readingOrder="0" shrinkToFit="0" vertical="center" wrapText="1"/>
    </xf>
    <xf borderId="19" fillId="0" fontId="32" numFmtId="0" xfId="0" applyAlignment="1" applyBorder="1" applyFont="1">
      <alignment horizontal="left" readingOrder="0" vertical="center"/>
    </xf>
    <xf borderId="19" fillId="12" fontId="58" numFmtId="0" xfId="0" applyAlignment="1" applyBorder="1" applyFill="1" applyFont="1">
      <alignment vertical="bottom"/>
    </xf>
    <xf borderId="19" fillId="2" fontId="48" numFmtId="1" xfId="0" applyAlignment="1" applyBorder="1" applyFill="1" applyFont="1" applyNumberFormat="1">
      <alignment horizontal="center" readingOrder="0" vertical="center"/>
    </xf>
    <xf borderId="19" fillId="2" fontId="48" numFmtId="1" xfId="0" applyAlignment="1" applyBorder="1" applyFill="1" applyFont="1" applyNumberFormat="1">
      <alignment horizontal="right" readingOrder="0" vertical="center"/>
    </xf>
    <xf borderId="19" fillId="2" fontId="48" numFmtId="168" xfId="0" applyAlignment="1" applyBorder="1" applyFill="1" applyFont="1" applyNumberFormat="1">
      <alignment readingOrder="0"/>
    </xf>
    <xf borderId="19" fillId="2" fontId="37" numFmtId="0" xfId="0" applyAlignment="1" applyBorder="1" applyFill="1" applyFont="1">
      <alignment horizontal="center" readingOrder="0" vertical="center"/>
    </xf>
    <xf borderId="19" fillId="12" fontId="59" numFmtId="0" xfId="0" applyBorder="1" applyFill="1" applyFont="1"/>
    <xf borderId="19" fillId="12" fontId="60" numFmtId="0" xfId="0" applyAlignment="1" applyBorder="1" applyFill="1" applyFont="1">
      <alignment readingOrder="0"/>
    </xf>
    <xf borderId="19" fillId="2" fontId="61" numFmtId="0" xfId="0" applyAlignment="1" applyBorder="1" applyFill="1" applyFont="1">
      <alignment readingOrder="0" vertical="center"/>
    </xf>
    <xf borderId="1" fillId="2" fontId="62" numFmtId="4" xfId="0" applyAlignment="1" applyBorder="1" applyFill="1" applyFont="1" applyNumberFormat="1">
      <alignment horizontal="center" readingOrder="0" shrinkToFit="0" vertical="center" wrapText="1"/>
    </xf>
    <xf borderId="1" fillId="6" fontId="24" numFmtId="4" xfId="0" applyAlignment="1" applyBorder="1" applyFill="1" applyFont="1" applyNumberFormat="1">
      <alignment horizontal="center" readingOrder="0" shrinkToFit="0" vertical="center" wrapText="1"/>
    </xf>
    <xf borderId="19" fillId="12" fontId="37" numFmtId="4" xfId="0" applyBorder="1" applyFill="1" applyFont="1" applyNumberFormat="1"/>
    <xf borderId="19" fillId="12" fontId="37" numFmtId="4" xfId="0" applyAlignment="1" applyBorder="1" applyFill="1" applyFont="1" applyNumberFormat="1">
      <alignment horizontal="center"/>
    </xf>
    <xf borderId="19" fillId="2" fontId="63" numFmtId="1" xfId="0" applyAlignment="1" applyBorder="1" applyFill="1" applyFont="1" applyNumberFormat="1">
      <alignment horizontal="center" readingOrder="0" vertical="center"/>
    </xf>
    <xf borderId="19" fillId="2" fontId="37" numFmtId="0" xfId="0" applyAlignment="1" applyBorder="1" applyFill="1" applyFont="1">
      <alignment horizontal="left" readingOrder="0" vertical="center"/>
    </xf>
    <xf borderId="0" fillId="0" fontId="36" numFmtId="49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19" fillId="2" fontId="48" numFmtId="1" xfId="0" applyAlignment="1" applyBorder="1" applyFill="1" applyFont="1" applyNumberFormat="1">
      <alignment horizontal="center" readingOrder="0" vertical="center"/>
    </xf>
    <xf borderId="0" fillId="6" fontId="64" numFmtId="0" xfId="0" applyAlignment="1" applyFill="1" applyFont="1">
      <alignment horizontal="center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11" fillId="12" fontId="30" numFmtId="0" xfId="0" applyAlignment="1" applyBorder="1" applyFill="1" applyFont="1">
      <alignment readingOrder="0" shrinkToFit="0" wrapText="1"/>
    </xf>
    <xf borderId="19" fillId="2" fontId="65" numFmtId="0" xfId="0" applyAlignment="1" applyBorder="1" applyFill="1" applyFont="1">
      <alignment readingOrder="0"/>
    </xf>
    <xf borderId="19" fillId="12" fontId="48" numFmtId="4" xfId="0" applyAlignment="1" applyBorder="1" applyFill="1" applyFont="1" applyNumberFormat="1">
      <alignment horizontal="center"/>
    </xf>
    <xf borderId="19" fillId="2" fontId="37" numFmtId="0" xfId="0" applyAlignment="1" applyBorder="1" applyFill="1" applyFont="1">
      <alignment readingOrder="0"/>
    </xf>
    <xf borderId="19" fillId="12" fontId="66" numFmtId="0" xfId="0" applyAlignment="1" applyBorder="1" applyFill="1" applyFont="1">
      <alignment horizontal="center"/>
    </xf>
    <xf borderId="19" fillId="2" fontId="67" numFmtId="0" xfId="0" applyAlignment="1" applyBorder="1" applyFill="1" applyFont="1">
      <alignment readingOrder="0"/>
    </xf>
    <xf borderId="1" fillId="12" fontId="37" numFmtId="4" xfId="0" applyAlignment="1" applyBorder="1" applyFill="1" applyFont="1" applyNumberFormat="1">
      <alignment vertical="bottom"/>
    </xf>
    <xf borderId="19" fillId="12" fontId="46" numFmtId="0" xfId="0" applyAlignment="1" applyBorder="1" applyFill="1" applyFont="1">
      <alignment vertical="bottom"/>
    </xf>
    <xf borderId="19" fillId="12" fontId="46" numFmtId="49" xfId="0" applyAlignment="1" applyBorder="1" applyFill="1" applyFont="1" applyNumberFormat="1">
      <alignment vertical="bottom"/>
    </xf>
    <xf borderId="19" fillId="12" fontId="37" numFmtId="0" xfId="0" applyAlignment="1" applyBorder="1" applyFill="1" applyFont="1">
      <alignment vertical="bottom"/>
    </xf>
    <xf borderId="19" fillId="12" fontId="30" numFmtId="4" xfId="0" applyAlignment="1" applyBorder="1" applyFill="1" applyFont="1" applyNumberFormat="1">
      <alignment horizontal="right" vertical="bottom"/>
    </xf>
    <xf borderId="19" fillId="2" fontId="32" numFmtId="172" xfId="0" applyAlignment="1" applyBorder="1" applyFill="1" applyFont="1" applyNumberFormat="1">
      <alignment horizontal="center" readingOrder="0" vertical="center"/>
    </xf>
    <xf borderId="0" fillId="0" fontId="10" numFmtId="4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2" fontId="11" numFmtId="4" xfId="0" applyAlignment="1" applyBorder="1" applyFill="1" applyFont="1" applyNumberFormat="1">
      <alignment horizontal="left" readingOrder="0" shrinkToFit="0" vertical="center" wrapText="1"/>
    </xf>
    <xf borderId="0" fillId="6" fontId="68" numFmtId="0" xfId="0" applyAlignment="1" applyFill="1" applyFont="1">
      <alignment horizontal="center" shrinkToFit="0" vertical="center" wrapText="1"/>
    </xf>
    <xf borderId="19" fillId="2" fontId="69" numFmtId="0" xfId="0" applyAlignment="1" applyBorder="1" applyFill="1" applyFont="1">
      <alignment horizontal="left" readingOrder="0" vertical="center"/>
    </xf>
    <xf borderId="19" fillId="12" fontId="70" numFmtId="0" xfId="0" applyAlignment="1" applyBorder="1" applyFill="1" applyFont="1">
      <alignment readingOrder="0" vertical="bottom"/>
    </xf>
    <xf borderId="0" fillId="2" fontId="32" numFmtId="0" xfId="0" applyAlignment="1" applyFill="1" applyFont="1">
      <alignment horizontal="center" readingOrder="0" textRotation="255" vertical="center"/>
    </xf>
    <xf borderId="0" fillId="2" fontId="32" numFmtId="168" xfId="0" applyAlignment="1" applyFill="1" applyFont="1" applyNumberFormat="1">
      <alignment horizontal="center" vertical="center"/>
    </xf>
    <xf borderId="0" fillId="2" fontId="71" numFmtId="49" xfId="0" applyAlignment="1" applyFill="1" applyFont="1" applyNumberFormat="1">
      <alignment horizontal="center" vertical="center"/>
    </xf>
    <xf borderId="0" fillId="2" fontId="14" numFmtId="49" xfId="0" applyAlignment="1" applyFill="1" applyFont="1" applyNumberFormat="1">
      <alignment vertical="center"/>
    </xf>
    <xf borderId="0" fillId="2" fontId="32" numFmtId="0" xfId="0" applyAlignment="1" applyFill="1" applyFont="1">
      <alignment vertical="center"/>
    </xf>
    <xf borderId="0" fillId="2" fontId="32" numFmtId="0" xfId="0" applyAlignment="1" applyFill="1" applyFont="1">
      <alignment horizontal="left" vertical="center"/>
    </xf>
    <xf borderId="0" fillId="2" fontId="32" numFmtId="4" xfId="0" applyAlignment="1" applyFill="1" applyFont="1" applyNumberFormat="1">
      <alignment vertical="center"/>
    </xf>
    <xf borderId="0" fillId="2" fontId="14" numFmtId="0" xfId="0" applyAlignment="1" applyFill="1" applyFont="1">
      <alignment shrinkToFit="0" vertical="center" wrapText="1"/>
    </xf>
    <xf borderId="0" fillId="2" fontId="72" numFmtId="49" xfId="0" applyAlignment="1" applyFill="1" applyFont="1" applyNumberFormat="1">
      <alignment horizontal="center" readingOrder="0" vertical="center"/>
    </xf>
    <xf borderId="2" fillId="13" fontId="32" numFmtId="0" xfId="0" applyAlignment="1" applyBorder="1" applyFill="1" applyFont="1">
      <alignment horizontal="right" readingOrder="0" vertical="center"/>
    </xf>
    <xf borderId="0" fillId="2" fontId="14" numFmtId="0" xfId="0" applyAlignment="1" applyFill="1" applyFont="1">
      <alignment readingOrder="0" shrinkToFit="0" vertical="center" wrapText="1"/>
    </xf>
    <xf borderId="24" fillId="13" fontId="32" numFmtId="0" xfId="0" applyAlignment="1" applyBorder="1" applyFill="1" applyFont="1">
      <alignment horizontal="right" vertical="center"/>
    </xf>
    <xf borderId="1" fillId="13" fontId="14" numFmtId="4" xfId="0" applyAlignment="1" applyBorder="1" applyFill="1" applyFont="1" applyNumberFormat="1">
      <alignment vertical="center"/>
    </xf>
    <xf borderId="19" fillId="12" fontId="73" numFmtId="0" xfId="0" applyAlignment="1" applyBorder="1" applyFill="1" applyFont="1">
      <alignment readingOrder="0" vertical="bottom"/>
    </xf>
    <xf borderId="19" fillId="12" fontId="46" numFmtId="171" xfId="0" applyBorder="1" applyFill="1" applyFont="1" applyNumberFormat="1"/>
    <xf borderId="25" fillId="14" fontId="32" numFmtId="0" xfId="0" applyAlignment="1" applyBorder="1" applyFill="1" applyFont="1">
      <alignment horizontal="right" shrinkToFit="0" vertical="center" wrapText="1"/>
    </xf>
    <xf borderId="20" fillId="14" fontId="14" numFmtId="4" xfId="0" applyAlignment="1" applyBorder="1" applyFill="1" applyFont="1" applyNumberFormat="1">
      <alignment vertical="center"/>
    </xf>
    <xf borderId="25" fillId="13" fontId="32" numFmtId="0" xfId="0" applyAlignment="1" applyBorder="1" applyFill="1" applyFont="1">
      <alignment horizontal="right" shrinkToFit="0" vertical="center" wrapText="1"/>
    </xf>
    <xf borderId="20" fillId="13" fontId="14" numFmtId="4" xfId="0" applyAlignment="1" applyBorder="1" applyFill="1" applyFont="1" applyNumberFormat="1">
      <alignment vertical="center"/>
    </xf>
    <xf borderId="19" fillId="12" fontId="74" numFmtId="0" xfId="0" applyAlignment="1" applyBorder="1" applyFill="1" applyFont="1">
      <alignment vertical="bottom"/>
    </xf>
    <xf borderId="20" fillId="12" fontId="75" numFmtId="4" xfId="0" applyAlignment="1" applyBorder="1" applyFill="1" applyFont="1" applyNumberFormat="1">
      <alignment horizontal="center"/>
    </xf>
    <xf borderId="19" fillId="12" fontId="75" numFmtId="1" xfId="0" applyAlignment="1" applyBorder="1" applyFill="1" applyFont="1" applyNumberFormat="1">
      <alignment horizontal="center"/>
    </xf>
    <xf borderId="19" fillId="12" fontId="76" numFmtId="0" xfId="0" applyAlignment="1" applyBorder="1" applyFill="1" applyFont="1">
      <alignment horizontal="center"/>
    </xf>
    <xf borderId="19" fillId="12" fontId="75" numFmtId="0" xfId="0" applyBorder="1" applyFill="1" applyFont="1"/>
    <xf borderId="19" fillId="12" fontId="75" numFmtId="0" xfId="0" applyAlignment="1" applyBorder="1" applyFill="1" applyFont="1">
      <alignment readingOrder="0"/>
    </xf>
    <xf borderId="19" fillId="12" fontId="77" numFmtId="4" xfId="0" applyAlignment="1" applyBorder="1" applyFill="1" applyFont="1" applyNumberFormat="1">
      <alignment horizontal="right"/>
    </xf>
    <xf borderId="19" fillId="12" fontId="75" numFmtId="4" xfId="0" applyAlignment="1" applyBorder="1" applyFill="1" applyFont="1" applyNumberFormat="1">
      <alignment horizontal="right"/>
    </xf>
    <xf borderId="20" fillId="6" fontId="78" numFmtId="4" xfId="0" applyAlignment="1" applyBorder="1" applyFill="1" applyFont="1" applyNumberFormat="1">
      <alignment horizontal="center"/>
    </xf>
    <xf borderId="19" fillId="6" fontId="46" numFmtId="1" xfId="0" applyBorder="1" applyFill="1" applyFont="1" applyNumberFormat="1"/>
    <xf borderId="25" fillId="0" fontId="32" numFmtId="0" xfId="0" applyAlignment="1" applyBorder="1" applyFont="1">
      <alignment horizontal="right" shrinkToFit="0" vertical="center" wrapText="1"/>
    </xf>
    <xf borderId="19" fillId="6" fontId="46" numFmtId="172" xfId="0" applyBorder="1" applyFill="1" applyFont="1" applyNumberFormat="1"/>
    <xf borderId="26" fillId="0" fontId="32" numFmtId="4" xfId="0" applyAlignment="1" applyBorder="1" applyFont="1" applyNumberFormat="1">
      <alignment vertical="center"/>
    </xf>
    <xf borderId="19" fillId="6" fontId="46" numFmtId="168" xfId="0" applyAlignment="1" applyBorder="1" applyFill="1" applyFont="1" applyNumberFormat="1">
      <alignment vertical="bottom"/>
    </xf>
    <xf borderId="25" fillId="6" fontId="32" numFmtId="0" xfId="0" applyAlignment="1" applyBorder="1" applyFill="1" applyFont="1">
      <alignment horizontal="right" shrinkToFit="0" vertical="center" wrapText="1"/>
    </xf>
    <xf borderId="19" fillId="6" fontId="79" numFmtId="0" xfId="0" applyAlignment="1" applyBorder="1" applyFill="1" applyFont="1">
      <alignment horizontal="center"/>
    </xf>
    <xf borderId="20" fillId="6" fontId="14" numFmtId="4" xfId="0" applyAlignment="1" applyBorder="1" applyFill="1" applyFont="1" applyNumberFormat="1">
      <alignment vertical="center"/>
    </xf>
    <xf borderId="19" fillId="6" fontId="78" numFmtId="0" xfId="0" applyBorder="1" applyFill="1" applyFont="1"/>
    <xf borderId="19" fillId="6" fontId="80" numFmtId="4" xfId="0" applyAlignment="1" applyBorder="1" applyFill="1" applyFont="1" applyNumberFormat="1">
      <alignment horizontal="right"/>
    </xf>
    <xf borderId="19" fillId="6" fontId="78" numFmtId="4" xfId="0" applyAlignment="1" applyBorder="1" applyFill="1" applyFont="1" applyNumberFormat="1">
      <alignment horizontal="right"/>
    </xf>
    <xf borderId="19" fillId="6" fontId="46" numFmtId="4" xfId="0" applyBorder="1" applyFill="1" applyFont="1" applyNumberFormat="1"/>
    <xf borderId="19" fillId="12" fontId="46" numFmtId="172" xfId="0" applyBorder="1" applyFill="1" applyFont="1" applyNumberFormat="1"/>
    <xf borderId="1" fillId="2" fontId="11" numFmtId="164" xfId="0" applyAlignment="1" applyBorder="1" applyFill="1" applyFont="1" applyNumberFormat="1">
      <alignment horizontal="center" readingOrder="0" shrinkToFit="0" vertical="center" wrapText="1"/>
    </xf>
    <xf borderId="1" fillId="2" fontId="11" numFmtId="165" xfId="0" applyAlignment="1" applyBorder="1" applyFill="1" applyFont="1" applyNumberFormat="1">
      <alignment horizontal="center" readingOrder="0" shrinkToFit="0" vertical="center" wrapText="1"/>
    </xf>
    <xf borderId="25" fillId="15" fontId="32" numFmtId="0" xfId="0" applyAlignment="1" applyBorder="1" applyFill="1" applyFont="1">
      <alignment horizontal="right" shrinkToFit="0" vertical="center" wrapText="1"/>
    </xf>
    <xf borderId="20" fillId="15" fontId="14" numFmtId="4" xfId="0" applyAlignment="1" applyBorder="1" applyFill="1" applyFont="1" applyNumberFormat="1">
      <alignment vertical="center"/>
    </xf>
    <xf borderId="0" fillId="2" fontId="32" numFmtId="169" xfId="0" applyAlignment="1" applyFill="1" applyFont="1" applyNumberFormat="1">
      <alignment horizontal="center" vertical="center"/>
    </xf>
    <xf borderId="25" fillId="16" fontId="32" numFmtId="0" xfId="0" applyAlignment="1" applyBorder="1" applyFill="1" applyFont="1">
      <alignment horizontal="right" readingOrder="0" shrinkToFit="0" vertical="center" wrapText="1"/>
    </xf>
    <xf borderId="20" fillId="16" fontId="14" numFmtId="4" xfId="0" applyAlignment="1" applyBorder="1" applyFill="1" applyFont="1" applyNumberFormat="1">
      <alignment vertical="center"/>
    </xf>
    <xf borderId="19" fillId="12" fontId="81" numFmtId="0" xfId="0" applyAlignment="1" applyBorder="1" applyFill="1" applyFont="1">
      <alignment readingOrder="0"/>
    </xf>
    <xf borderId="1" fillId="2" fontId="20" numFmtId="49" xfId="0" applyAlignment="1" applyBorder="1" applyFill="1" applyFont="1" applyNumberFormat="1">
      <alignment horizontal="center" readingOrder="0" shrinkToFit="0" vertical="center" wrapText="1"/>
    </xf>
    <xf borderId="0" fillId="2" fontId="37" numFmtId="4" xfId="0" applyAlignment="1" applyFill="1" applyFont="1" applyNumberFormat="1">
      <alignment horizontal="center" textRotation="255"/>
    </xf>
    <xf borderId="1" fillId="2" fontId="20" numFmtId="0" xfId="0" applyAlignment="1" applyBorder="1" applyFill="1" applyFont="1">
      <alignment horizontal="center" readingOrder="0" shrinkToFit="0" vertical="center" wrapText="1"/>
    </xf>
    <xf borderId="0" fillId="2" fontId="37" numFmtId="1" xfId="0" applyAlignment="1" applyFill="1" applyFont="1" applyNumberFormat="1">
      <alignment horizontal="center" textRotation="255"/>
    </xf>
    <xf borderId="1" fillId="2" fontId="20" numFmtId="0" xfId="0" applyAlignment="1" applyBorder="1" applyFill="1" applyFont="1">
      <alignment horizontal="center" shrinkToFit="0" vertical="center" wrapText="1"/>
    </xf>
    <xf borderId="0" fillId="2" fontId="46" numFmtId="1" xfId="0" applyFill="1" applyFont="1" applyNumberFormat="1"/>
    <xf borderId="0" fillId="2" fontId="46" numFmtId="168" xfId="0" applyFill="1" applyFont="1" applyNumberFormat="1"/>
    <xf borderId="0" fillId="2" fontId="46" numFmtId="49" xfId="0" applyFill="1" applyFont="1" applyNumberFormat="1"/>
    <xf borderId="0" fillId="2" fontId="46" numFmtId="0" xfId="0" applyFill="1" applyFont="1"/>
    <xf borderId="0" fillId="2" fontId="46" numFmtId="4" xfId="0" applyFill="1" applyFont="1" applyNumberFormat="1"/>
    <xf borderId="19" fillId="0" fontId="46" numFmtId="4" xfId="0" applyBorder="1" applyFont="1" applyNumberFormat="1"/>
    <xf borderId="1" fillId="6" fontId="82" numFmtId="4" xfId="0" applyAlignment="1" applyBorder="1" applyFill="1" applyFont="1" applyNumberFormat="1">
      <alignment horizontal="center" shrinkToFit="0" vertical="center" wrapText="1"/>
    </xf>
    <xf borderId="2" fillId="13" fontId="37" numFmtId="0" xfId="0" applyAlignment="1" applyBorder="1" applyFill="1" applyFont="1">
      <alignment horizontal="right"/>
    </xf>
    <xf borderId="2" fillId="6" fontId="82" numFmtId="4" xfId="0" applyAlignment="1" applyBorder="1" applyFill="1" applyFont="1" applyNumberFormat="1">
      <alignment horizontal="center" shrinkToFit="0" vertical="center" wrapText="1"/>
    </xf>
    <xf borderId="9" fillId="6" fontId="82" numFmtId="4" xfId="0" applyAlignment="1" applyBorder="1" applyFill="1" applyFont="1" applyNumberFormat="1">
      <alignment horizontal="center" shrinkToFit="0" vertical="center" wrapText="1"/>
    </xf>
    <xf borderId="24" fillId="13" fontId="37" numFmtId="0" xfId="0" applyAlignment="1" applyBorder="1" applyFill="1" applyFont="1">
      <alignment horizontal="right"/>
    </xf>
    <xf borderId="1" fillId="13" fontId="30" numFmtId="4" xfId="0" applyAlignment="1" applyBorder="1" applyFill="1" applyFont="1" applyNumberFormat="1">
      <alignment horizontal="right"/>
    </xf>
    <xf borderId="1" fillId="9" fontId="83" numFmtId="0" xfId="0" applyAlignment="1" applyBorder="1" applyFill="1" applyFont="1">
      <alignment horizontal="center" readingOrder="0" shrinkToFit="0" vertical="center" wrapText="1"/>
    </xf>
    <xf borderId="1" fillId="13" fontId="46" numFmtId="4" xfId="0" applyBorder="1" applyFill="1" applyFont="1" applyNumberFormat="1"/>
    <xf borderId="25" fillId="12" fontId="32" numFmtId="0" xfId="0" applyAlignment="1" applyBorder="1" applyFill="1" applyFont="1">
      <alignment horizontal="right" readingOrder="0" shrinkToFit="0" vertical="center" wrapText="1"/>
    </xf>
    <xf borderId="1" fillId="6" fontId="84" numFmtId="4" xfId="0" applyAlignment="1" applyBorder="1" applyFill="1" applyFont="1" applyNumberFormat="1">
      <alignment horizontal="center" readingOrder="0" shrinkToFit="0" vertical="center" wrapText="1"/>
    </xf>
    <xf borderId="25" fillId="14" fontId="37" numFmtId="0" xfId="0" applyAlignment="1" applyBorder="1" applyFill="1" applyFont="1">
      <alignment horizontal="right" shrinkToFit="0" wrapText="1"/>
    </xf>
    <xf borderId="2" fillId="6" fontId="84" numFmtId="4" xfId="0" applyAlignment="1" applyBorder="1" applyFill="1" applyFont="1" applyNumberFormat="1">
      <alignment horizontal="center" readingOrder="0" shrinkToFit="0" vertical="center" wrapText="1"/>
    </xf>
    <xf borderId="20" fillId="12" fontId="14" numFmtId="4" xfId="0" applyAlignment="1" applyBorder="1" applyFill="1" applyFont="1" applyNumberFormat="1">
      <alignment vertical="center"/>
    </xf>
    <xf borderId="9" fillId="6" fontId="84" numFmtId="4" xfId="0" applyAlignment="1" applyBorder="1" applyFill="1" applyFont="1" applyNumberFormat="1">
      <alignment horizontal="center" readingOrder="0" shrinkToFit="0" vertical="center" wrapText="1"/>
    </xf>
    <xf borderId="1" fillId="2" fontId="85" numFmtId="0" xfId="0" applyAlignment="1" applyBorder="1" applyFill="1" applyFont="1">
      <alignment horizontal="center" shrinkToFit="0" vertical="center" wrapText="1"/>
    </xf>
    <xf borderId="0" fillId="0" fontId="85" numFmtId="0" xfId="0" applyAlignment="1" applyFont="1">
      <alignment horizontal="center" shrinkToFit="0" vertical="center" wrapText="1"/>
    </xf>
    <xf borderId="4" fillId="2" fontId="85" numFmtId="0" xfId="0" applyAlignment="1" applyBorder="1" applyFill="1" applyFont="1">
      <alignment horizontal="center" shrinkToFit="0" vertical="center" wrapText="1"/>
    </xf>
    <xf borderId="1" fillId="0" fontId="86" numFmtId="0" xfId="0" applyAlignment="1" applyBorder="1" applyFont="1">
      <alignment horizontal="center" readingOrder="0" shrinkToFit="0" vertical="center" wrapText="1"/>
    </xf>
    <xf borderId="20" fillId="14" fontId="30" numFmtId="4" xfId="0" applyAlignment="1" applyBorder="1" applyFill="1" applyFont="1" applyNumberFormat="1">
      <alignment horizontal="right"/>
    </xf>
    <xf borderId="22" fillId="15" fontId="32" numFmtId="0" xfId="0" applyAlignment="1" applyBorder="1" applyFill="1" applyFont="1">
      <alignment horizontal="right" shrinkToFit="0" vertical="center" wrapText="1"/>
    </xf>
    <xf borderId="20" fillId="14" fontId="46" numFmtId="4" xfId="0" applyBorder="1" applyFill="1" applyFont="1" applyNumberFormat="1"/>
    <xf borderId="27" fillId="0" fontId="8" numFmtId="0" xfId="0" applyBorder="1" applyFont="1"/>
    <xf borderId="28" fillId="15" fontId="14" numFmtId="4" xfId="0" applyAlignment="1" applyBorder="1" applyFill="1" applyFont="1" applyNumberFormat="1">
      <alignment vertical="center"/>
    </xf>
    <xf borderId="1" fillId="2" fontId="25" numFmtId="0" xfId="0" applyAlignment="1" applyBorder="1" applyFill="1" applyFont="1">
      <alignment horizontal="left" readingOrder="0" shrinkToFit="0" vertical="top" wrapText="1"/>
    </xf>
    <xf borderId="25" fillId="13" fontId="37" numFmtId="0" xfId="0" applyAlignment="1" applyBorder="1" applyFill="1" applyFont="1">
      <alignment horizontal="right" shrinkToFit="0" wrapText="1"/>
    </xf>
    <xf borderId="0" fillId="0" fontId="32" numFmtId="0" xfId="0" applyAlignment="1" applyFont="1">
      <alignment horizontal="left" readingOrder="0" shrinkToFit="0" vertical="top" wrapText="1"/>
    </xf>
    <xf borderId="4" fillId="2" fontId="32" numFmtId="0" xfId="0" applyAlignment="1" applyBorder="1" applyFill="1" applyFont="1">
      <alignment horizontal="left" readingOrder="0" shrinkToFit="0" vertical="top" wrapText="1"/>
    </xf>
    <xf borderId="0" fillId="2" fontId="32" numFmtId="0" xfId="0" applyAlignment="1" applyFill="1" applyFont="1">
      <alignment shrinkToFit="0" vertical="center" wrapText="1"/>
    </xf>
    <xf borderId="1" fillId="0" fontId="86" numFmtId="0" xfId="0" applyAlignment="1" applyBorder="1" applyFont="1">
      <alignment horizontal="center" readingOrder="0" shrinkToFit="0" vertical="top" wrapText="1"/>
    </xf>
    <xf borderId="20" fillId="13" fontId="30" numFmtId="4" xfId="0" applyAlignment="1" applyBorder="1" applyFill="1" applyFont="1" applyNumberFormat="1">
      <alignment horizontal="right"/>
    </xf>
    <xf borderId="29" fillId="17" fontId="32" numFmtId="0" xfId="0" applyAlignment="1" applyBorder="1" applyFill="1" applyFont="1">
      <alignment horizontal="right" shrinkToFit="0" vertical="center" wrapText="1"/>
    </xf>
    <xf borderId="11" fillId="2" fontId="11" numFmtId="0" xfId="0" applyAlignment="1" applyBorder="1" applyFill="1" applyFont="1">
      <alignment horizontal="left" readingOrder="0" shrinkToFit="0" vertical="center" wrapText="1"/>
    </xf>
    <xf borderId="30" fillId="0" fontId="8" numFmtId="0" xfId="0" applyBorder="1" applyFont="1"/>
    <xf borderId="20" fillId="13" fontId="46" numFmtId="4" xfId="0" applyBorder="1" applyFill="1" applyFont="1" applyNumberFormat="1"/>
    <xf borderId="1" fillId="2" fontId="11" numFmtId="0" xfId="0" applyAlignment="1" applyBorder="1" applyFill="1" applyFont="1">
      <alignment horizontal="left" readingOrder="0" shrinkToFit="0" wrapText="1"/>
    </xf>
    <xf borderId="31" fillId="17" fontId="14" numFmtId="4" xfId="0" applyAlignment="1" applyBorder="1" applyFill="1" applyFont="1" applyNumberFormat="1">
      <alignment vertical="center"/>
    </xf>
    <xf borderId="1" fillId="2" fontId="87" numFmtId="4" xfId="0" applyAlignment="1" applyBorder="1" applyFill="1" applyFont="1" applyNumberFormat="1">
      <alignment horizontal="center" shrinkToFit="0" vertical="center" wrapText="1"/>
    </xf>
    <xf borderId="2" fillId="2" fontId="87" numFmtId="4" xfId="0" applyAlignment="1" applyBorder="1" applyFill="1" applyFont="1" applyNumberFormat="1">
      <alignment horizontal="center" shrinkToFit="0" vertical="center" wrapText="1"/>
    </xf>
    <xf borderId="9" fillId="2" fontId="87" numFmtId="4" xfId="0" applyAlignment="1" applyBorder="1" applyFill="1" applyFont="1" applyNumberFormat="1">
      <alignment horizontal="center" shrinkToFit="0" vertical="center" wrapText="1"/>
    </xf>
    <xf borderId="24" fillId="17" fontId="32" numFmtId="0" xfId="0" applyAlignment="1" applyBorder="1" applyFill="1" applyFont="1">
      <alignment horizontal="right" shrinkToFit="0" vertical="center" wrapText="1"/>
    </xf>
    <xf borderId="32" fillId="17" fontId="14" numFmtId="4" xfId="0" applyAlignment="1" applyBorder="1" applyFill="1" applyFont="1" applyNumberFormat="1">
      <alignment vertical="center"/>
    </xf>
    <xf borderId="1" fillId="2" fontId="83" numFmtId="0" xfId="0" applyAlignment="1" applyBorder="1" applyFill="1" applyFont="1">
      <alignment horizontal="center" readingOrder="0" shrinkToFit="0" vertical="center" wrapText="1"/>
    </xf>
    <xf borderId="0" fillId="2" fontId="11" numFmtId="0" xfId="0" applyAlignment="1" applyFill="1" applyFont="1">
      <alignment horizontal="left" readingOrder="0" vertical="center"/>
    </xf>
    <xf borderId="1" fillId="0" fontId="11" numFmtId="0" xfId="0" applyAlignment="1" applyBorder="1" applyFont="1">
      <alignment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33" fillId="17" fontId="32" numFmtId="0" xfId="0" applyAlignment="1" applyBorder="1" applyFill="1" applyFont="1">
      <alignment horizontal="right" shrinkToFit="0" vertical="center" wrapText="1"/>
    </xf>
    <xf borderId="34" fillId="0" fontId="8" numFmtId="0" xfId="0" applyBorder="1" applyFont="1"/>
    <xf borderId="35" fillId="17" fontId="14" numFmtId="4" xfId="0" applyAlignment="1" applyBorder="1" applyFill="1" applyFont="1" applyNumberFormat="1">
      <alignment vertical="center"/>
    </xf>
    <xf borderId="1" fillId="2" fontId="82" numFmtId="4" xfId="0" applyAlignment="1" applyBorder="1" applyFill="1" applyFont="1" applyNumberFormat="1">
      <alignment horizontal="center" shrinkToFit="0" vertical="center" wrapText="1"/>
    </xf>
    <xf borderId="2" fillId="2" fontId="82" numFmtId="4" xfId="0" applyAlignment="1" applyBorder="1" applyFill="1" applyFont="1" applyNumberFormat="1">
      <alignment horizontal="center" shrinkToFit="0" vertical="center" wrapText="1"/>
    </xf>
    <xf borderId="9" fillId="2" fontId="82" numFmtId="4" xfId="0" applyAlignment="1" applyBorder="1" applyFill="1" applyFont="1" applyNumberFormat="1">
      <alignment horizontal="center" shrinkToFit="0" vertical="center" wrapText="1"/>
    </xf>
    <xf borderId="25" fillId="0" fontId="37" numFmtId="0" xfId="0" applyAlignment="1" applyBorder="1" applyFont="1">
      <alignment horizontal="right" shrinkToFit="0" wrapText="1"/>
    </xf>
    <xf borderId="26" fillId="0" fontId="46" numFmtId="4" xfId="0" applyBorder="1" applyFont="1" applyNumberFormat="1"/>
    <xf borderId="25" fillId="6" fontId="37" numFmtId="0" xfId="0" applyAlignment="1" applyBorder="1" applyFill="1" applyFont="1">
      <alignment horizontal="right" shrinkToFit="0" wrapText="1"/>
    </xf>
    <xf borderId="20" fillId="6" fontId="30" numFmtId="4" xfId="0" applyAlignment="1" applyBorder="1" applyFill="1" applyFont="1" applyNumberFormat="1">
      <alignment horizontal="right"/>
    </xf>
    <xf borderId="20" fillId="6" fontId="46" numFmtId="4" xfId="0" applyBorder="1" applyFill="1" applyFont="1" applyNumberFormat="1"/>
    <xf borderId="1" fillId="2" fontId="84" numFmtId="4" xfId="0" applyAlignment="1" applyBorder="1" applyFill="1" applyFont="1" applyNumberFormat="1">
      <alignment horizontal="center" readingOrder="0" shrinkToFit="0" vertical="center" wrapText="1"/>
    </xf>
    <xf borderId="2" fillId="2" fontId="84" numFmtId="4" xfId="0" applyAlignment="1" applyBorder="1" applyFill="1" applyFont="1" applyNumberFormat="1">
      <alignment horizontal="center" readingOrder="0" shrinkToFit="0" vertical="center" wrapText="1"/>
    </xf>
    <xf borderId="9" fillId="2" fontId="84" numFmtId="4" xfId="0" applyAlignment="1" applyBorder="1" applyFill="1" applyFont="1" applyNumberFormat="1">
      <alignment horizontal="center" readingOrder="0" shrinkToFit="0" vertical="center" wrapText="1"/>
    </xf>
    <xf borderId="25" fillId="6" fontId="37" numFmtId="0" xfId="0" applyAlignment="1" applyBorder="1" applyFill="1" applyFont="1">
      <alignment horizontal="right" shrinkToFit="0" wrapText="1"/>
    </xf>
    <xf borderId="0" fillId="2" fontId="46" numFmtId="0" xfId="0" applyFill="1" applyFont="1"/>
    <xf borderId="1" fillId="2" fontId="86" numFmtId="0" xfId="0" applyAlignment="1" applyBorder="1" applyFill="1" applyFont="1">
      <alignment horizontal="center" readingOrder="0" shrinkToFit="0" vertical="center" wrapText="1"/>
    </xf>
    <xf borderId="1" fillId="2" fontId="86" numFmtId="0" xfId="0" applyAlignment="1" applyBorder="1" applyFill="1" applyFont="1">
      <alignment horizontal="center" readingOrder="0" shrinkToFit="0" vertical="top" wrapText="1"/>
    </xf>
    <xf borderId="25" fillId="15" fontId="37" numFmtId="0" xfId="0" applyAlignment="1" applyBorder="1" applyFill="1" applyFont="1">
      <alignment horizontal="right" shrinkToFit="0" wrapText="1"/>
    </xf>
    <xf borderId="20" fillId="15" fontId="30" numFmtId="4" xfId="0" applyAlignment="1" applyBorder="1" applyFill="1" applyFont="1" applyNumberFormat="1">
      <alignment horizontal="right"/>
    </xf>
    <xf borderId="20" fillId="15" fontId="46" numFmtId="4" xfId="0" applyBorder="1" applyFill="1" applyFont="1" applyNumberFormat="1"/>
    <xf borderId="0" fillId="2" fontId="46" numFmtId="169" xfId="0" applyFill="1" applyFont="1" applyNumberFormat="1"/>
    <xf borderId="25" fillId="16" fontId="37" numFmtId="0" xfId="0" applyAlignment="1" applyBorder="1" applyFill="1" applyFont="1">
      <alignment horizontal="right" shrinkToFit="0" wrapText="1"/>
    </xf>
    <xf borderId="20" fillId="16" fontId="30" numFmtId="4" xfId="0" applyAlignment="1" applyBorder="1" applyFill="1" applyFont="1" applyNumberFormat="1">
      <alignment horizontal="right"/>
    </xf>
    <xf borderId="20" fillId="16" fontId="46" numFmtId="4" xfId="0" applyBorder="1" applyFill="1" applyFont="1" applyNumberFormat="1"/>
    <xf borderId="25" fillId="14" fontId="37" numFmtId="0" xfId="0" applyAlignment="1" applyBorder="1" applyFill="1" applyFont="1">
      <alignment horizontal="right" shrinkToFit="0" wrapText="1"/>
    </xf>
    <xf borderId="25" fillId="12" fontId="37" numFmtId="0" xfId="0" applyAlignment="1" applyBorder="1" applyFill="1" applyFont="1">
      <alignment horizontal="right" shrinkToFit="0" wrapText="1"/>
    </xf>
    <xf borderId="20" fillId="12" fontId="30" numFmtId="4" xfId="0" applyAlignment="1" applyBorder="1" applyFill="1" applyFont="1" applyNumberFormat="1">
      <alignment horizontal="right"/>
    </xf>
    <xf borderId="20" fillId="12" fontId="46" numFmtId="4" xfId="0" applyBorder="1" applyFill="1" applyFont="1" applyNumberFormat="1"/>
    <xf borderId="22" fillId="15" fontId="37" numFmtId="0" xfId="0" applyAlignment="1" applyBorder="1" applyFill="1" applyFont="1">
      <alignment horizontal="right" shrinkToFit="0" wrapText="1"/>
    </xf>
    <xf borderId="28" fillId="15" fontId="30" numFmtId="4" xfId="0" applyAlignment="1" applyBorder="1" applyFill="1" applyFont="1" applyNumberFormat="1">
      <alignment horizontal="right"/>
    </xf>
    <xf borderId="28" fillId="15" fontId="46" numFmtId="4" xfId="0" applyBorder="1" applyFill="1" applyFont="1" applyNumberFormat="1"/>
    <xf borderId="29" fillId="17" fontId="37" numFmtId="0" xfId="0" applyAlignment="1" applyBorder="1" applyFill="1" applyFont="1">
      <alignment horizontal="right" shrinkToFit="0" wrapText="1"/>
    </xf>
    <xf borderId="31" fillId="17" fontId="30" numFmtId="4" xfId="0" applyAlignment="1" applyBorder="1" applyFill="1" applyFont="1" applyNumberFormat="1">
      <alignment horizontal="right"/>
    </xf>
    <xf borderId="31" fillId="17" fontId="46" numFmtId="4" xfId="0" applyBorder="1" applyFill="1" applyFont="1" applyNumberFormat="1"/>
    <xf borderId="24" fillId="17" fontId="37" numFmtId="0" xfId="0" applyAlignment="1" applyBorder="1" applyFill="1" applyFont="1">
      <alignment horizontal="right" shrinkToFit="0" wrapText="1"/>
    </xf>
    <xf borderId="32" fillId="17" fontId="30" numFmtId="4" xfId="0" applyAlignment="1" applyBorder="1" applyFill="1" applyFont="1" applyNumberFormat="1">
      <alignment horizontal="right"/>
    </xf>
    <xf borderId="32" fillId="17" fontId="46" numFmtId="4" xfId="0" applyBorder="1" applyFill="1" applyFont="1" applyNumberFormat="1"/>
    <xf borderId="33" fillId="17" fontId="37" numFmtId="0" xfId="0" applyAlignment="1" applyBorder="1" applyFill="1" applyFont="1">
      <alignment horizontal="right" shrinkToFit="0" wrapText="1"/>
    </xf>
    <xf borderId="35" fillId="17" fontId="30" numFmtId="4" xfId="0" applyAlignment="1" applyBorder="1" applyFill="1" applyFont="1" applyNumberFormat="1">
      <alignment horizontal="right"/>
    </xf>
    <xf borderId="35" fillId="17" fontId="46" numFmtId="4" xfId="0" applyBorder="1" applyFill="1" applyFont="1" applyNumberFormat="1"/>
    <xf borderId="22" fillId="2" fontId="30" numFmtId="49" xfId="0" applyAlignment="1" applyBorder="1" applyFill="1" applyFont="1" applyNumberFormat="1">
      <alignment horizontal="center" shrinkToFit="0" wrapText="1"/>
    </xf>
    <xf borderId="5" fillId="2" fontId="32" numFmtId="0" xfId="0" applyAlignment="1" applyBorder="1" applyFill="1" applyFont="1">
      <alignment horizontal="center" readingOrder="0" shrinkToFit="0" vertical="center" wrapText="1"/>
    </xf>
    <xf borderId="5" fillId="2" fontId="11" numFmtId="165" xfId="0" applyAlignment="1" applyBorder="1" applyFill="1" applyFont="1" applyNumberFormat="1">
      <alignment horizontal="center" readingOrder="0" shrinkToFit="0" vertical="center" wrapText="1"/>
    </xf>
    <xf borderId="19" fillId="2" fontId="46" numFmtId="0" xfId="0" applyBorder="1" applyFill="1" applyFont="1"/>
    <xf borderId="26" fillId="2" fontId="46" numFmtId="49" xfId="0" applyBorder="1" applyFill="1" applyFont="1" applyNumberFormat="1"/>
    <xf borderId="2" fillId="2" fontId="25" numFmtId="0" xfId="0" applyAlignment="1" applyBorder="1" applyFill="1" applyFont="1">
      <alignment horizontal="center" readingOrder="0" shrinkToFit="0" vertical="center" wrapText="1"/>
    </xf>
    <xf borderId="4" fillId="2" fontId="20" numFmtId="10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top" wrapText="1"/>
    </xf>
    <xf borderId="7" fillId="2" fontId="32" numFmtId="0" xfId="0" applyAlignment="1" applyBorder="1" applyFill="1" applyFont="1">
      <alignment horizontal="center" readingOrder="0" shrinkToFit="0" vertical="center" wrapText="1"/>
    </xf>
    <xf borderId="7" fillId="2" fontId="11" numFmtId="0" xfId="0" applyAlignment="1" applyBorder="1" applyFill="1" applyFont="1">
      <alignment horizontal="left" readingOrder="0" shrinkToFit="0" vertical="center" wrapText="1"/>
    </xf>
    <xf borderId="7" fillId="2" fontId="11" numFmtId="0" xfId="0" applyAlignment="1" applyBorder="1" applyFill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shrinkToFit="0" vertical="center" wrapText="1"/>
    </xf>
    <xf borderId="36" fillId="12" fontId="88" numFmtId="4" xfId="0" applyAlignment="1" applyBorder="1" applyFill="1" applyFont="1" applyNumberFormat="1">
      <alignment vertical="bottom"/>
    </xf>
    <xf borderId="36" fillId="12" fontId="89" numFmtId="4" xfId="0" applyBorder="1" applyFill="1" applyFont="1" applyNumberFormat="1"/>
    <xf borderId="1" fillId="0" fontId="25" numFmtId="0" xfId="0" applyAlignment="1" applyBorder="1" applyFont="1">
      <alignment horizontal="left" readingOrder="0" shrinkToFit="0" vertical="top" wrapText="1"/>
    </xf>
    <xf borderId="4" fillId="0" fontId="32" numFmtId="0" xfId="0" applyAlignment="1" applyBorder="1" applyFont="1">
      <alignment horizontal="left" readingOrder="0" shrinkToFit="0" vertical="top" wrapText="1"/>
    </xf>
    <xf borderId="19" fillId="2" fontId="32" numFmtId="49" xfId="0" applyAlignment="1" applyBorder="1" applyFill="1" applyFont="1" applyNumberFormat="1">
      <alignment horizontal="left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37" fillId="12" fontId="46" numFmtId="4" xfId="0" applyBorder="1" applyFill="1" applyFont="1" applyNumberFormat="1"/>
    <xf borderId="1" fillId="2" fontId="20" numFmtId="0" xfId="0" applyAlignment="1" applyBorder="1" applyFill="1" applyFont="1">
      <alignment horizontal="left" readingOrder="0" shrinkToFit="0" vertical="center" wrapText="1"/>
    </xf>
    <xf borderId="0" fillId="12" fontId="37" numFmtId="4" xfId="0" applyAlignment="1" applyFill="1" applyFont="1" applyNumberFormat="1">
      <alignment horizontal="right"/>
    </xf>
    <xf borderId="20" fillId="14" fontId="48" numFmtId="4" xfId="0" applyAlignment="1" applyBorder="1" applyFill="1" applyFont="1" applyNumberFormat="1">
      <alignment horizontal="center"/>
    </xf>
    <xf borderId="19" fillId="14" fontId="46" numFmtId="1" xfId="0" applyBorder="1" applyFill="1" applyFont="1" applyNumberFormat="1"/>
    <xf borderId="19" fillId="14" fontId="37" numFmtId="1" xfId="0" applyAlignment="1" applyBorder="1" applyFill="1" applyFont="1" applyNumberFormat="1">
      <alignment horizontal="center"/>
    </xf>
    <xf borderId="19" fillId="14" fontId="46" numFmtId="168" xfId="0" applyAlignment="1" applyBorder="1" applyFill="1" applyFont="1" applyNumberFormat="1">
      <alignment vertical="bottom"/>
    </xf>
    <xf borderId="19" fillId="14" fontId="46" numFmtId="0" xfId="0" applyBorder="1" applyFill="1" applyFont="1"/>
    <xf borderId="19" fillId="14" fontId="37" numFmtId="0" xfId="0" applyBorder="1" applyFill="1" applyFont="1"/>
    <xf borderId="19" fillId="14" fontId="37" numFmtId="49" xfId="0" applyBorder="1" applyFill="1" applyFont="1" applyNumberFormat="1"/>
    <xf borderId="19" fillId="14" fontId="30" numFmtId="4" xfId="0" applyAlignment="1" applyBorder="1" applyFill="1" applyFont="1" applyNumberFormat="1">
      <alignment horizontal="right"/>
    </xf>
    <xf borderId="0" fillId="0" fontId="53" numFmtId="49" xfId="0" applyAlignment="1" applyFont="1" applyNumberFormat="1">
      <alignment horizontal="center" readingOrder="0" shrinkToFit="0" vertical="center" wrapText="1"/>
    </xf>
    <xf borderId="12" fillId="2" fontId="53" numFmtId="49" xfId="0" applyAlignment="1" applyBorder="1" applyFill="1" applyFont="1" applyNumberFormat="1">
      <alignment horizontal="center" readingOrder="0" shrinkToFit="0" vertical="center" wrapText="1"/>
    </xf>
    <xf borderId="19" fillId="14" fontId="37" numFmtId="4" xfId="0" applyAlignment="1" applyBorder="1" applyFill="1" applyFont="1" applyNumberFormat="1">
      <alignment horizontal="right"/>
    </xf>
    <xf borderId="14" fillId="0" fontId="3" numFmtId="0" xfId="0" applyAlignment="1" applyBorder="1" applyFont="1">
      <alignment horizontal="left" readingOrder="0" shrinkToFit="0" vertical="top" wrapText="1"/>
    </xf>
    <xf borderId="19" fillId="14" fontId="46" numFmtId="4" xfId="0" applyBorder="1" applyFill="1" applyFont="1" applyNumberFormat="1"/>
    <xf borderId="37" fillId="14" fontId="37" numFmtId="4" xfId="0" applyBorder="1" applyFill="1" applyFont="1" applyNumberFormat="1"/>
    <xf borderId="0" fillId="14" fontId="37" numFmtId="4" xfId="0" applyAlignment="1" applyFill="1" applyFont="1" applyNumberFormat="1">
      <alignment horizontal="right"/>
    </xf>
    <xf borderId="0" fillId="14" fontId="46" numFmtId="4" xfId="0" applyFill="1" applyFont="1" applyNumberFormat="1"/>
    <xf borderId="11" fillId="2" fontId="29" numFmtId="49" xfId="0" applyAlignment="1" applyBorder="1" applyFill="1" applyFont="1" applyNumberFormat="1">
      <alignment horizontal="center" readingOrder="0" shrinkToFit="0" vertical="center" wrapText="1"/>
    </xf>
    <xf borderId="19" fillId="12" fontId="37" numFmtId="168" xfId="0" applyAlignment="1" applyBorder="1" applyFill="1" applyFont="1" applyNumberFormat="1">
      <alignment horizontal="right" vertical="bottom"/>
    </xf>
    <xf borderId="11" fillId="2" fontId="53" numFmtId="49" xfId="0" applyAlignment="1" applyBorder="1" applyFill="1" applyFont="1" applyNumberFormat="1">
      <alignment horizontal="left" readingOrder="0" shrinkToFit="0" vertical="center" wrapText="1"/>
    </xf>
    <xf borderId="11" fillId="2" fontId="53" numFmtId="49" xfId="0" applyAlignment="1" applyBorder="1" applyFill="1" applyFont="1" applyNumberFormat="1">
      <alignment horizontal="center" readingOrder="0" shrinkToFit="0" vertical="center" wrapText="0"/>
    </xf>
    <xf borderId="11" fillId="2" fontId="53" numFmtId="10" xfId="0" applyAlignment="1" applyBorder="1" applyFill="1" applyFont="1" applyNumberFormat="1">
      <alignment horizontal="center" readingOrder="0" shrinkToFit="0" vertical="center" wrapText="1"/>
    </xf>
    <xf borderId="13" fillId="2" fontId="53" numFmtId="4" xfId="0" applyAlignment="1" applyBorder="1" applyFill="1" applyFont="1" applyNumberFormat="1">
      <alignment horizontal="center" readingOrder="0" shrinkToFit="0" vertical="center" wrapText="1"/>
    </xf>
    <xf borderId="11" fillId="2" fontId="29" numFmtId="49" xfId="0" applyAlignment="1" applyBorder="1" applyFill="1" applyFont="1" applyNumberFormat="1">
      <alignment horizontal="left" readingOrder="0" shrinkToFit="0" vertical="center" wrapText="1"/>
    </xf>
    <xf borderId="1" fillId="2" fontId="53" numFmtId="49" xfId="0" applyAlignment="1" applyBorder="1" applyFill="1" applyFont="1" applyNumberFormat="1">
      <alignment horizontal="center" readingOrder="0" shrinkToFit="0" vertical="center" wrapText="1"/>
    </xf>
    <xf borderId="11" fillId="9" fontId="29" numFmtId="49" xfId="0" applyAlignment="1" applyBorder="1" applyFill="1" applyFont="1" applyNumberFormat="1">
      <alignment horizontal="center" readingOrder="0" shrinkToFit="0" vertical="center" wrapText="0"/>
    </xf>
    <xf borderId="3" fillId="9" fontId="29" numFmtId="49" xfId="0" applyAlignment="1" applyBorder="1" applyFill="1" applyFont="1" applyNumberFormat="1">
      <alignment horizontal="right" readingOrder="0" shrinkToFit="0" vertical="center" wrapText="0"/>
    </xf>
    <xf borderId="11" fillId="9" fontId="29" numFmtId="49" xfId="0" applyAlignment="1" applyBorder="1" applyFill="1" applyFont="1" applyNumberFormat="1">
      <alignment horizontal="right" readingOrder="0" shrinkToFit="0" vertical="center" wrapText="0"/>
    </xf>
    <xf borderId="12" fillId="9" fontId="29" numFmtId="49" xfId="0" applyAlignment="1" applyBorder="1" applyFill="1" applyFont="1" applyNumberFormat="1">
      <alignment horizontal="right" readingOrder="0" shrinkToFit="0" vertical="center" wrapText="1"/>
    </xf>
    <xf borderId="12" fillId="9" fontId="12" numFmtId="10" xfId="0" applyAlignment="1" applyBorder="1" applyFill="1" applyFont="1" applyNumberFormat="1">
      <alignment horizontal="center" shrinkToFit="0" vertical="center" wrapText="1"/>
    </xf>
    <xf borderId="37" fillId="12" fontId="37" numFmtId="4" xfId="0" applyBorder="1" applyFill="1" applyFont="1" applyNumberFormat="1"/>
    <xf borderId="11" fillId="9" fontId="12" numFmtId="4" xfId="0" applyAlignment="1" applyBorder="1" applyFill="1" applyFont="1" applyNumberFormat="1">
      <alignment horizontal="center" shrinkToFit="0" vertical="center" wrapText="1"/>
    </xf>
    <xf borderId="13" fillId="9" fontId="12" numFmtId="4" xfId="0" applyAlignment="1" applyBorder="1" applyFill="1" applyFont="1" applyNumberFormat="1">
      <alignment horizontal="center" shrinkToFit="0" vertical="center" wrapText="1"/>
    </xf>
    <xf borderId="1" fillId="9" fontId="29" numFmtId="0" xfId="0" applyAlignment="1" applyBorder="1" applyFill="1" applyFont="1">
      <alignment horizontal="left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1" fillId="2" fontId="30" numFmtId="10" xfId="0" applyAlignment="1" applyBorder="1" applyFill="1" applyFont="1" applyNumberFormat="1">
      <alignment horizontal="center" readingOrder="0" shrinkToFit="0" vertical="center" wrapText="1"/>
    </xf>
    <xf borderId="1" fillId="2" fontId="14" numFmtId="4" xfId="0" applyAlignment="1" applyBorder="1" applyFill="1" applyFont="1" applyNumberFormat="1">
      <alignment horizontal="center" shrinkToFit="0" vertical="center" wrapText="1"/>
    </xf>
    <xf borderId="2" fillId="6" fontId="18" numFmtId="4" xfId="0" applyAlignment="1" applyBorder="1" applyFill="1" applyFont="1" applyNumberFormat="1">
      <alignment horizontal="center" readingOrder="0" shrinkToFit="0" vertical="center" wrapText="1"/>
    </xf>
    <xf borderId="9" fillId="6" fontId="18" numFmtId="4" xfId="0" applyAlignment="1" applyBorder="1" applyFill="1" applyFont="1" applyNumberFormat="1">
      <alignment horizontal="center" readingOrder="0" shrinkToFit="0" vertical="center" wrapText="1"/>
    </xf>
    <xf borderId="1" fillId="6" fontId="18" numFmtId="4" xfId="0" applyAlignment="1" applyBorder="1" applyFill="1" applyFont="1" applyNumberFormat="1">
      <alignment horizontal="center" shrinkToFit="0" vertical="center" wrapText="1"/>
    </xf>
    <xf borderId="12" fillId="7" fontId="18" numFmtId="4" xfId="0" applyAlignment="1" applyBorder="1" applyFill="1" applyFont="1" applyNumberFormat="1">
      <alignment horizontal="center" shrinkToFit="0" vertical="center" wrapText="1"/>
    </xf>
    <xf borderId="12" fillId="7" fontId="18" numFmtId="4" xfId="0" applyAlignment="1" applyBorder="1" applyFill="1" applyFont="1" applyNumberFormat="1">
      <alignment horizontal="center" readingOrder="0" shrinkToFit="0" vertical="center" wrapText="1"/>
    </xf>
    <xf borderId="37" fillId="12" fontId="90" numFmtId="4" xfId="0" applyBorder="1" applyFill="1" applyFont="1" applyNumberFormat="1"/>
    <xf borderId="1" fillId="8" fontId="18" numFmtId="4" xfId="0" applyAlignment="1" applyBorder="1" applyFill="1" applyFont="1" applyNumberFormat="1">
      <alignment horizontal="center" shrinkToFit="0" vertical="center" wrapText="1"/>
    </xf>
    <xf borderId="1" fillId="8" fontId="18" numFmtId="4" xfId="0" applyAlignment="1" applyBorder="1" applyFill="1" applyFont="1" applyNumberFormat="1">
      <alignment horizontal="center" readingOrder="0" shrinkToFit="0" vertical="center" wrapText="1"/>
    </xf>
    <xf borderId="1" fillId="2" fontId="77" numFmtId="0" xfId="0" applyAlignment="1" applyBorder="1" applyFill="1" applyFont="1">
      <alignment horizontal="left" readingOrder="0" shrinkToFit="0" vertical="center" wrapText="1"/>
    </xf>
    <xf borderId="1" fillId="2" fontId="14" numFmtId="4" xfId="0" applyAlignment="1" applyBorder="1" applyFill="1" applyFont="1" applyNumberFormat="1">
      <alignment horizontal="center" readingOrder="0" shrinkToFit="0" vertical="center" wrapText="1"/>
    </xf>
    <xf borderId="1" fillId="2" fontId="91" numFmtId="0" xfId="0" applyAlignment="1" applyBorder="1" applyFill="1" applyFont="1">
      <alignment horizontal="left" readingOrder="0" shrinkToFit="0" vertical="center" wrapText="1"/>
    </xf>
    <xf borderId="19" fillId="14" fontId="37" numFmtId="1" xfId="0" applyAlignment="1" applyBorder="1" applyFill="1" applyFont="1" applyNumberFormat="1">
      <alignment horizontal="right"/>
    </xf>
    <xf borderId="19" fillId="14" fontId="48" numFmtId="168" xfId="0" applyAlignment="1" applyBorder="1" applyFill="1" applyFont="1" applyNumberFormat="1">
      <alignment horizontal="right" vertical="bottom"/>
    </xf>
    <xf borderId="19" fillId="14" fontId="92" numFmtId="0" xfId="0" applyAlignment="1" applyBorder="1" applyFill="1" applyFont="1">
      <alignment horizontal="center"/>
    </xf>
    <xf borderId="1" fillId="2" fontId="30" numFmtId="164" xfId="0" applyAlignment="1" applyBorder="1" applyFill="1" applyFont="1" applyNumberFormat="1">
      <alignment horizontal="center" readingOrder="0" shrinkToFit="0" vertical="center" wrapText="1"/>
    </xf>
    <xf borderId="1" fillId="2" fontId="62" numFmtId="10" xfId="0" applyAlignment="1" applyBorder="1" applyFill="1" applyFont="1" applyNumberFormat="1">
      <alignment horizontal="center" readingOrder="0" shrinkToFit="0" vertical="center" wrapText="1"/>
    </xf>
    <xf borderId="19" fillId="14" fontId="46" numFmtId="4" xfId="0" applyAlignment="1" applyBorder="1" applyFill="1" applyFont="1" applyNumberFormat="1">
      <alignment vertical="bottom"/>
    </xf>
    <xf borderId="19" fillId="14" fontId="93" numFmtId="0" xfId="0" applyAlignment="1" applyBorder="1" applyFill="1" applyFont="1">
      <alignment vertical="bottom"/>
    </xf>
    <xf borderId="38" fillId="6" fontId="18" numFmtId="4" xfId="0" applyAlignment="1" applyBorder="1" applyFill="1" applyFont="1" applyNumberFormat="1">
      <alignment horizontal="center" readingOrder="0" shrinkToFit="0" vertical="center" wrapText="1"/>
    </xf>
    <xf borderId="19" fillId="14" fontId="48" numFmtId="1" xfId="0" applyAlignment="1" applyBorder="1" applyFill="1" applyFont="1" applyNumberFormat="1">
      <alignment horizontal="center"/>
    </xf>
    <xf borderId="19" fillId="14" fontId="57" numFmtId="170" xfId="0" applyAlignment="1" applyBorder="1" applyFill="1" applyFont="1" applyNumberFormat="1">
      <alignment horizontal="right" vertical="bottom"/>
    </xf>
    <xf borderId="19" fillId="14" fontId="57" numFmtId="1" xfId="0" applyAlignment="1" applyBorder="1" applyFill="1" applyFont="1" applyNumberFormat="1">
      <alignment horizontal="right" vertical="bottom"/>
    </xf>
    <xf borderId="20" fillId="17" fontId="48" numFmtId="4" xfId="0" applyAlignment="1" applyBorder="1" applyFill="1" applyFont="1" applyNumberFormat="1">
      <alignment horizontal="center"/>
    </xf>
    <xf borderId="19" fillId="17" fontId="46" numFmtId="1" xfId="0" applyBorder="1" applyFill="1" applyFont="1" applyNumberFormat="1"/>
    <xf borderId="19" fillId="17" fontId="57" numFmtId="4" xfId="0" applyAlignment="1" applyBorder="1" applyFill="1" applyFont="1" applyNumberFormat="1">
      <alignment horizontal="right" vertical="bottom"/>
    </xf>
    <xf borderId="19" fillId="17" fontId="48" numFmtId="168" xfId="0" applyAlignment="1" applyBorder="1" applyFill="1" applyFont="1" applyNumberFormat="1">
      <alignment horizontal="right" vertical="bottom"/>
    </xf>
    <xf borderId="19" fillId="17" fontId="94" numFmtId="0" xfId="0" applyAlignment="1" applyBorder="1" applyFill="1" applyFont="1">
      <alignment vertical="bottom"/>
    </xf>
    <xf borderId="19" fillId="17" fontId="37" numFmtId="0" xfId="0" applyBorder="1" applyFill="1" applyFont="1"/>
    <xf borderId="19" fillId="17" fontId="37" numFmtId="49" xfId="0" applyBorder="1" applyFill="1" applyFont="1" applyNumberFormat="1"/>
    <xf borderId="19" fillId="17" fontId="30" numFmtId="4" xfId="0" applyAlignment="1" applyBorder="1" applyFill="1" applyFont="1" applyNumberFormat="1">
      <alignment horizontal="right"/>
    </xf>
    <xf borderId="19" fillId="17" fontId="37" numFmtId="4" xfId="0" applyAlignment="1" applyBorder="1" applyFill="1" applyFont="1" applyNumberFormat="1">
      <alignment horizontal="right"/>
    </xf>
    <xf borderId="19" fillId="17" fontId="46" numFmtId="4" xfId="0" applyBorder="1" applyFill="1" applyFont="1" applyNumberFormat="1"/>
    <xf borderId="37" fillId="17" fontId="37" numFmtId="4" xfId="0" applyBorder="1" applyFill="1" applyFont="1" applyNumberFormat="1"/>
    <xf borderId="0" fillId="17" fontId="37" numFmtId="4" xfId="0" applyAlignment="1" applyFill="1" applyFont="1" applyNumberFormat="1">
      <alignment horizontal="right"/>
    </xf>
    <xf borderId="0" fillId="17" fontId="46" numFmtId="4" xfId="0" applyFill="1" applyFont="1" applyNumberFormat="1"/>
    <xf borderId="20" fillId="6" fontId="95" numFmtId="4" xfId="0" applyAlignment="1" applyBorder="1" applyFill="1" applyFont="1" applyNumberFormat="1">
      <alignment horizontal="center"/>
    </xf>
    <xf borderId="19" fillId="6" fontId="96" numFmtId="4" xfId="0" applyAlignment="1" applyBorder="1" applyFill="1" applyFont="1" applyNumberFormat="1">
      <alignment horizontal="right" vertical="bottom"/>
    </xf>
    <xf borderId="19" fillId="6" fontId="95" numFmtId="168" xfId="0" applyAlignment="1" applyBorder="1" applyFill="1" applyFont="1" applyNumberFormat="1">
      <alignment horizontal="right" vertical="bottom"/>
    </xf>
    <xf borderId="19" fillId="6" fontId="97" numFmtId="0" xfId="0" applyAlignment="1" applyBorder="1" applyFill="1" applyFont="1">
      <alignment vertical="bottom"/>
    </xf>
    <xf borderId="19" fillId="6" fontId="78" numFmtId="49" xfId="0" applyBorder="1" applyFill="1" applyFont="1" applyNumberFormat="1"/>
    <xf borderId="37" fillId="6" fontId="78" numFmtId="4" xfId="0" applyBorder="1" applyFill="1" applyFont="1" applyNumberFormat="1"/>
    <xf borderId="0" fillId="6" fontId="78" numFmtId="4" xfId="0" applyAlignment="1" applyFill="1" applyFont="1" applyNumberFormat="1">
      <alignment horizontal="right"/>
    </xf>
    <xf borderId="0" fillId="6" fontId="46" numFmtId="4" xfId="0" applyFill="1" applyFont="1" applyNumberFormat="1"/>
    <xf borderId="0" fillId="12" fontId="98" numFmtId="0" xfId="0" applyAlignment="1" applyFill="1" applyFont="1">
      <alignment vertical="bottom"/>
    </xf>
    <xf borderId="39" fillId="12" fontId="30" numFmtId="4" xfId="0" applyBorder="1" applyFill="1" applyFont="1" applyNumberFormat="1"/>
    <xf borderId="39" fillId="12" fontId="30" numFmtId="4" xfId="0" applyAlignment="1" applyBorder="1" applyFill="1" applyFont="1" applyNumberFormat="1">
      <alignment horizontal="right"/>
    </xf>
    <xf borderId="20" fillId="16" fontId="48" numFmtId="4" xfId="0" applyAlignment="1" applyBorder="1" applyFill="1" applyFont="1" applyNumberFormat="1">
      <alignment horizontal="center"/>
    </xf>
    <xf borderId="19" fillId="16" fontId="46" numFmtId="1" xfId="0" applyBorder="1" applyFill="1" applyFont="1" applyNumberFormat="1"/>
    <xf borderId="19" fillId="16" fontId="57" numFmtId="4" xfId="0" applyAlignment="1" applyBorder="1" applyFill="1" applyFont="1" applyNumberFormat="1">
      <alignment horizontal="right" vertical="bottom"/>
    </xf>
    <xf borderId="19" fillId="16" fontId="48" numFmtId="168" xfId="0" applyAlignment="1" applyBorder="1" applyFill="1" applyFont="1" applyNumberFormat="1">
      <alignment horizontal="right" vertical="bottom"/>
    </xf>
    <xf borderId="19" fillId="16" fontId="99" numFmtId="0" xfId="0" applyAlignment="1" applyBorder="1" applyFill="1" applyFont="1">
      <alignment vertical="bottom"/>
    </xf>
    <xf borderId="19" fillId="16" fontId="37" numFmtId="0" xfId="0" applyBorder="1" applyFill="1" applyFont="1"/>
    <xf borderId="19" fillId="16" fontId="37" numFmtId="49" xfId="0" applyBorder="1" applyFill="1" applyFont="1" applyNumberFormat="1"/>
    <xf borderId="19" fillId="16" fontId="30" numFmtId="4" xfId="0" applyAlignment="1" applyBorder="1" applyFill="1" applyFont="1" applyNumberFormat="1">
      <alignment horizontal="right"/>
    </xf>
    <xf borderId="19" fillId="16" fontId="37" numFmtId="4" xfId="0" applyAlignment="1" applyBorder="1" applyFill="1" applyFont="1" applyNumberFormat="1">
      <alignment horizontal="right"/>
    </xf>
    <xf borderId="19" fillId="16" fontId="46" numFmtId="4" xfId="0" applyBorder="1" applyFill="1" applyFont="1" applyNumberFormat="1"/>
    <xf borderId="0" fillId="16" fontId="46" numFmtId="4" xfId="0" applyFill="1" applyFont="1" applyNumberFormat="1"/>
    <xf borderId="19" fillId="14" fontId="57" numFmtId="4" xfId="0" applyAlignment="1" applyBorder="1" applyFill="1" applyFont="1" applyNumberFormat="1">
      <alignment horizontal="right" vertical="bottom"/>
    </xf>
    <xf borderId="19" fillId="0" fontId="37" numFmtId="4" xfId="0" applyBorder="1" applyFont="1" applyNumberFormat="1"/>
    <xf borderId="19" fillId="14" fontId="100" numFmtId="0" xfId="0" applyBorder="1" applyFill="1" applyFont="1"/>
    <xf borderId="19" fillId="14" fontId="101" numFmtId="49" xfId="0" applyBorder="1" applyFill="1" applyFont="1" applyNumberFormat="1"/>
    <xf borderId="19" fillId="14" fontId="37" numFmtId="4" xfId="0" applyBorder="1" applyFill="1" applyFont="1" applyNumberFormat="1"/>
    <xf borderId="19" fillId="6" fontId="46" numFmtId="0" xfId="0" applyBorder="1" applyFill="1" applyFont="1"/>
    <xf borderId="19" fillId="6" fontId="102" numFmtId="0" xfId="0" applyBorder="1" applyFill="1" applyFont="1"/>
    <xf borderId="19" fillId="6" fontId="103" numFmtId="49" xfId="0" applyBorder="1" applyFill="1" applyFont="1" applyNumberFormat="1"/>
    <xf borderId="19" fillId="6" fontId="78" numFmtId="4" xfId="0" applyBorder="1" applyFill="1" applyFont="1" applyNumberFormat="1"/>
    <xf borderId="11" fillId="12" fontId="30" numFmtId="49" xfId="0" applyAlignment="1" applyBorder="1" applyFill="1" applyFont="1" applyNumberFormat="1">
      <alignment shrinkToFit="0" wrapText="1"/>
    </xf>
    <xf borderId="20" fillId="18" fontId="48" numFmtId="4" xfId="0" applyAlignment="1" applyBorder="1" applyFill="1" applyFont="1" applyNumberFormat="1">
      <alignment horizontal="center"/>
    </xf>
    <xf borderId="19" fillId="18" fontId="46" numFmtId="1" xfId="0" applyBorder="1" applyFill="1" applyFont="1" applyNumberFormat="1"/>
    <xf borderId="19" fillId="18" fontId="46" numFmtId="168" xfId="0" applyAlignment="1" applyBorder="1" applyFill="1" applyFont="1" applyNumberFormat="1">
      <alignment vertical="bottom"/>
    </xf>
    <xf borderId="19" fillId="18" fontId="46" numFmtId="0" xfId="0" applyBorder="1" applyFill="1" applyFont="1"/>
    <xf borderId="19" fillId="18" fontId="37" numFmtId="0" xfId="0" applyBorder="1" applyFill="1" applyFont="1"/>
    <xf borderId="19" fillId="18" fontId="104" numFmtId="0" xfId="0" applyBorder="1" applyFill="1" applyFont="1"/>
    <xf borderId="11" fillId="18" fontId="30" numFmtId="49" xfId="0" applyAlignment="1" applyBorder="1" applyFill="1" applyFont="1" applyNumberFormat="1">
      <alignment shrinkToFit="0" wrapText="1"/>
    </xf>
    <xf borderId="19" fillId="18" fontId="30" numFmtId="4" xfId="0" applyAlignment="1" applyBorder="1" applyFill="1" applyFont="1" applyNumberFormat="1">
      <alignment horizontal="right"/>
    </xf>
    <xf borderId="19" fillId="18" fontId="37" numFmtId="4" xfId="0" applyAlignment="1" applyBorder="1" applyFill="1" applyFont="1" applyNumberFormat="1">
      <alignment horizontal="right"/>
    </xf>
    <xf borderId="19" fillId="18" fontId="46" numFmtId="4" xfId="0" applyBorder="1" applyFill="1" applyFont="1" applyNumberFormat="1"/>
    <xf borderId="19" fillId="18" fontId="37" numFmtId="4" xfId="0" applyBorder="1" applyFill="1" applyFont="1" applyNumberFormat="1"/>
    <xf borderId="0" fillId="18" fontId="46" numFmtId="4" xfId="0" applyFill="1" applyFont="1" applyNumberFormat="1"/>
    <xf borderId="11" fillId="6" fontId="80" numFmtId="49" xfId="0" applyAlignment="1" applyBorder="1" applyFill="1" applyFont="1" applyNumberFormat="1">
      <alignment shrinkToFit="0" wrapText="1"/>
    </xf>
    <xf borderId="1" fillId="14" fontId="105" numFmtId="49" xfId="0" applyAlignment="1" applyBorder="1" applyFill="1" applyFont="1" applyNumberFormat="1">
      <alignment shrinkToFit="0" wrapText="1"/>
    </xf>
    <xf borderId="20" fillId="12" fontId="37" numFmtId="4" xfId="0" applyAlignment="1" applyBorder="1" applyFill="1" applyFont="1" applyNumberFormat="1">
      <alignment horizontal="center" vertical="bottom"/>
    </xf>
    <xf borderId="19" fillId="12" fontId="37" numFmtId="1" xfId="0" applyAlignment="1" applyBorder="1" applyFill="1" applyFont="1" applyNumberFormat="1">
      <alignment vertical="bottom"/>
    </xf>
    <xf borderId="19" fillId="12" fontId="37" numFmtId="0" xfId="0" applyAlignment="1" applyBorder="1" applyFill="1" applyFont="1">
      <alignment horizontal="center" vertical="bottom"/>
    </xf>
    <xf borderId="19" fillId="0" fontId="37" numFmtId="49" xfId="0" applyAlignment="1" applyBorder="1" applyFont="1" applyNumberFormat="1">
      <alignment vertical="bottom"/>
    </xf>
    <xf borderId="19" fillId="12" fontId="37" numFmtId="49" xfId="0" applyAlignment="1" applyBorder="1" applyFill="1" applyFont="1" applyNumberFormat="1">
      <alignment vertical="bottom"/>
    </xf>
    <xf borderId="19" fillId="12" fontId="37" numFmtId="4" xfId="0" applyAlignment="1" applyBorder="1" applyFill="1" applyFont="1" applyNumberFormat="1">
      <alignment vertical="bottom"/>
    </xf>
    <xf borderId="0" fillId="12" fontId="46" numFmtId="4" xfId="0" applyAlignment="1" applyFill="1" applyFont="1" applyNumberFormat="1">
      <alignment vertical="bottom"/>
    </xf>
    <xf borderId="20" fillId="12" fontId="46" numFmtId="4" xfId="0" applyAlignment="1" applyBorder="1" applyFill="1" applyFont="1" applyNumberFormat="1">
      <alignment vertical="bottom"/>
    </xf>
    <xf borderId="20" fillId="12" fontId="48" numFmtId="4" xfId="0" applyAlignment="1" applyBorder="1" applyFill="1" applyFont="1" applyNumberFormat="1">
      <alignment horizontal="center" vertical="bottom"/>
    </xf>
    <xf borderId="19" fillId="12" fontId="37" numFmtId="171" xfId="0" applyAlignment="1" applyBorder="1" applyFill="1" applyFont="1" applyNumberFormat="1">
      <alignment horizontal="center" vertical="bottom"/>
    </xf>
    <xf borderId="19" fillId="12" fontId="37" numFmtId="171" xfId="0" applyAlignment="1" applyBorder="1" applyFill="1" applyFont="1" applyNumberFormat="1">
      <alignment horizontal="center"/>
    </xf>
    <xf borderId="0" fillId="12" fontId="37" numFmtId="4" xfId="0" applyFill="1" applyFont="1" applyNumberFormat="1"/>
    <xf borderId="19" fillId="12" fontId="37" numFmtId="0" xfId="0" applyAlignment="1" applyBorder="1" applyFill="1" applyFont="1">
      <alignment shrinkToFit="0" wrapText="1"/>
    </xf>
    <xf borderId="19" fillId="12" fontId="46" numFmtId="171" xfId="0" applyAlignment="1" applyBorder="1" applyFill="1" applyFont="1" applyNumberFormat="1">
      <alignment vertical="bottom"/>
    </xf>
    <xf borderId="19" fillId="0" fontId="46" numFmtId="49" xfId="0" applyAlignment="1" applyBorder="1" applyFont="1" applyNumberFormat="1">
      <alignment vertical="bottom"/>
    </xf>
    <xf borderId="19" fillId="12" fontId="106" numFmtId="0" xfId="0" applyAlignment="1" applyBorder="1" applyFill="1" applyFont="1">
      <alignment shrinkToFit="0" vertical="bottom" wrapText="1"/>
    </xf>
    <xf borderId="19" fillId="12" fontId="107" numFmtId="49" xfId="0" applyBorder="1" applyFill="1" applyFont="1" applyNumberFormat="1"/>
    <xf borderId="19" fillId="12" fontId="108" numFmtId="49" xfId="0" applyBorder="1" applyFill="1" applyFont="1" applyNumberFormat="1"/>
    <xf borderId="19" fillId="12" fontId="109" numFmtId="49" xfId="0" applyAlignment="1" applyBorder="1" applyFill="1" applyFont="1" applyNumberFormat="1">
      <alignment vertical="bottom"/>
    </xf>
    <xf borderId="19" fillId="12" fontId="110" numFmtId="49" xfId="0" applyAlignment="1" applyBorder="1" applyFill="1" applyFont="1" applyNumberFormat="1">
      <alignment vertical="bottom"/>
    </xf>
    <xf borderId="1" fillId="6" fontId="111" numFmtId="49" xfId="0" applyAlignment="1" applyBorder="1" applyFill="1" applyFont="1" applyNumberFormat="1">
      <alignment shrinkToFit="0" wrapText="1"/>
    </xf>
    <xf borderId="19" fillId="14" fontId="46" numFmtId="49" xfId="0" applyBorder="1" applyFill="1" applyFont="1" applyNumberFormat="1"/>
    <xf borderId="19" fillId="12" fontId="112" numFmtId="49" xfId="0" applyAlignment="1" applyBorder="1" applyFill="1" applyFont="1" applyNumberFormat="1">
      <alignment horizontal="center"/>
    </xf>
    <xf borderId="0" fillId="12" fontId="37" numFmtId="49" xfId="0" applyAlignment="1" applyFill="1" applyFont="1" applyNumberFormat="1">
      <alignment vertical="bottom"/>
    </xf>
    <xf borderId="19" fillId="12" fontId="46" numFmtId="49" xfId="0" applyBorder="1" applyFill="1" applyFont="1" applyNumberFormat="1"/>
    <xf borderId="19" fillId="12" fontId="113" numFmtId="49" xfId="0" applyBorder="1" applyFill="1" applyFont="1" applyNumberFormat="1"/>
    <xf borderId="20" fillId="6" fontId="37" numFmtId="4" xfId="0" applyAlignment="1" applyBorder="1" applyFill="1" applyFont="1" applyNumberFormat="1">
      <alignment horizontal="center"/>
    </xf>
    <xf borderId="19" fillId="6" fontId="48" numFmtId="168" xfId="0" applyAlignment="1" applyBorder="1" applyFill="1" applyFont="1" applyNumberFormat="1">
      <alignment horizontal="right" vertical="bottom"/>
    </xf>
    <xf borderId="19" fillId="6" fontId="114" numFmtId="49" xfId="0" applyAlignment="1" applyBorder="1" applyFill="1" applyFont="1" applyNumberFormat="1">
      <alignment horizontal="center"/>
    </xf>
    <xf borderId="19" fillId="6" fontId="37" numFmtId="0" xfId="0" applyBorder="1" applyFill="1" applyFont="1"/>
    <xf borderId="19" fillId="6" fontId="37" numFmtId="49" xfId="0" applyBorder="1" applyFill="1" applyFont="1" applyNumberFormat="1"/>
    <xf borderId="19" fillId="6" fontId="30" numFmtId="4" xfId="0" applyAlignment="1" applyBorder="1" applyFill="1" applyFont="1" applyNumberFormat="1">
      <alignment horizontal="right"/>
    </xf>
    <xf borderId="19" fillId="6" fontId="37" numFmtId="4" xfId="0" applyAlignment="1" applyBorder="1" applyFill="1" applyFont="1" applyNumberFormat="1">
      <alignment horizontal="right"/>
    </xf>
    <xf borderId="24" fillId="13" fontId="37" numFmtId="0" xfId="0" applyAlignment="1" applyBorder="1" applyFill="1" applyFont="1">
      <alignment horizontal="right"/>
    </xf>
    <xf borderId="25" fillId="13" fontId="37" numFmtId="0" xfId="0" applyAlignment="1" applyBorder="1" applyFill="1" applyFont="1">
      <alignment horizontal="right" shrinkToFit="0" wrapText="1"/>
    </xf>
    <xf borderId="25" fillId="0" fontId="37" numFmtId="0" xfId="0" applyAlignment="1" applyBorder="1" applyFont="1">
      <alignment horizontal="right" shrinkToFit="0" wrapText="1"/>
    </xf>
    <xf borderId="0" fillId="17" fontId="46" numFmtId="0" xfId="0" applyFill="1" applyFont="1"/>
  </cellXfs>
  <cellStyles count="1">
    <cellStyle xfId="0" name="Normal" builtinId="0"/>
  </cellStyles>
  <dxfs count="11">
    <dxf>
      <font/>
      <fill>
        <patternFill patternType="solid">
          <fgColor rgb="FFFCE5CD"/>
          <bgColor rgb="FFFCE5CD"/>
        </patternFill>
      </fill>
      <border/>
    </dxf>
    <dxf>
      <font>
        <color rgb="FF212121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A3E486"/>
          <bgColor rgb="FFA3E486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ООО СКАЛА ПТО" id="{6cbc684d-7714-482b-ba43-2c38ea7bf8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2T08:17:56.00" personId="{6cbc684d-7714-482b-ba43-2c38ea7bf874}" id="{f5a52d16-5404-4eb0-a647-f34d7dc5f773}" done="0">
    <x18tc:text xml:space="preserve">Е-Евгения
Н Настя
Д-Дима
М-Мухтар
С-Светлана
А-Алексей
О-Оля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59" dT="2026-10-07T11:15:56.00" personId="{6cbc684d-7714-482b-ba43-2c38ea7bf874}" id="{f7a30d65-fdd2-4ecf-945c-041ebb527f97}" done="0">
    <x18tc:text xml:space="preserve">275 601,56</x18tc:text>
  </x18tc:threadedComment>
  <x18tc:threadedComment ref="V57" dT="2026-10-07T10:58:12.00" personId="{6cbc684d-7714-482b-ba43-2c38ea7bf874}" id="{248b3772-898c-40c4-b6e9-8e0aa248822a}" done="0">
    <x18tc:text xml:space="preserve">8 008 601,73</x18tc:text>
  </x18tc:threadedComment>
  <x18tc:threadedComment ref="X57" dT="2026-10-07T10:58:26.00" personId="{6cbc684d-7714-482b-ba43-2c38ea7bf874}" id="{eaca6e68-08fa-44eb-a96b-202521ebe860}" done="0">
    <x18tc:text xml:space="preserve">11 541 195,25</x18tc:text>
  </x18tc:threadedComment>
  <x18tc:threadedComment ref="X57" dT="2026-10-07T11:16:43.00" personId="{6cbc684d-7714-482b-ba43-2c38ea7bf874}" id="{53307c3b-cc31-476f-9635-00b47999e732}" parentId="{eaca6e68-08fa-44eb-a96b-202521ebe860}">
    <x18tc:text xml:space="preserve">ЛП2-2Э-1805-СКАЛА от 18.05.2026	390 000,00</x18tc:text>
  </x18tc:threadedComment>
  <x18tc:threadedComment ref="Z57" dT="2026-10-07T10:58:39.00" personId="{6cbc684d-7714-482b-ba43-2c38ea7bf874}" id="{0f7645ac-71a7-44b6-aa5c-dc86d544445e}" done="0">
    <x18tc:text xml:space="preserve">8 780 931,20</x18tc:text>
  </x18tc:threadedComment>
  <x18tc:threadedComment ref="W57" dT="2026-10-07T10:57:58.00" personId="{6cbc684d-7714-482b-ba43-2c38ea7bf874}" id="{d27ce025-3467-45f8-b07a-da63acc9f0b1}" done="0">
    <x18tc:text xml:space="preserve">9 388 147,33</x18tc:text>
  </x18tc:threadedComment>
  <x18tc:threadedComment ref="E83" dT="2026-10-02T11:37:48.00" personId="{6cbc684d-7714-482b-ba43-2c38ea7bf874}" id="{270f46b2-45ac-4d5a-a1e3-b2c8def03980}" done="0">
    <x18tc:text xml:space="preserve">20 авг 2026 13/57</x18tc:text>
  </x18tc:threadedComment>
  <x18tc:threadedComment ref="E127" dT="2026-10-02T11:40:52.00" personId="{6cbc684d-7714-482b-ba43-2c38ea7bf874}" id="{c17cf2db-4db1-4569-8cc5-e73ba871fb29}" done="0">
    <x18tc:text xml:space="preserve">17 июля, 18:28</x18tc:text>
  </x18tc:threadedComment>
  <x18tc:threadedComment ref="E84" dT="2026-10-02T11:42:09.00" personId="{6cbc684d-7714-482b-ba43-2c38ea7bf874}" id="{c9c87235-a7c8-4cbd-8c01-ebdc680d46a8}" done="0">
    <x18tc:text xml:space="preserve">5 июня, 17:09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xj5QIkjpL_kVCPP8ZHpqQo3JXA0rq7m8ZgJYel6dVKk/edit?gid=0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ocs.google.com/spreadsheets/d/1XpUKcD5xbiX6pCh8cokSRBjlVqVqduf8elvNSZgK4Ys/edit?gid=1803840000" TargetMode="External"/><Relationship Id="rId6" Type="http://schemas.openxmlformats.org/officeDocument/2006/relationships/hyperlink" Target="https://docs.google.com/spreadsheets/d/1VPbT27ODBT9SwkMiYDGcGQ35D5D2qpEqIpn_GFF1sBo/edit?gid=1419849141" TargetMode="External"/><Relationship Id="rId7" Type="http://schemas.openxmlformats.org/officeDocument/2006/relationships/hyperlink" Target="https://docs.google.com/spreadsheets/d/1Enz0Z9dQC-ijTTFFPnP8sZZffSk_k8SdgI0rZaDTpos/edit?gid=1202289261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iadoc.kontur.ru/d7e1fcc6-165f-41bc-8236-7802fc8c0822/Document/Show?letterId=6da15717-1408-43dd-8979-6f91f8b4d5c7&amp;documentId=42a15f0c-a827-4763-9b22-265d74636095" TargetMode="External"/><Relationship Id="rId2" Type="http://schemas.openxmlformats.org/officeDocument/2006/relationships/hyperlink" Target="https://myabs.absgroup.ru/control/ordinanc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2b.pik.ru/projects/797329eb-eeb3-4fde-83ba-c8f5809d0c2c/acts" TargetMode="External"/><Relationship Id="rId42" Type="http://schemas.openxmlformats.org/officeDocument/2006/relationships/hyperlink" Target="https://2b.pik.ru/projects/797329eb-eeb3-4fde-83ba-c8f5809d0c2c/acts" TargetMode="External"/><Relationship Id="rId41" Type="http://schemas.openxmlformats.org/officeDocument/2006/relationships/hyperlink" Target="https://2b.pik.ru/projects/797329eb-eeb3-4fde-83ba-c8f5809d0c2c/acts" TargetMode="External"/><Relationship Id="rId44" Type="http://schemas.openxmlformats.org/officeDocument/2006/relationships/hyperlink" Target="https://2b.pik.ru/projects/797329eb-eeb3-4fde-83ba-c8f5809d0c2c/acts" TargetMode="External"/><Relationship Id="rId43" Type="http://schemas.openxmlformats.org/officeDocument/2006/relationships/hyperlink" Target="https://2b.pik.ru/projects/797329eb-eeb3-4fde-83ba-c8f5809d0c2c/acts" TargetMode="External"/><Relationship Id="rId46" Type="http://schemas.openxmlformats.org/officeDocument/2006/relationships/hyperlink" Target="https://2b.pik.ru/projects/5c6231ce-e410-4cb2-977e-addd9bc9640e/acts" TargetMode="External"/><Relationship Id="rId45" Type="http://schemas.openxmlformats.org/officeDocument/2006/relationships/hyperlink" Target="https://2b.pik.ru/projects/d36824aa-7259-4678-a20a-b885b36e62c0/acts" TargetMode="External"/><Relationship Id="rId1" Type="http://schemas.openxmlformats.org/officeDocument/2006/relationships/hyperlink" Target="https://2b.pik.ru/acts/1ac61024-1455-499c-a346-bb60951ce482/ee796aa7-7436-424e-b69f-c422c8267f3e" TargetMode="External"/><Relationship Id="rId2" Type="http://schemas.openxmlformats.org/officeDocument/2006/relationships/hyperlink" Target="https://2b.pik.ru/acts/8354100a-08a5-4215-97be-0d47e470e9c1/aa85fc6d-f65f-42a8-9aa5-0ff1d0cd8626" TargetMode="External"/><Relationship Id="rId3" Type="http://schemas.openxmlformats.org/officeDocument/2006/relationships/hyperlink" Target="https://2b.pik.ru/acts/35ca53cd-2eac-4585-977e-a55c81065cc8/b09787c1-448d-4cb2-81ab-4a97cb66cbcb" TargetMode="External"/><Relationship Id="rId4" Type="http://schemas.openxmlformats.org/officeDocument/2006/relationships/hyperlink" Target="https://2b.pik.ru/acts/79d60047-8cc2-4b48-b23a-75a48d121613/c8a68fc4-506b-4b79-b3d2-ddf51c3ae63d" TargetMode="External"/><Relationship Id="rId9" Type="http://schemas.openxmlformats.org/officeDocument/2006/relationships/hyperlink" Target="https://2b.pik.ru/acts/4ac2d0f3-5550-4115-b729-4b7abffca2e4/280cd56d-c13a-4dbc-98bf-6c8ed15d4f3c" TargetMode="External"/><Relationship Id="rId48" Type="http://schemas.openxmlformats.org/officeDocument/2006/relationships/hyperlink" Target="https://2b.pik.ru/projects/d1e1647c-ed53-44db-88e9-545632a1bfd5/acts" TargetMode="External"/><Relationship Id="rId47" Type="http://schemas.openxmlformats.org/officeDocument/2006/relationships/hyperlink" Target="https://2b.pik.ru/projects/1c4d8b05-7ee4-4db9-bc6d-5795aa4243ce/acts" TargetMode="External"/><Relationship Id="rId49" Type="http://schemas.openxmlformats.org/officeDocument/2006/relationships/hyperlink" Target="https://2b.pik.ru/acts/8c724233-7d11-4e0a-a8ea-a998715c7d47/a8a06d29-9589-487e-99cf-1cc6a555299b" TargetMode="External"/><Relationship Id="rId5" Type="http://schemas.openxmlformats.org/officeDocument/2006/relationships/hyperlink" Target="https://2b.pik.ru/acts/39eeea0a-33e7-467c-b906-f997bcc4f013/f2a52ab3-556a-4327-be68-51e737a244fd" TargetMode="External"/><Relationship Id="rId6" Type="http://schemas.openxmlformats.org/officeDocument/2006/relationships/hyperlink" Target="https://2b.pik.ru/acts/3aea4379-c719-402d-9187-7813f2fa1887/24480336-70b7-4dd2-8a22-5d0a180a4bd8" TargetMode="External"/><Relationship Id="rId7" Type="http://schemas.openxmlformats.org/officeDocument/2006/relationships/hyperlink" Target="https://2b.pik.ru/acts/d6ed3421-26b9-4f37-95c9-b1ca4f7cec0a/74aff0c2-4723-4340-bb50-5e20ac464cae" TargetMode="External"/><Relationship Id="rId8" Type="http://schemas.openxmlformats.org/officeDocument/2006/relationships/hyperlink" Target="https://2b.pik.ru/acts/2c94f78c-d849-4a26-9e11-9837a64156f3/c9dc2224-f693-4f9a-8682-8a4f14bc5ae1" TargetMode="External"/><Relationship Id="rId31" Type="http://schemas.openxmlformats.org/officeDocument/2006/relationships/hyperlink" Target="https://2b.pik.ru/acts/2d454289-d9eb-4870-ad6a-6c80a94c84fa/33adcbaf-3478-4b85-ad2c-73ec4cf029c2" TargetMode="External"/><Relationship Id="rId30" Type="http://schemas.openxmlformats.org/officeDocument/2006/relationships/hyperlink" Target="https://2b.pik.ru/acts/98d1c69c-a5df-4a71-a137-5b503ab45f2a/a9124547-0d75-4dc3-a795-9e996242b6d3" TargetMode="External"/><Relationship Id="rId33" Type="http://schemas.openxmlformats.org/officeDocument/2006/relationships/hyperlink" Target="https://2b.pik.ru/acts/49145f6a-fe76-4aa3-b79e-0bf97685643a/bde519f2-498a-4fa2-ae89-fef7de40f3f5" TargetMode="External"/><Relationship Id="rId32" Type="http://schemas.openxmlformats.org/officeDocument/2006/relationships/hyperlink" Target="https://2b.pik.ru/acts/1aceaf01-5ff1-4edb-9407-38f7b1a43124/d8c83092-78cc-425b-9f3e-fe5f4936a4b2" TargetMode="External"/><Relationship Id="rId35" Type="http://schemas.openxmlformats.org/officeDocument/2006/relationships/hyperlink" Target="https://2b.pik.ru/acts/07459a3c-8087-4eef-8096-c81986565b28/51da015a-5a5c-46a2-9b60-2d904aaf724c" TargetMode="External"/><Relationship Id="rId34" Type="http://schemas.openxmlformats.org/officeDocument/2006/relationships/hyperlink" Target="https://2b.pik.ru/acts/3999838e-7fd0-4fad-8727-959dc88af2b9/8aea5c7f-c06d-4b75-92a4-f527c141fb5b" TargetMode="External"/><Relationship Id="rId37" Type="http://schemas.openxmlformats.org/officeDocument/2006/relationships/hyperlink" Target="https://2b.pik.ru/acts/9fa0dbc0-05b1-442b-a78e-9fba0eb76a4f/d7b5535b-af3a-4ee9-bf38-a3eaa87f8a3f" TargetMode="External"/><Relationship Id="rId36" Type="http://schemas.openxmlformats.org/officeDocument/2006/relationships/hyperlink" Target="https://2b.pik.ru/acts/dead5fd9-0bae-441e-a575-b9c23e19fbf3/0eed4670-8d63-46a0-83ab-1ff1b5b7275e" TargetMode="External"/><Relationship Id="rId39" Type="http://schemas.openxmlformats.org/officeDocument/2006/relationships/hyperlink" Target="https://2b.pik.ru/projects/797329eb-eeb3-4fde-83ba-c8f5809d0c2c/acts" TargetMode="External"/><Relationship Id="rId38" Type="http://schemas.openxmlformats.org/officeDocument/2006/relationships/hyperlink" Target="https://2b.pik.ru/projects/4d586910-8047-4db3-91dd-6b34aaaef81d/acts" TargetMode="External"/><Relationship Id="rId62" Type="http://schemas.openxmlformats.org/officeDocument/2006/relationships/hyperlink" Target="https://2b.pik.ru/acts/323cb452-d62c-4cac-b05a-65fa811c81a5/4b618b11-34ab-43db-ac73-f24d16366e25" TargetMode="External"/><Relationship Id="rId61" Type="http://schemas.openxmlformats.org/officeDocument/2006/relationships/hyperlink" Target="https://2b.pik.ru/acts/4c56a03b-72b5-4a82-9b39-85b18acd2b3e/390d63f9-9e87-49b1-a3a5-75c383ea2623" TargetMode="External"/><Relationship Id="rId20" Type="http://schemas.openxmlformats.org/officeDocument/2006/relationships/hyperlink" Target="https://2b.pik.ru/acts/f1e6e005-5861-4625-b532-4b410a81ebde/2c7a1e86-2512-40d7-a9be-6fdee3ff3eb9" TargetMode="External"/><Relationship Id="rId64" Type="http://schemas.openxmlformats.org/officeDocument/2006/relationships/hyperlink" Target="https://2b.pik.ru/acts/020f78b4-1fef-46b7-bad0-05c14a8a36aa/0b4d6489-bed0-4cf2-8c5a-07677eb81ff7" TargetMode="External"/><Relationship Id="rId63" Type="http://schemas.openxmlformats.org/officeDocument/2006/relationships/hyperlink" Target="https://2b.pik.ru/acts/1f408fca-924b-4d05-8610-77407fb4353e/78a2ba7a-bf96-4794-a0dc-c8e911da5450" TargetMode="External"/><Relationship Id="rId22" Type="http://schemas.openxmlformats.org/officeDocument/2006/relationships/hyperlink" Target="https://2b.pik.ru/acts/ad635eb4-c465-43e3-ad52-5157a0de6910/e6074940-1820-4747-9018-94b561be9ddb" TargetMode="External"/><Relationship Id="rId66" Type="http://schemas.openxmlformats.org/officeDocument/2006/relationships/hyperlink" Target="https://2b.pik.ru/projects/a73956d0-4dff-4b49-b209-7a617d055fb8" TargetMode="External"/><Relationship Id="rId21" Type="http://schemas.openxmlformats.org/officeDocument/2006/relationships/hyperlink" Target="https://2b.pik.ru/acts/48297f8b-2a54-4007-b26e-364ad9bd224f/69f45101-eaaa-475e-aac1-ae6cba52f887" TargetMode="External"/><Relationship Id="rId65" Type="http://schemas.openxmlformats.org/officeDocument/2006/relationships/hyperlink" Target="https://2b.pik.ru/projects/44f036bf-926d-479f-93b5-05841309dcd8/acts" TargetMode="External"/><Relationship Id="rId24" Type="http://schemas.openxmlformats.org/officeDocument/2006/relationships/hyperlink" Target="https://2b.pik.ru/acts/f2b69874-4bfd-407c-9b2b-fd54758e9bfd/3d2b8bb2-0025-4c58-8815-9cb64d39df1b" TargetMode="External"/><Relationship Id="rId68" Type="http://schemas.openxmlformats.org/officeDocument/2006/relationships/drawing" Target="../drawings/drawing7.xml"/><Relationship Id="rId23" Type="http://schemas.openxmlformats.org/officeDocument/2006/relationships/hyperlink" Target="https://2b.pik.ru/acts/3eed04ac-0ba2-4f58-a88e-4d7dede41fdc/05f3b204-7cb0-47e8-bbe9-ffc854028906" TargetMode="External"/><Relationship Id="rId67" Type="http://schemas.openxmlformats.org/officeDocument/2006/relationships/hyperlink" Target="https://2b.pik.ru/projects/a73956d0-4dff-4b49-b209-7a617d055fb8" TargetMode="External"/><Relationship Id="rId60" Type="http://schemas.openxmlformats.org/officeDocument/2006/relationships/hyperlink" Target="https://2b.pik.ru/projects/8a7450ab-68cd-415d-ae89-99b232aee69d/acts" TargetMode="External"/><Relationship Id="rId26" Type="http://schemas.openxmlformats.org/officeDocument/2006/relationships/hyperlink" Target="https://2b.pik.ru/acts/72aa799a-b74d-4e7c-a8ba-1c6cfde80688/43680791-6a4f-46fe-b2e3-f227be6b2583" TargetMode="External"/><Relationship Id="rId25" Type="http://schemas.openxmlformats.org/officeDocument/2006/relationships/hyperlink" Target="https://2b.pik.ru/acts/51131104-f49c-487c-87b4-9ebbee1f2a50/f593a216-c6c8-4321-8e6d-df8d63b074b2" TargetMode="External"/><Relationship Id="rId28" Type="http://schemas.openxmlformats.org/officeDocument/2006/relationships/hyperlink" Target="https://2b.pik.ru/acts/5b528efa-7ad7-4adf-95dd-b83dfe3c7862/0042de2b-de74-4c19-a369-2227107ab74d" TargetMode="External"/><Relationship Id="rId27" Type="http://schemas.openxmlformats.org/officeDocument/2006/relationships/hyperlink" Target="https://2b.pik.ru/acts/7b48edb6-45a0-4419-a0f4-51da38ee7ccb/1510fdf7-8e3e-41ba-9bac-23484b38d35f" TargetMode="External"/><Relationship Id="rId29" Type="http://schemas.openxmlformats.org/officeDocument/2006/relationships/hyperlink" Target="https://2b.pik.ru/acts/75b1ecfe-5151-4750-aaf1-71005a50d5ae/ada7a8aa-1b03-49fc-b2d3-7723e9939764" TargetMode="External"/><Relationship Id="rId51" Type="http://schemas.openxmlformats.org/officeDocument/2006/relationships/hyperlink" Target="https://2b.pik.ru/projects/6fd63a0e-a4e4-4f36-805f-f9fb0f05face/acts" TargetMode="External"/><Relationship Id="rId50" Type="http://schemas.openxmlformats.org/officeDocument/2006/relationships/hyperlink" Target="https://2b.pik.ru/acts/f484e155-4871-42c3-b5c8-2cee712842ec/4c845e81-3922-4906-91df-7b1cc966ae66" TargetMode="External"/><Relationship Id="rId53" Type="http://schemas.openxmlformats.org/officeDocument/2006/relationships/hyperlink" Target="https://2b.pik.ru/projects/9e99f766-a804-4abb-8141-c5559e9c982f/acts" TargetMode="External"/><Relationship Id="rId52" Type="http://schemas.openxmlformats.org/officeDocument/2006/relationships/hyperlink" Target="https://2b.pik.ru/projects/005a0949-19cc-453b-b7ef-936364736058/acts" TargetMode="External"/><Relationship Id="rId11" Type="http://schemas.openxmlformats.org/officeDocument/2006/relationships/hyperlink" Target="https://2b.pik.ru/projects/dc59f583-5e16-4170-a8d1-a36b8c1bac2e/acts" TargetMode="External"/><Relationship Id="rId55" Type="http://schemas.openxmlformats.org/officeDocument/2006/relationships/hyperlink" Target="https://2b.pik.ru/projects/a4b41661-039f-4a3a-9637-0e2c178bc54d/acts" TargetMode="External"/><Relationship Id="rId10" Type="http://schemas.openxmlformats.org/officeDocument/2006/relationships/hyperlink" Target="https://2b.pik.ru/acts/951a48a8-828a-444f-96a7-01c592bb5634/ebc494b5-9dc8-4a54-a2ce-5c4bd75deff7" TargetMode="External"/><Relationship Id="rId54" Type="http://schemas.openxmlformats.org/officeDocument/2006/relationships/hyperlink" Target="https://2b.pik.ru/projects/74932404-126e-4c00-9ab1-1b54693d5ba9/acts" TargetMode="External"/><Relationship Id="rId13" Type="http://schemas.openxmlformats.org/officeDocument/2006/relationships/hyperlink" Target="https://2b.pik.ru/acts/2d52b7d8-be59-40cd-b558-8f854e2ccb85/2c195f29-b8fd-40c0-8ac6-5afbb02bd1e1" TargetMode="External"/><Relationship Id="rId57" Type="http://schemas.openxmlformats.org/officeDocument/2006/relationships/hyperlink" Target="https://2b.pik.ru/projects/c6ae2076-749e-4bc5-b029-4420c72f1d3a/acts" TargetMode="External"/><Relationship Id="rId12" Type="http://schemas.openxmlformats.org/officeDocument/2006/relationships/hyperlink" Target="https://2b.pik.ru/acts/93c21861-c9ce-4af5-9cc0-db6d88f8ad4f/9852206f-8d1b-4e07-87b3-4cdc072410ce" TargetMode="External"/><Relationship Id="rId56" Type="http://schemas.openxmlformats.org/officeDocument/2006/relationships/hyperlink" Target="https://2b.pik.ru/projects/0f18a7cf-032f-4b96-88cd-d07519a78a7f/acts" TargetMode="External"/><Relationship Id="rId15" Type="http://schemas.openxmlformats.org/officeDocument/2006/relationships/hyperlink" Target="https://2b.pik.ru/acts/1202eeaa-0dfa-4364-990c-f1d60019749d/c6b4b52d-a715-4e03-b17c-f604338277b1" TargetMode="External"/><Relationship Id="rId59" Type="http://schemas.openxmlformats.org/officeDocument/2006/relationships/hyperlink" Target="https://2b.pik.ru/projects/8a7450ab-68cd-415d-ae89-99b232aee69d/acts" TargetMode="External"/><Relationship Id="rId14" Type="http://schemas.openxmlformats.org/officeDocument/2006/relationships/hyperlink" Target="https://2b.pik.ru/acts/a33138d4-f912-4d06-a70e-2c6e51747386/8a0d8b84-7129-4bb0-9e68-bf6a794a068e" TargetMode="External"/><Relationship Id="rId58" Type="http://schemas.openxmlformats.org/officeDocument/2006/relationships/hyperlink" Target="https://2b.pik.ru/projects/d98bb14a-9d51-4220-bf5c-6d77bdcaaf92/acts" TargetMode="External"/><Relationship Id="rId17" Type="http://schemas.openxmlformats.org/officeDocument/2006/relationships/hyperlink" Target="https://2b.pik.ru/projects/7192e732-b456-4cbf-998b-d4538c87cb76/acts" TargetMode="External"/><Relationship Id="rId16" Type="http://schemas.openxmlformats.org/officeDocument/2006/relationships/hyperlink" Target="https://2b.pik.ru/projects/dd1734d7-af94-45b0-9654-752ac22f234e/acts" TargetMode="External"/><Relationship Id="rId19" Type="http://schemas.openxmlformats.org/officeDocument/2006/relationships/hyperlink" Target="https://2b.pik.ru/acts/49cf57f7-4bbe-4a32-a45f-9c3360609b26/f351a2de-0318-446e-9341-690db8fbd731" TargetMode="External"/><Relationship Id="rId18" Type="http://schemas.openxmlformats.org/officeDocument/2006/relationships/hyperlink" Target="https://2b.pik.ru/acts/da4c02a1-96ca-4e77-8f80-d52cd59812ee/7afe8657-3a64-4cb8-a26f-021cc52efe8e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2b.pik.ru/projects/3e6732f3-bd02-40a0-b368-c22625375c6a/acts" TargetMode="External"/><Relationship Id="rId42" Type="http://schemas.openxmlformats.org/officeDocument/2006/relationships/hyperlink" Target="https://2b.pik.ru/acts/8c724233-7d11-4e0a-a8ea-a998715c7d47/00e53590-935f-4479-8bef-90ae5b309a4b" TargetMode="External"/><Relationship Id="rId41" Type="http://schemas.openxmlformats.org/officeDocument/2006/relationships/hyperlink" Target="https://2b.pik.ru/projects/5c6231ce-e410-4cb2-977e-addd9bc9640e/acts" TargetMode="External"/><Relationship Id="rId44" Type="http://schemas.openxmlformats.org/officeDocument/2006/relationships/hyperlink" Target="https://2b.pik.ru/projects/6fd63a0e-a4e4-4f36-805f-f9fb0f05face/acts" TargetMode="External"/><Relationship Id="rId43" Type="http://schemas.openxmlformats.org/officeDocument/2006/relationships/hyperlink" Target="https://2b.pik.ru/acts/f484e155-4871-42c3-b5c8-2cee712842ec/09c594fb-c172-40b9-887e-f7e12bce141c" TargetMode="External"/><Relationship Id="rId46" Type="http://schemas.openxmlformats.org/officeDocument/2006/relationships/hyperlink" Target="https://2b.pik.ru/projects/74932404-126e-4c00-9ab1-1b54693d5ba9/acts" TargetMode="External"/><Relationship Id="rId45" Type="http://schemas.openxmlformats.org/officeDocument/2006/relationships/hyperlink" Target="https://2b.pik.ru/projects/005a0949-19cc-453b-b7ef-936364736058/acts" TargetMode="External"/><Relationship Id="rId1" Type="http://schemas.openxmlformats.org/officeDocument/2006/relationships/hyperlink" Target="https://2b.pik.ru/acts/1ac61024-1455-499c-a346-bb60951ce482/324d3bb4-3068-4d6a-9c73-2061479f04b7" TargetMode="External"/><Relationship Id="rId2" Type="http://schemas.openxmlformats.org/officeDocument/2006/relationships/hyperlink" Target="https://2b.pik.ru/acts/8354100a-08a5-4215-97be-0d47e470e9c1/9980e6ce-609b-49f6-a958-5b21bf596c31" TargetMode="External"/><Relationship Id="rId3" Type="http://schemas.openxmlformats.org/officeDocument/2006/relationships/hyperlink" Target="https://2b.pik.ru/acts/35ca53cd-2eac-4585-977e-a55c81065cc8/656c1df3-16da-40e6-b860-bbd27070cbc4" TargetMode="External"/><Relationship Id="rId4" Type="http://schemas.openxmlformats.org/officeDocument/2006/relationships/hyperlink" Target="https://2b.pik.ru/acts/bb587ca3-0fd7-4681-aec0-5fc4f1084ae3/b2f652da-1d97-44e9-92b3-156f143f5bd1" TargetMode="External"/><Relationship Id="rId9" Type="http://schemas.openxmlformats.org/officeDocument/2006/relationships/hyperlink" Target="https://2b.pik.ru/acts/2c94f78c-d849-4a26-9e11-9837a64156f3/ba92ec6a-2332-4436-b887-1d440197bdd1" TargetMode="External"/><Relationship Id="rId48" Type="http://schemas.openxmlformats.org/officeDocument/2006/relationships/hyperlink" Target="https://2b.pik.ru/projects/174315008602861738/acts" TargetMode="External"/><Relationship Id="rId47" Type="http://schemas.openxmlformats.org/officeDocument/2006/relationships/hyperlink" Target="https://2b.pik.ru/projects/a4b41661-039f-4a3a-9637-0e2c178bc54d/acts" TargetMode="External"/><Relationship Id="rId49" Type="http://schemas.openxmlformats.org/officeDocument/2006/relationships/hyperlink" Target="https://2b.pik.ru/projects/0f18a7cf-032f-4b96-88cd-d07519a78a7f/acts" TargetMode="External"/><Relationship Id="rId5" Type="http://schemas.openxmlformats.org/officeDocument/2006/relationships/hyperlink" Target="https://2b.pik.ru/acts/ced66ced-d083-419e-b5e9-b091102dda14/ea00d0ca-bbef-4af8-a9b4-4a461e860427" TargetMode="External"/><Relationship Id="rId6" Type="http://schemas.openxmlformats.org/officeDocument/2006/relationships/hyperlink" Target="https://2b.pik.ru/acts/39eeea0a-33e7-467c-b906-f997bcc4f013/1a84f492-e1c6-4993-8880-b691320d0b4a" TargetMode="External"/><Relationship Id="rId7" Type="http://schemas.openxmlformats.org/officeDocument/2006/relationships/hyperlink" Target="https://2b.pik.ru/acts/3aea4379-c719-402d-9187-7813f2fa1887/d3d9ce57-2ae7-4da6-bc6f-bde627ea1004" TargetMode="External"/><Relationship Id="rId8" Type="http://schemas.openxmlformats.org/officeDocument/2006/relationships/hyperlink" Target="https://2b.pik.ru/acts/d6ed3421-26b9-4f37-95c9-b1ca4f7cec0a/ff5344da-59e1-4bd3-80f5-da74c19e0a37" TargetMode="External"/><Relationship Id="rId31" Type="http://schemas.openxmlformats.org/officeDocument/2006/relationships/hyperlink" Target="https://2b.pik.ru/acts/c80042c4-df74-41b8-9f2f-b951a96c2074/f4d79c07-442c-4c02-86e1-31c4bb08d2a9" TargetMode="External"/><Relationship Id="rId30" Type="http://schemas.openxmlformats.org/officeDocument/2006/relationships/hyperlink" Target="https://2b.pik.ru/acts/49145f6a-fe76-4aa3-b79e-0bf97685643a/ab875cbe-d4c9-47c8-a437-215e03c63945" TargetMode="External"/><Relationship Id="rId33" Type="http://schemas.openxmlformats.org/officeDocument/2006/relationships/hyperlink" Target="https://2b.pik.ru/projects/4d586910-8047-4db3-91dd-6b34aaaef81d/acts" TargetMode="External"/><Relationship Id="rId32" Type="http://schemas.openxmlformats.org/officeDocument/2006/relationships/hyperlink" Target="https://2b.pik.ru/acts/07459a3c-8087-4eef-8096-c81986565b28/1c8dc427-05e9-4102-8822-171d2dfefec0" TargetMode="External"/><Relationship Id="rId35" Type="http://schemas.openxmlformats.org/officeDocument/2006/relationships/hyperlink" Target="https://2b.pik.ru/projects/797329eb-eeb3-4fde-83ba-c8f5809d0c2c/acts" TargetMode="External"/><Relationship Id="rId34" Type="http://schemas.openxmlformats.org/officeDocument/2006/relationships/hyperlink" Target="https://2b.pik.ru/projects/172801033100135573/acts" TargetMode="External"/><Relationship Id="rId37" Type="http://schemas.openxmlformats.org/officeDocument/2006/relationships/hyperlink" Target="https://2b.pik.ru/projects/cda55aa8-fb1c-4c6c-9dab-a43a12b718a2/contract" TargetMode="External"/><Relationship Id="rId36" Type="http://schemas.openxmlformats.org/officeDocument/2006/relationships/hyperlink" Target="https://2b.pik.ru/projects/174800993902310850/acts" TargetMode="External"/><Relationship Id="rId39" Type="http://schemas.openxmlformats.org/officeDocument/2006/relationships/hyperlink" Target="https://2b.pik.ru/projects/172802741606079907/acts" TargetMode="External"/><Relationship Id="rId38" Type="http://schemas.openxmlformats.org/officeDocument/2006/relationships/hyperlink" Target="https://2b.pik.ru/projects/5313b318-96c5-48be-b981-c4a3757997fa/acts" TargetMode="External"/><Relationship Id="rId62" Type="http://schemas.openxmlformats.org/officeDocument/2006/relationships/hyperlink" Target="https://2b.pik.ru/acts/323cb452-d62c-4cac-b05a-65fa811c81a5/ac06936e-0275-443d-a335-e971941fcd9a" TargetMode="External"/><Relationship Id="rId61" Type="http://schemas.openxmlformats.org/officeDocument/2006/relationships/hyperlink" Target="https://2b.pik.ru/acts/4c56a03b-72b5-4a82-9b39-85b18acd2b3e/514eeeec-fc16-455c-9eb2-6bc54cfaa7c1" TargetMode="External"/><Relationship Id="rId20" Type="http://schemas.openxmlformats.org/officeDocument/2006/relationships/hyperlink" Target="https://2b.pik.ru/acts/49cf57f7-4bbe-4a32-a45f-9c3360609b26/f8156993-6751-4c8b-a997-788fbce9f694" TargetMode="External"/><Relationship Id="rId64" Type="http://schemas.openxmlformats.org/officeDocument/2006/relationships/hyperlink" Target="https://2b.pik.ru/projects/a73956d0-4dff-4b49-b209-7a617d055fb8" TargetMode="External"/><Relationship Id="rId63" Type="http://schemas.openxmlformats.org/officeDocument/2006/relationships/hyperlink" Target="https://2b.pik.ru/acts/1f408fca-924b-4d05-8610-77407fb4353e/9d4c12a8-6436-4b86-ae70-81a30ffb9a5a" TargetMode="External"/><Relationship Id="rId22" Type="http://schemas.openxmlformats.org/officeDocument/2006/relationships/hyperlink" Target="https://2b.pik.ru/acts/48297f8b-2a54-4007-b26e-364ad9bd224f/4f9b4451-c330-460d-97df-ff9de3691e52" TargetMode="External"/><Relationship Id="rId66" Type="http://schemas.openxmlformats.org/officeDocument/2006/relationships/hyperlink" Target="https://2b.pik.ru/projects/44f036bf-926d-479f-93b5-05841309dcd8/acts" TargetMode="External"/><Relationship Id="rId21" Type="http://schemas.openxmlformats.org/officeDocument/2006/relationships/hyperlink" Target="https://2b.pik.ru/acts/f1e6e005-5861-4625-b532-4b410a81ebde/2c7a1e86-2512-40d7-a9be-6fdee3ff3eb9" TargetMode="External"/><Relationship Id="rId65" Type="http://schemas.openxmlformats.org/officeDocument/2006/relationships/hyperlink" Target="https://2b.pik.ru/projects/a73956d0-4dff-4b49-b209-7a617d055fb8" TargetMode="External"/><Relationship Id="rId24" Type="http://schemas.openxmlformats.org/officeDocument/2006/relationships/hyperlink" Target="https://2b.pik.ru/acts/3eed04ac-0ba2-4f58-a88e-4d7dede41fdc/8f236b60-9a4b-4141-85be-1ba04ec540a0" TargetMode="External"/><Relationship Id="rId68" Type="http://schemas.openxmlformats.org/officeDocument/2006/relationships/drawing" Target="../drawings/drawing8.xml"/><Relationship Id="rId23" Type="http://schemas.openxmlformats.org/officeDocument/2006/relationships/hyperlink" Target="https://2b.pik.ru/acts/ad635eb4-c465-43e3-ad52-5157a0de6910/e2932a0e-264e-44ac-a04b-b2f37cf4bd93" TargetMode="External"/><Relationship Id="rId67" Type="http://schemas.openxmlformats.org/officeDocument/2006/relationships/hyperlink" Target="https://2b.pik.ru/projects/174171019705258314/acts" TargetMode="External"/><Relationship Id="rId60" Type="http://schemas.openxmlformats.org/officeDocument/2006/relationships/hyperlink" Target="https://2b.pik.ru/acts/51ea2edb-b010-4da1-a327-3d6de7a434ed/0f670293-80ca-4f94-a914-71d7696275d4" TargetMode="External"/><Relationship Id="rId26" Type="http://schemas.openxmlformats.org/officeDocument/2006/relationships/hyperlink" Target="https://2b.pik.ru/acts/5b528efa-7ad7-4adf-95dd-b83dfe3c7862/b965fd9b-df59-4c86-b0a8-5371fcb0c86e" TargetMode="External"/><Relationship Id="rId25" Type="http://schemas.openxmlformats.org/officeDocument/2006/relationships/hyperlink" Target="https://2b.pik.ru/projects/54786650-486b-436d-b25c-a23ea4b03d6a/acts" TargetMode="External"/><Relationship Id="rId28" Type="http://schemas.openxmlformats.org/officeDocument/2006/relationships/hyperlink" Target="https://2b.pik.ru/acts/2d454289-d9eb-4870-ad6a-6c80a94c84fa/eb372d78-15d0-4e65-8f82-433c405650df" TargetMode="External"/><Relationship Id="rId27" Type="http://schemas.openxmlformats.org/officeDocument/2006/relationships/hyperlink" Target="https://2b.pik.ru/acts/75b1ecfe-5151-4750-aaf1-71005a50d5ae/b7f3b72c-8d55-4268-9227-15911fa00b40" TargetMode="External"/><Relationship Id="rId29" Type="http://schemas.openxmlformats.org/officeDocument/2006/relationships/hyperlink" Target="https://2b.pik.ru/acts/1aceaf01-5ff1-4edb-9407-38f7b1a43124/9311dcf4-5a46-4588-acb7-2b318ab95b9e" TargetMode="External"/><Relationship Id="rId51" Type="http://schemas.openxmlformats.org/officeDocument/2006/relationships/hyperlink" Target="https://2b.pik.ru/projects/d5f425a1-9c4b-4172-8386-f90a3eeeee87/acts" TargetMode="External"/><Relationship Id="rId50" Type="http://schemas.openxmlformats.org/officeDocument/2006/relationships/hyperlink" Target="https://2b.pik.ru/projects/7f354d40-7bad-4af0-86df-46126624f23f/acts" TargetMode="External"/><Relationship Id="rId53" Type="http://schemas.openxmlformats.org/officeDocument/2006/relationships/hyperlink" Target="https://2b.pik.ru/projects/c6ae2076-749e-4bc5-b029-4420c72f1d3a/acts" TargetMode="External"/><Relationship Id="rId52" Type="http://schemas.openxmlformats.org/officeDocument/2006/relationships/hyperlink" Target="https://2b.pik.ru/projects/172797127602033120/acts" TargetMode="External"/><Relationship Id="rId11" Type="http://schemas.openxmlformats.org/officeDocument/2006/relationships/hyperlink" Target="https://2b.pik.ru/acts/e3a5a1fa-b665-4403-9e30-1abd21d0a4f5/a09ddebe-a007-42d7-8281-63259b88fc41" TargetMode="External"/><Relationship Id="rId55" Type="http://schemas.openxmlformats.org/officeDocument/2006/relationships/hyperlink" Target="https://2b.pik.ru/projects/863b75cf-17d8-48c2-acfc-158fa5d1404c/acts" TargetMode="External"/><Relationship Id="rId10" Type="http://schemas.openxmlformats.org/officeDocument/2006/relationships/hyperlink" Target="https://2b.pik.ru/acts/951a48a8-828a-444f-96a7-01c592bb5634/ad1522be-f610-4ea5-b8a4-c4388f9b6d6a" TargetMode="External"/><Relationship Id="rId54" Type="http://schemas.openxmlformats.org/officeDocument/2006/relationships/hyperlink" Target="https://2b.pik.ru/projects/173271301302803445/acts" TargetMode="External"/><Relationship Id="rId13" Type="http://schemas.openxmlformats.org/officeDocument/2006/relationships/hyperlink" Target="https://2b.pik.ru/acts/1202eeaa-0dfa-4364-990c-f1d60019749d/73756d39-fee7-4f00-aff7-0d2e2ae79228" TargetMode="External"/><Relationship Id="rId57" Type="http://schemas.openxmlformats.org/officeDocument/2006/relationships/hyperlink" Target="https://2b.pik.ru/projects/8a7450ab-68cd-415d-ae89-99b232aee69d/acts" TargetMode="External"/><Relationship Id="rId12" Type="http://schemas.openxmlformats.org/officeDocument/2006/relationships/hyperlink" Target="https://2b.pik.ru/acts/a33138d4-f912-4d06-a70e-2c6e51747386/c81fa415-1e74-4d71-b167-ea6ae15e6c7f" TargetMode="External"/><Relationship Id="rId56" Type="http://schemas.openxmlformats.org/officeDocument/2006/relationships/hyperlink" Target="https://2b.pik.ru/projects/d98bb14a-9d51-4220-bf5c-6d77bdcaaf92/acts" TargetMode="External"/><Relationship Id="rId15" Type="http://schemas.openxmlformats.org/officeDocument/2006/relationships/hyperlink" Target="https://2b.pik.ru/acts/6c514406-3114-43b8-a005-4911557753a1/5e145533-521e-4429-a648-6101d19179ae" TargetMode="External"/><Relationship Id="rId59" Type="http://schemas.openxmlformats.org/officeDocument/2006/relationships/hyperlink" Target="https://2b.pik.ru/projects/9e99f766-a804-4abb-8141-c5559e9c982f/acts" TargetMode="External"/><Relationship Id="rId14" Type="http://schemas.openxmlformats.org/officeDocument/2006/relationships/hyperlink" Target="https://2b.pik.ru/acts/3b2f9d28-1440-4721-a5f8-6080b8a2b5f8/099f6683-ce6d-4b20-8956-5407ea119750" TargetMode="External"/><Relationship Id="rId58" Type="http://schemas.openxmlformats.org/officeDocument/2006/relationships/hyperlink" Target="https://2b.pik.ru/projects/8a7450ab-68cd-415d-ae89-99b232aee69d/acts" TargetMode="External"/><Relationship Id="rId17" Type="http://schemas.openxmlformats.org/officeDocument/2006/relationships/hyperlink" Target="https://2b.pik.ru/projects/7192e732-b456-4cbf-998b-d4538c87cb76/acts" TargetMode="External"/><Relationship Id="rId16" Type="http://schemas.openxmlformats.org/officeDocument/2006/relationships/hyperlink" Target="https://2b.pik.ru/projects/dd1734d7-af94-45b0-9654-752ac22f234e/acts" TargetMode="External"/><Relationship Id="rId19" Type="http://schemas.openxmlformats.org/officeDocument/2006/relationships/hyperlink" Target="https://2b.pik.ru/acts/da4c02a1-96ca-4e77-8f80-d52cd59812ee/a8536c2c-0b92-4b40-91df-01187e86c4cb" TargetMode="External"/><Relationship Id="rId18" Type="http://schemas.openxmlformats.org/officeDocument/2006/relationships/hyperlink" Target="https://2b.pik.ru/projects/d5d3ea4b-703f-4373-89d5-8c502f8e2bec/acts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2b.pik.ru/projects/cda55aa8-fb1c-4c6c-9dab-a43a12b718a2/contract" TargetMode="External"/><Relationship Id="rId42" Type="http://schemas.openxmlformats.org/officeDocument/2006/relationships/hyperlink" Target="https://2b.pik.ru/projects/172802741606079907/acts" TargetMode="External"/><Relationship Id="rId41" Type="http://schemas.openxmlformats.org/officeDocument/2006/relationships/hyperlink" Target="https://2b.pik.ru/projects/5313b318-96c5-48be-b981-c4a3757997fa/acts" TargetMode="External"/><Relationship Id="rId44" Type="http://schemas.openxmlformats.org/officeDocument/2006/relationships/hyperlink" Target="https://2b.pik.ru/projects/c5cc0519-3ba2-438c-94f0-54e0b6b204fe/acts" TargetMode="External"/><Relationship Id="rId43" Type="http://schemas.openxmlformats.org/officeDocument/2006/relationships/hyperlink" Target="https://2b.pik.ru/projects/3e6732f3-bd02-40a0-b368-c22625375c6a/acts" TargetMode="External"/><Relationship Id="rId46" Type="http://schemas.openxmlformats.org/officeDocument/2006/relationships/hyperlink" Target="https://2b.pik.ru/projects/d36824aa-7259-4678-a20a-b885b36e62c0/acts" TargetMode="External"/><Relationship Id="rId45" Type="http://schemas.openxmlformats.org/officeDocument/2006/relationships/hyperlink" Target="https://2b.pik.ru/projects/44bc1457-c691-4a04-b1b4-d267dce5e2ad/acts" TargetMode="External"/><Relationship Id="rId80" Type="http://schemas.openxmlformats.org/officeDocument/2006/relationships/drawing" Target="../drawings/drawing9.xml"/><Relationship Id="rId1" Type="http://schemas.openxmlformats.org/officeDocument/2006/relationships/hyperlink" Target="https://2b.pik.ru/acts/1ac61024-1455-499c-a346-bb60951ce482/2d63391d-ff0b-4216-9616-994d3b83e96a" TargetMode="External"/><Relationship Id="rId2" Type="http://schemas.openxmlformats.org/officeDocument/2006/relationships/hyperlink" Target="https://2b.pik.ru/acts/8354100a-08a5-4215-97be-0d47e470e9c1/0190fcc3-4b5c-4ad8-8a98-9f297958e2ba" TargetMode="External"/><Relationship Id="rId3" Type="http://schemas.openxmlformats.org/officeDocument/2006/relationships/hyperlink" Target="https://2b.pik.ru/acts/ced66ced-d083-419e-b5e9-b091102dda14/ea00d0ca-bbef-4af8-a9b4-4a461e860427" TargetMode="External"/><Relationship Id="rId4" Type="http://schemas.openxmlformats.org/officeDocument/2006/relationships/hyperlink" Target="https://2b.pik.ru/acts/39eeea0a-33e7-467c-b906-f997bcc4f013/78f83133-9a22-41d5-883a-eff889cb80cc" TargetMode="External"/><Relationship Id="rId9" Type="http://schemas.openxmlformats.org/officeDocument/2006/relationships/hyperlink" Target="https://2b.pik.ru/acts/a33138d4-f912-4d06-a70e-2c6e51747386/68304fe1-7e67-489d-9812-9fb04b7a341a" TargetMode="External"/><Relationship Id="rId48" Type="http://schemas.openxmlformats.org/officeDocument/2006/relationships/hyperlink" Target="https://2b.pik.ru/projects/5c6231ce-e410-4cb2-977e-addd9bc9640e/acts" TargetMode="External"/><Relationship Id="rId47" Type="http://schemas.openxmlformats.org/officeDocument/2006/relationships/hyperlink" Target="https://2b.pik.ru/projects/174601164508534746/acts" TargetMode="External"/><Relationship Id="rId49" Type="http://schemas.openxmlformats.org/officeDocument/2006/relationships/hyperlink" Target="https://2b.pik.ru/acts/8c724233-7d11-4e0a-a8ea-a998715c7d47/c717ffd1-918f-420f-be6e-70980c7b1c00" TargetMode="External"/><Relationship Id="rId5" Type="http://schemas.openxmlformats.org/officeDocument/2006/relationships/hyperlink" Target="https://2b.pik.ru/acts/3aea4379-c719-402d-9187-7813f2fa1887/177faa7d-174d-412f-902a-f46c01117a18" TargetMode="External"/><Relationship Id="rId6" Type="http://schemas.openxmlformats.org/officeDocument/2006/relationships/hyperlink" Target="https://2b.pik.ru/acts/d6ed3421-26b9-4f37-95c9-b1ca4f7cec0a/26e8aa65-bfbc-4462-8394-2bc8a061cad9" TargetMode="External"/><Relationship Id="rId7" Type="http://schemas.openxmlformats.org/officeDocument/2006/relationships/hyperlink" Target="https://2b.pik.ru/projects/dd1734d7-af94-45b0-9654-752ac22f234e/acts" TargetMode="External"/><Relationship Id="rId8" Type="http://schemas.openxmlformats.org/officeDocument/2006/relationships/hyperlink" Target="https://2b.pik.ru/acts/2c94f78c-d849-4a26-9e11-9837a64156f3/4d503a98-08b7-43af-b79e-dc7d07f9823a" TargetMode="External"/><Relationship Id="rId73" Type="http://schemas.openxmlformats.org/officeDocument/2006/relationships/hyperlink" Target="https://2b.pik.ru/projects/44f036bf-926d-479f-93b5-05841309dcd8/acts" TargetMode="External"/><Relationship Id="rId72" Type="http://schemas.openxmlformats.org/officeDocument/2006/relationships/hyperlink" Target="https://2b.pik.ru/acts/020f78b4-1fef-46b7-bad0-05c14a8a36aa/d5007792-e52f-4006-9f46-f9fadd3c99f3" TargetMode="External"/><Relationship Id="rId31" Type="http://schemas.openxmlformats.org/officeDocument/2006/relationships/hyperlink" Target="https://2b.pik.ru/acts/3999838e-7fd0-4fad-8727-959dc88af2b9/a0d19f90-492e-4978-a68a-c86673b2d8f0" TargetMode="External"/><Relationship Id="rId75" Type="http://schemas.openxmlformats.org/officeDocument/2006/relationships/hyperlink" Target="https://2b.pik.ru/acts/4508d709-ad04-47d0-8e93-847d06ad1818/5de446be-b14d-47ef-a834-8bea5e827f8f" TargetMode="External"/><Relationship Id="rId30" Type="http://schemas.openxmlformats.org/officeDocument/2006/relationships/hyperlink" Target="https://2b.pik.ru/acts/ea1f5561-1c86-4835-ae34-055c1223fec0/20155c6f-4959-41e4-a70b-57f7ff49da5f" TargetMode="External"/><Relationship Id="rId74" Type="http://schemas.openxmlformats.org/officeDocument/2006/relationships/hyperlink" Target="https://2b.pik.ru/projects/174171019705258314/acts" TargetMode="External"/><Relationship Id="rId33" Type="http://schemas.openxmlformats.org/officeDocument/2006/relationships/hyperlink" Target="https://2b.pik.ru/projects/07459a3c-8087-4eef-8096-c81986565b28/acts" TargetMode="External"/><Relationship Id="rId77" Type="http://schemas.openxmlformats.org/officeDocument/2006/relationships/hyperlink" Target="https://2b.pik.ru/projects/174171019705258314/acts" TargetMode="External"/><Relationship Id="rId32" Type="http://schemas.openxmlformats.org/officeDocument/2006/relationships/hyperlink" Target="https://2b.pik.ru/acts/fe01bc50-4508-4828-861b-d10180b6f9b3/8f01b796-e3d5-438d-ba37-e4b2ffefa6dd" TargetMode="External"/><Relationship Id="rId76" Type="http://schemas.openxmlformats.org/officeDocument/2006/relationships/hyperlink" Target="https://2b.pik.ru/projects/44f036bf-926d-479f-93b5-05841309dcd8/acts" TargetMode="External"/><Relationship Id="rId35" Type="http://schemas.openxmlformats.org/officeDocument/2006/relationships/hyperlink" Target="https://2b.pik.ru/projects/4d586910-8047-4db3-91dd-6b34aaaef81d/acts" TargetMode="External"/><Relationship Id="rId79" Type="http://schemas.openxmlformats.org/officeDocument/2006/relationships/hyperlink" Target="https://2b.pik.ru/acts/0225920b-9b8b-4455-8fdd-0781858ec65c/dc425aff-f81a-4b40-a525-e07f16b0ba76" TargetMode="External"/><Relationship Id="rId34" Type="http://schemas.openxmlformats.org/officeDocument/2006/relationships/hyperlink" Target="https://2b.pik.ru/acts/212ebfce-2ef3-409a-84aa-6c338555a982/5052018e-5958-4f79-880e-b78e0d30b4a4" TargetMode="External"/><Relationship Id="rId78" Type="http://schemas.openxmlformats.org/officeDocument/2006/relationships/hyperlink" Target="https://2b.pik.ru/acts/526e6b5f-fbee-45b4-a41c-8ac923f8058d/cbb29501-873b-4202-8ff1-a449496a96b8" TargetMode="External"/><Relationship Id="rId71" Type="http://schemas.openxmlformats.org/officeDocument/2006/relationships/hyperlink" Target="https://2b.pik.ru/acts/1f408fca-924b-4d05-8610-77407fb4353e/2338ec3b-f357-46ea-b178-44eb2fdfeee4" TargetMode="External"/><Relationship Id="rId70" Type="http://schemas.openxmlformats.org/officeDocument/2006/relationships/hyperlink" Target="https://2b.pik.ru/acts/51ea2edb-b010-4da1-a327-3d6de7a434ed/b854cc44-e511-4262-8d58-5294168fdd89" TargetMode="External"/><Relationship Id="rId37" Type="http://schemas.openxmlformats.org/officeDocument/2006/relationships/hyperlink" Target="https://2b.pik.ru/projects/7258a963-0b67-4fc7-b096-f3971b99b93e/acts" TargetMode="External"/><Relationship Id="rId36" Type="http://schemas.openxmlformats.org/officeDocument/2006/relationships/hyperlink" Target="https://2b.pik.ru/projects/172801033100135573/acts" TargetMode="External"/><Relationship Id="rId39" Type="http://schemas.openxmlformats.org/officeDocument/2006/relationships/hyperlink" Target="https://2b.pik.ru/projects/174800993902310850/acts" TargetMode="External"/><Relationship Id="rId38" Type="http://schemas.openxmlformats.org/officeDocument/2006/relationships/hyperlink" Target="https://2b.pik.ru/projects/797329eb-eeb3-4fde-83ba-c8f5809d0c2c/acts" TargetMode="External"/><Relationship Id="rId62" Type="http://schemas.openxmlformats.org/officeDocument/2006/relationships/hyperlink" Target="https://2b.pik.ru/projects/127c6036-1282-498a-92fa-1609df7eb495/acts" TargetMode="External"/><Relationship Id="rId61" Type="http://schemas.openxmlformats.org/officeDocument/2006/relationships/hyperlink" Target="https://2b.pik.ru/projects/d98bb14a-9d51-4220-bf5c-6d77bdcaaf92/acts" TargetMode="External"/><Relationship Id="rId20" Type="http://schemas.openxmlformats.org/officeDocument/2006/relationships/hyperlink" Target="https://2b.pik.ru/acts/3eed04ac-0ba2-4f58-a88e-4d7dede41fdc/1469bffd-7a34-47c9-bbc7-6b4aac929d5f" TargetMode="External"/><Relationship Id="rId64" Type="http://schemas.openxmlformats.org/officeDocument/2006/relationships/hyperlink" Target="https://2b.pik.ru/projects/8a7450ab-68cd-415d-ae89-99b232aee69d/acts" TargetMode="External"/><Relationship Id="rId63" Type="http://schemas.openxmlformats.org/officeDocument/2006/relationships/hyperlink" Target="https://2b.pik.ru/projects/e0091079-2881-4136-b230-8bc72204d986/acts" TargetMode="External"/><Relationship Id="rId22" Type="http://schemas.openxmlformats.org/officeDocument/2006/relationships/hyperlink" Target="https://2b.pik.ru/acts/7b48edb6-45a0-4419-a0f4-51da38ee7ccb/8b55e6a8-7570-4a1f-989d-88ff5e8abf32" TargetMode="External"/><Relationship Id="rId66" Type="http://schemas.openxmlformats.org/officeDocument/2006/relationships/hyperlink" Target="https://2b.pik.ru/projects/127c6036-1282-498a-92fa-1609df7eb495/acts" TargetMode="External"/><Relationship Id="rId21" Type="http://schemas.openxmlformats.org/officeDocument/2006/relationships/hyperlink" Target="https://2b.pik.ru/projects/6fd63a0e-a4e4-4f36-805f-f9fb0f05face/acts" TargetMode="External"/><Relationship Id="rId65" Type="http://schemas.openxmlformats.org/officeDocument/2006/relationships/hyperlink" Target="https://2b.pik.ru/projects/174545786902837365/acts" TargetMode="External"/><Relationship Id="rId24" Type="http://schemas.openxmlformats.org/officeDocument/2006/relationships/hyperlink" Target="https://2b.pik.ru/acts/72aa799a-b74d-4e7c-a8ba-1c6cfde80688/ad1a76c7-d86b-4a00-a86f-1b819017807d" TargetMode="External"/><Relationship Id="rId68" Type="http://schemas.openxmlformats.org/officeDocument/2006/relationships/hyperlink" Target="https://2b.pik.ru/projects/8a7450ab-68cd-415d-ae89-99b232aee69d/acts" TargetMode="External"/><Relationship Id="rId23" Type="http://schemas.openxmlformats.org/officeDocument/2006/relationships/hyperlink" Target="https://2b.pik.ru/acts/51131104-f49c-487c-87b4-9ebbee1f2a50/fd645505-7009-4cae-a74d-45b7a1424073" TargetMode="External"/><Relationship Id="rId67" Type="http://schemas.openxmlformats.org/officeDocument/2006/relationships/hyperlink" Target="https://2b.pik.ru/projects/127c6036-1282-498a-92fa-1609df7eb495/acts" TargetMode="External"/><Relationship Id="rId60" Type="http://schemas.openxmlformats.org/officeDocument/2006/relationships/hyperlink" Target="https://2b.pik.ru/projects/174545786902837365/acts" TargetMode="External"/><Relationship Id="rId26" Type="http://schemas.openxmlformats.org/officeDocument/2006/relationships/hyperlink" Target="https://2b.pik.ru/projects/44f036bf-926d-479f-93b5-05841309dcd8/acts" TargetMode="External"/><Relationship Id="rId25" Type="http://schemas.openxmlformats.org/officeDocument/2006/relationships/hyperlink" Target="https://2b.pik.ru/acts/5b528efa-7ad7-4adf-95dd-b83dfe3c7862/9e1143c0-9eeb-4412-b0f4-d9426e2ce311" TargetMode="External"/><Relationship Id="rId69" Type="http://schemas.openxmlformats.org/officeDocument/2006/relationships/hyperlink" Target="https://2b.pik.ru/projects/8a7450ab-68cd-415d-ae89-99b232aee69d/acts" TargetMode="External"/><Relationship Id="rId28" Type="http://schemas.openxmlformats.org/officeDocument/2006/relationships/hyperlink" Target="https://2b.pik.ru/acts/2d454289-d9eb-4870-ad6a-6c80a94c84fa/67ff2ccb-86e5-41ff-93d7-55860d8e0e51" TargetMode="External"/><Relationship Id="rId27" Type="http://schemas.openxmlformats.org/officeDocument/2006/relationships/hyperlink" Target="https://2b.pik.ru/acts/75b1ecfe-5151-4750-aaf1-71005a50d5ae/69f4aa4b-dcc5-47b6-a565-fb2161a70cc3" TargetMode="External"/><Relationship Id="rId29" Type="http://schemas.openxmlformats.org/officeDocument/2006/relationships/hyperlink" Target="https://2b.pik.ru/acts/1aceaf01-5ff1-4edb-9407-38f7b1a43124/438593f3-525d-4b62-a7fa-56f69224caf7" TargetMode="External"/><Relationship Id="rId51" Type="http://schemas.openxmlformats.org/officeDocument/2006/relationships/hyperlink" Target="https://2b.pik.ru/projects/6fd63a0e-a4e4-4f36-805f-f9fb0f05face/acts" TargetMode="External"/><Relationship Id="rId50" Type="http://schemas.openxmlformats.org/officeDocument/2006/relationships/hyperlink" Target="https://2b.pik.ru/acts/f484e155-4871-42c3-b5c8-2cee712842ec/352fc09b-f645-45b3-ba17-a210a4edd8db" TargetMode="External"/><Relationship Id="rId53" Type="http://schemas.openxmlformats.org/officeDocument/2006/relationships/hyperlink" Target="https://2b.pik.ru/projects/6fd63a0e-a4e4-4f36-805f-f9fb0f05face/acts" TargetMode="External"/><Relationship Id="rId52" Type="http://schemas.openxmlformats.org/officeDocument/2006/relationships/hyperlink" Target="https://2b.pik.ru/projects/005a0949-19cc-453b-b7ef-936364736058/acts" TargetMode="External"/><Relationship Id="rId11" Type="http://schemas.openxmlformats.org/officeDocument/2006/relationships/hyperlink" Target="https://2b.pik.ru/acts/3b2f9d28-1440-4721-a5f8-6080b8a2b5f8/2db7fbff-5cf0-4a0b-9078-2f469bf88a16" TargetMode="External"/><Relationship Id="rId55" Type="http://schemas.openxmlformats.org/officeDocument/2006/relationships/hyperlink" Target="https://2b.pik.ru/projects/174315008602861738/acts" TargetMode="External"/><Relationship Id="rId10" Type="http://schemas.openxmlformats.org/officeDocument/2006/relationships/hyperlink" Target="https://2b.pik.ru/acts/788e7d67-18ce-4ca9-9336-d352fe5e8121/e10ce0b3-8768-4ae0-bcde-f3897c67a10b" TargetMode="External"/><Relationship Id="rId54" Type="http://schemas.openxmlformats.org/officeDocument/2006/relationships/hyperlink" Target="https://2b.pik.ru/projects/005a0949-19cc-453b-b7ef-936364736058/acts" TargetMode="External"/><Relationship Id="rId13" Type="http://schemas.openxmlformats.org/officeDocument/2006/relationships/hyperlink" Target="https://2b.pik.ru/acts/951a48a8-828a-444f-96a7-01c592bb5634/64a7464b-fed9-4a3a-856e-985de5e2c9ca" TargetMode="External"/><Relationship Id="rId57" Type="http://schemas.openxmlformats.org/officeDocument/2006/relationships/hyperlink" Target="https://2b.pik.ru/projects/a4b41661-039f-4a3a-9637-0e2c178bc54d/acts" TargetMode="External"/><Relationship Id="rId12" Type="http://schemas.openxmlformats.org/officeDocument/2006/relationships/hyperlink" Target="https://2b.pik.ru/acts/93c21861-c9ce-4af5-9cc0-db6d88f8ad4f/8667e601-a603-4282-9ab7-5e77dad51fb1" TargetMode="External"/><Relationship Id="rId56" Type="http://schemas.openxmlformats.org/officeDocument/2006/relationships/hyperlink" Target="https://2b.pik.ru/projects/9e99f766-a804-4abb-8141-c5559e9c982f/acts" TargetMode="External"/><Relationship Id="rId15" Type="http://schemas.openxmlformats.org/officeDocument/2006/relationships/hyperlink" Target="https://2b.pik.ru/projects/4d586910-8047-4db3-91dd-6b34aaaef81d/acts" TargetMode="External"/><Relationship Id="rId59" Type="http://schemas.openxmlformats.org/officeDocument/2006/relationships/hyperlink" Target="https://2b.pik.ru/projects/0f18a7cf-032f-4b96-88cd-d07519a78a7f/acts" TargetMode="External"/><Relationship Id="rId14" Type="http://schemas.openxmlformats.org/officeDocument/2006/relationships/hyperlink" Target="https://2b.pik.ru/acts/8d8cf3f1-78cc-426d-b455-fcdbb7eb8fbd/3e066074-833b-4e47-9c37-3250d49f6f9c" TargetMode="External"/><Relationship Id="rId58" Type="http://schemas.openxmlformats.org/officeDocument/2006/relationships/hyperlink" Target="https://2b.pik.ru/projects/174315008602861738/acts" TargetMode="External"/><Relationship Id="rId17" Type="http://schemas.openxmlformats.org/officeDocument/2006/relationships/hyperlink" Target="https://2b.pik.ru/acts/da4c02a1-96ca-4e77-8f80-d52cd59812ee/7fc5422f-30bf-4912-8afa-327325ad691b" TargetMode="External"/><Relationship Id="rId16" Type="http://schemas.openxmlformats.org/officeDocument/2006/relationships/hyperlink" Target="https://2b.pik.ru/projects/dd1734d7-af94-45b0-9654-752ac22f234e/acts" TargetMode="External"/><Relationship Id="rId19" Type="http://schemas.openxmlformats.org/officeDocument/2006/relationships/hyperlink" Target="https://2b.pik.ru/acts/ad635eb4-c465-43e3-ad52-5157a0de6910/15cc615c-1cc9-443d-845d-4e4369fa52a7" TargetMode="External"/><Relationship Id="rId18" Type="http://schemas.openxmlformats.org/officeDocument/2006/relationships/hyperlink" Target="https://2b.pik.ru/acts/48297f8b-2a54-4007-b26e-364ad9bd224f/bb3a0602-91cb-42cf-b5b4-ac28f55bd4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3.88"/>
    <col customWidth="1" min="3" max="3" width="34.0"/>
    <col customWidth="1" min="4" max="4" width="27.63"/>
    <col customWidth="1" min="5" max="19" width="13.0"/>
  </cols>
  <sheetData>
    <row r="1" ht="18.75" customHeight="1">
      <c r="A1" s="3"/>
      <c r="B1" s="4" t="s">
        <v>20</v>
      </c>
      <c r="C1" s="6" t="s">
        <v>23</v>
      </c>
      <c r="D1" s="6" t="s">
        <v>26</v>
      </c>
      <c r="E1" s="9" t="s">
        <v>27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4"/>
    </row>
    <row r="2" ht="18.75" customHeight="1">
      <c r="A2" s="16"/>
      <c r="B2" s="18">
        <f>ROW()-1</f>
        <v>1</v>
      </c>
      <c r="C2" s="20" t="s">
        <v>66</v>
      </c>
      <c r="D2" s="20" t="s">
        <v>71</v>
      </c>
      <c r="E2" s="22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ht="18.75" customHeight="1">
      <c r="A3" s="16"/>
      <c r="B3" s="26"/>
      <c r="C3" s="26"/>
      <c r="D3" s="26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ht="18.75" customHeight="1">
      <c r="A4" s="16"/>
      <c r="B4" s="18">
        <f>ROW()-1</f>
        <v>3</v>
      </c>
      <c r="C4" s="20" t="s">
        <v>98</v>
      </c>
      <c r="D4" s="20" t="s">
        <v>102</v>
      </c>
      <c r="E4" s="22"/>
      <c r="F4" s="32"/>
      <c r="G4" s="32"/>
      <c r="H4" s="32"/>
      <c r="I4" s="32"/>
      <c r="J4" s="32"/>
      <c r="K4" s="32"/>
      <c r="L4" s="23"/>
      <c r="M4" s="23"/>
      <c r="N4" s="23"/>
      <c r="O4" s="23"/>
      <c r="P4" s="23"/>
      <c r="Q4" s="23"/>
      <c r="R4" s="23"/>
      <c r="S4" s="23"/>
    </row>
    <row r="5" ht="18.75" customHeight="1">
      <c r="A5" s="16"/>
      <c r="B5" s="26"/>
      <c r="C5" s="26"/>
      <c r="D5" s="26"/>
      <c r="E5" s="22" t="s">
        <v>115</v>
      </c>
      <c r="F5" s="32" t="s">
        <v>117</v>
      </c>
      <c r="G5" s="32" t="s">
        <v>119</v>
      </c>
      <c r="H5" s="32" t="s">
        <v>121</v>
      </c>
      <c r="I5" s="32"/>
      <c r="J5" s="32"/>
      <c r="K5" s="32"/>
      <c r="L5" s="23"/>
      <c r="M5" s="23"/>
      <c r="N5" s="23"/>
      <c r="O5" s="23"/>
      <c r="P5" s="23"/>
      <c r="Q5" s="23"/>
      <c r="R5" s="23"/>
      <c r="S5" s="23"/>
    </row>
    <row r="6" ht="18.75" customHeight="1">
      <c r="A6" s="16"/>
      <c r="B6" s="33">
        <f>ROW()-1</f>
        <v>5</v>
      </c>
      <c r="C6" s="34" t="s">
        <v>134</v>
      </c>
      <c r="D6" s="33" t="s">
        <v>71</v>
      </c>
      <c r="E6" s="22"/>
      <c r="F6" s="32"/>
      <c r="G6" s="32"/>
      <c r="H6" s="32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ht="18.75" customHeight="1">
      <c r="A7" s="16"/>
      <c r="B7" s="26"/>
      <c r="C7" s="26"/>
      <c r="D7" s="26"/>
      <c r="E7" s="22" t="s">
        <v>141</v>
      </c>
      <c r="F7" s="32" t="s">
        <v>143</v>
      </c>
      <c r="G7" s="32" t="s">
        <v>145</v>
      </c>
      <c r="H7" s="32" t="s">
        <v>145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18.75" customHeight="1">
      <c r="A8" s="16"/>
      <c r="B8" s="33">
        <f>ROW()-1</f>
        <v>7</v>
      </c>
      <c r="C8" s="34" t="s">
        <v>154</v>
      </c>
      <c r="D8" s="33" t="s">
        <v>71</v>
      </c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18.75" customHeight="1">
      <c r="A9" s="16"/>
      <c r="B9" s="26"/>
      <c r="C9" s="26"/>
      <c r="D9" s="26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18.75" customHeight="1">
      <c r="A10" s="16"/>
      <c r="B10" s="33">
        <f>ROW()-1</f>
        <v>9</v>
      </c>
      <c r="C10" s="34" t="s">
        <v>160</v>
      </c>
      <c r="D10" s="33" t="s">
        <v>161</v>
      </c>
      <c r="E10" s="22" t="s">
        <v>162</v>
      </c>
      <c r="F10" s="32" t="s">
        <v>163</v>
      </c>
      <c r="G10" s="32"/>
      <c r="H10" s="3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8.75" customHeight="1">
      <c r="A11" s="16"/>
      <c r="B11" s="26"/>
      <c r="C11" s="26"/>
      <c r="D11" s="26"/>
      <c r="E11" s="22" t="s">
        <v>164</v>
      </c>
      <c r="F11" s="32" t="s">
        <v>165</v>
      </c>
      <c r="G11" s="32" t="s">
        <v>18</v>
      </c>
      <c r="H11" s="32" t="s">
        <v>4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ht="18.75" customHeight="1">
      <c r="A12" s="16"/>
      <c r="B12" s="33">
        <f>ROW()-1</f>
        <v>11</v>
      </c>
      <c r="C12" s="34" t="s">
        <v>167</v>
      </c>
      <c r="D12" s="33" t="s">
        <v>161</v>
      </c>
      <c r="E12" s="22"/>
      <c r="F12" s="32"/>
      <c r="G12" s="32"/>
      <c r="H12" s="3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ht="18.75" customHeight="1">
      <c r="A13" s="16"/>
      <c r="B13" s="26"/>
      <c r="C13" s="26"/>
      <c r="D13" s="26"/>
      <c r="E13" s="22" t="s">
        <v>169</v>
      </c>
      <c r="F13" s="32" t="s">
        <v>170</v>
      </c>
      <c r="G13" s="32" t="s">
        <v>171</v>
      </c>
      <c r="H13" s="32" t="s">
        <v>172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ht="18.75" customHeight="1">
      <c r="A14" s="16"/>
      <c r="B14" s="33">
        <f>ROW()-1</f>
        <v>13</v>
      </c>
      <c r="C14" s="34" t="s">
        <v>174</v>
      </c>
      <c r="D14" s="33" t="s">
        <v>71</v>
      </c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ht="18.75" customHeight="1">
      <c r="A15" s="16"/>
      <c r="B15" s="26"/>
      <c r="C15" s="26"/>
      <c r="D15" s="26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ht="18.75" customHeight="1">
      <c r="A16" s="16"/>
      <c r="B16" s="33">
        <f>ROW()-1</f>
        <v>15</v>
      </c>
      <c r="C16" s="34" t="s">
        <v>186</v>
      </c>
      <c r="D16" s="33" t="s">
        <v>71</v>
      </c>
      <c r="E16" s="22"/>
      <c r="F16" s="3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ht="18.75" customHeight="1">
      <c r="A17" s="16"/>
      <c r="B17" s="26"/>
      <c r="C17" s="26"/>
      <c r="D17" s="26"/>
      <c r="E17" s="22" t="s">
        <v>35</v>
      </c>
      <c r="F17" s="32" t="s">
        <v>193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ht="18.75" customHeight="1">
      <c r="A18" s="16"/>
      <c r="B18" s="33">
        <f>ROW()-1</f>
        <v>17</v>
      </c>
      <c r="C18" s="34" t="s">
        <v>201</v>
      </c>
      <c r="D18" s="33" t="s">
        <v>161</v>
      </c>
      <c r="E18" s="22"/>
      <c r="F18" s="3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18.75" customHeight="1">
      <c r="A19" s="16"/>
      <c r="B19" s="26"/>
      <c r="C19" s="26"/>
      <c r="D19" s="26"/>
      <c r="E19" s="22" t="s">
        <v>203</v>
      </c>
      <c r="F19" s="32" t="s">
        <v>204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18.75" customHeight="1">
      <c r="A20" s="16"/>
      <c r="B20" s="33">
        <f>ROW()-1</f>
        <v>19</v>
      </c>
      <c r="C20" s="34" t="s">
        <v>206</v>
      </c>
      <c r="D20" s="33" t="s">
        <v>102</v>
      </c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8.75" customHeight="1">
      <c r="A21" s="16"/>
      <c r="B21" s="26"/>
      <c r="C21" s="26"/>
      <c r="D21" s="26"/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ht="18.75" customHeight="1">
      <c r="A22" s="16"/>
      <c r="B22" s="33">
        <f>ROW()-1</f>
        <v>21</v>
      </c>
      <c r="C22" s="34" t="s">
        <v>207</v>
      </c>
      <c r="D22" s="33" t="s">
        <v>71</v>
      </c>
      <c r="E22" s="22"/>
      <c r="F22" s="32"/>
      <c r="G22" s="32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ht="18.75" customHeight="1">
      <c r="A23" s="16"/>
      <c r="B23" s="26"/>
      <c r="C23" s="26"/>
      <c r="D23" s="26"/>
      <c r="E23" s="22" t="s">
        <v>208</v>
      </c>
      <c r="F23" s="32"/>
      <c r="G23" s="3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ht="18.75" customHeight="1">
      <c r="A24" s="16"/>
      <c r="B24" s="33">
        <f>ROW()-1</f>
        <v>23</v>
      </c>
      <c r="C24" s="34" t="s">
        <v>209</v>
      </c>
      <c r="D24" s="33" t="s">
        <v>210</v>
      </c>
      <c r="E24" s="22"/>
      <c r="F24" s="3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8.75" customHeight="1">
      <c r="A25" s="16"/>
      <c r="B25" s="26"/>
      <c r="C25" s="26"/>
      <c r="D25" s="26"/>
      <c r="E25" s="22" t="s">
        <v>211</v>
      </c>
      <c r="F25" s="32" t="s">
        <v>212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8.75" customHeight="1">
      <c r="A26" s="16"/>
      <c r="B26" s="33">
        <f>ROW()-1</f>
        <v>25</v>
      </c>
      <c r="C26" s="34" t="s">
        <v>213</v>
      </c>
      <c r="D26" s="33" t="s">
        <v>102</v>
      </c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8.75" customHeight="1">
      <c r="A27" s="16"/>
      <c r="B27" s="26"/>
      <c r="C27" s="26"/>
      <c r="D27" s="26"/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8.75" customHeight="1">
      <c r="A28" s="16"/>
      <c r="B28" s="33">
        <f>ROW()-1</f>
        <v>27</v>
      </c>
      <c r="C28" s="34" t="s">
        <v>214</v>
      </c>
      <c r="D28" s="33" t="s">
        <v>71</v>
      </c>
      <c r="E28" s="22"/>
      <c r="F28" s="32"/>
      <c r="G28" s="32"/>
      <c r="H28" s="3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8.75" customHeight="1">
      <c r="A29" s="16"/>
      <c r="B29" s="26"/>
      <c r="C29" s="26"/>
      <c r="D29" s="26"/>
      <c r="E29" s="22" t="s">
        <v>215</v>
      </c>
      <c r="F29" s="32" t="s">
        <v>216</v>
      </c>
      <c r="G29" s="32" t="s">
        <v>217</v>
      </c>
      <c r="H29" s="32" t="s">
        <v>218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8.75" customHeight="1">
      <c r="A30" s="80"/>
      <c r="B30" s="33">
        <f>ROW()-1</f>
        <v>29</v>
      </c>
      <c r="C30" s="34" t="s">
        <v>219</v>
      </c>
      <c r="D30" s="33" t="s">
        <v>71</v>
      </c>
      <c r="E30" s="3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8.75" customHeight="1">
      <c r="A31" s="80"/>
      <c r="B31" s="26"/>
      <c r="C31" s="26"/>
      <c r="D31" s="26"/>
      <c r="E31" s="32" t="s">
        <v>76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8.75" customHeight="1">
      <c r="A32" s="80"/>
      <c r="B32" s="33">
        <f>ROW()-1</f>
        <v>31</v>
      </c>
      <c r="C32" s="34" t="s">
        <v>222</v>
      </c>
      <c r="D32" s="33" t="s">
        <v>161</v>
      </c>
      <c r="E32" s="32"/>
      <c r="F32" s="32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8.75" customHeight="1">
      <c r="A33" s="80"/>
      <c r="B33" s="26"/>
      <c r="C33" s="26"/>
      <c r="D33" s="26"/>
      <c r="E33" s="32" t="s">
        <v>223</v>
      </c>
      <c r="F33" s="32" t="s">
        <v>224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8.75" customHeight="1">
      <c r="A34" s="80"/>
      <c r="B34" s="33">
        <f>ROW()-1</f>
        <v>33</v>
      </c>
      <c r="C34" s="34" t="s">
        <v>226</v>
      </c>
      <c r="D34" s="33" t="s">
        <v>228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8.75" customHeight="1">
      <c r="A35" s="80"/>
      <c r="B35" s="26"/>
      <c r="C35" s="26"/>
      <c r="D35" s="2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8.75" customHeight="1">
      <c r="A36" s="80"/>
      <c r="B36" s="33">
        <f>ROW()-1</f>
        <v>35</v>
      </c>
      <c r="C36" s="34" t="s">
        <v>229</v>
      </c>
      <c r="D36" s="33" t="s">
        <v>228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8.75" customHeight="1">
      <c r="A37" s="80"/>
      <c r="B37" s="26"/>
      <c r="C37" s="26"/>
      <c r="D37" s="26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8.75" customHeight="1">
      <c r="A38" s="80"/>
      <c r="B38" s="33">
        <f>ROW()-1</f>
        <v>37</v>
      </c>
      <c r="C38" s="34" t="s">
        <v>231</v>
      </c>
      <c r="D38" s="33" t="s">
        <v>228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8.75" customHeight="1">
      <c r="A39" s="80"/>
      <c r="B39" s="26"/>
      <c r="C39" s="26"/>
      <c r="D39" s="26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8.75" customHeight="1">
      <c r="A40" s="80"/>
      <c r="B40" s="33">
        <f>ROW()-1</f>
        <v>39</v>
      </c>
      <c r="C40" s="34" t="s">
        <v>232</v>
      </c>
      <c r="D40" s="33" t="s">
        <v>161</v>
      </c>
      <c r="E40" s="3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8.75" customHeight="1">
      <c r="A41" s="80"/>
      <c r="B41" s="26"/>
      <c r="C41" s="26"/>
      <c r="D41" s="26"/>
      <c r="E41" s="32" t="s">
        <v>233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8.75" customHeight="1">
      <c r="A42" s="80"/>
      <c r="B42" s="18"/>
      <c r="C42" s="34" t="s">
        <v>234</v>
      </c>
      <c r="D42" s="33" t="s">
        <v>228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8.75" customHeight="1">
      <c r="A43" s="80"/>
      <c r="B43" s="26"/>
      <c r="C43" s="26"/>
      <c r="D43" s="26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8.75" customHeight="1">
      <c r="A44" s="80"/>
      <c r="B44" s="33">
        <f>ROW()-1</f>
        <v>43</v>
      </c>
      <c r="C44" s="34" t="s">
        <v>235</v>
      </c>
      <c r="D44" s="33" t="s">
        <v>228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8.75" customHeight="1">
      <c r="A45" s="80"/>
      <c r="B45" s="26"/>
      <c r="C45" s="26"/>
      <c r="D45" s="26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8.75" customHeight="1">
      <c r="A46" s="80"/>
      <c r="B46" s="33">
        <f>ROW()-1</f>
        <v>45</v>
      </c>
      <c r="C46" s="34" t="s">
        <v>236</v>
      </c>
      <c r="D46" s="33" t="s">
        <v>228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8.75" customHeight="1">
      <c r="A47" s="80"/>
      <c r="B47" s="26"/>
      <c r="C47" s="26"/>
      <c r="D47" s="26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8.75" customHeight="1">
      <c r="A48" s="80"/>
      <c r="B48" s="33">
        <f>ROW()-1</f>
        <v>47</v>
      </c>
      <c r="C48" s="34" t="s">
        <v>237</v>
      </c>
      <c r="D48" s="33" t="s">
        <v>161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R48" s="23"/>
      <c r="S48" s="23"/>
    </row>
    <row r="49" ht="18.75" customHeight="1">
      <c r="A49" s="80"/>
      <c r="B49" s="26"/>
      <c r="C49" s="26"/>
      <c r="D49" s="26"/>
      <c r="E49" s="32" t="s">
        <v>238</v>
      </c>
      <c r="F49" s="32" t="s">
        <v>239</v>
      </c>
      <c r="G49" s="32" t="s">
        <v>240</v>
      </c>
      <c r="H49" s="32" t="s">
        <v>241</v>
      </c>
      <c r="I49" s="32" t="s">
        <v>242</v>
      </c>
      <c r="J49" s="32" t="s">
        <v>243</v>
      </c>
      <c r="K49" s="32" t="s">
        <v>244</v>
      </c>
      <c r="L49" s="32" t="s">
        <v>245</v>
      </c>
      <c r="M49" s="32" t="s">
        <v>246</v>
      </c>
      <c r="N49" s="32" t="s">
        <v>247</v>
      </c>
      <c r="O49" s="32" t="s">
        <v>248</v>
      </c>
      <c r="P49" s="32" t="s">
        <v>249</v>
      </c>
      <c r="R49" s="23"/>
      <c r="S49" s="23"/>
    </row>
    <row r="50" ht="18.75" customHeight="1">
      <c r="A50" s="80"/>
      <c r="B50" s="33">
        <f>ROW()-1</f>
        <v>49</v>
      </c>
      <c r="C50" s="34" t="s">
        <v>250</v>
      </c>
      <c r="D50" s="33" t="s">
        <v>71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108"/>
      <c r="R50" s="23"/>
      <c r="S50" s="23"/>
    </row>
    <row r="51" ht="18.75" customHeight="1">
      <c r="A51" s="80"/>
      <c r="B51" s="26"/>
      <c r="C51" s="26"/>
      <c r="D51" s="26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8.75" customHeight="1">
      <c r="A52" s="80"/>
      <c r="B52" s="33">
        <f>ROW()-1</f>
        <v>51</v>
      </c>
      <c r="C52" s="34" t="s">
        <v>251</v>
      </c>
      <c r="D52" s="33" t="s">
        <v>161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8.75" customHeight="1">
      <c r="A53" s="80"/>
      <c r="B53" s="26"/>
      <c r="C53" s="26"/>
      <c r="D53" s="26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8.75" customHeight="1">
      <c r="A54" s="80"/>
      <c r="B54" s="33">
        <f>ROW()-1</f>
        <v>53</v>
      </c>
      <c r="C54" s="34" t="s">
        <v>252</v>
      </c>
      <c r="D54" s="33" t="s">
        <v>102</v>
      </c>
      <c r="E54" s="32"/>
      <c r="F54" s="32"/>
      <c r="G54" s="32"/>
      <c r="H54" s="32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8.75" customHeight="1">
      <c r="A55" s="80"/>
      <c r="B55" s="26"/>
      <c r="C55" s="26"/>
      <c r="D55" s="26"/>
      <c r="E55" s="32" t="s">
        <v>253</v>
      </c>
      <c r="F55" s="32" t="s">
        <v>254</v>
      </c>
      <c r="G55" s="32" t="s">
        <v>255</v>
      </c>
      <c r="H55" s="3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8.75" customHeight="1">
      <c r="A56" s="80"/>
      <c r="B56" s="33">
        <f>ROW()-1</f>
        <v>55</v>
      </c>
      <c r="C56" s="34" t="s">
        <v>256</v>
      </c>
      <c r="D56" s="33" t="s">
        <v>71</v>
      </c>
      <c r="E56" s="3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8.75" customHeight="1">
      <c r="A57" s="80"/>
      <c r="B57" s="26"/>
      <c r="C57" s="26"/>
      <c r="D57" s="26"/>
      <c r="E57" s="32" t="s">
        <v>257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8.75" customHeight="1">
      <c r="A58" s="80"/>
      <c r="B58" s="33">
        <f>ROW()-1</f>
        <v>57</v>
      </c>
      <c r="C58" s="34" t="s">
        <v>258</v>
      </c>
      <c r="D58" s="33" t="s">
        <v>259</v>
      </c>
      <c r="E58" s="3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8.75" customHeight="1">
      <c r="A59" s="80"/>
      <c r="B59" s="26"/>
      <c r="C59" s="26"/>
      <c r="D59" s="26"/>
      <c r="E59" s="32" t="s">
        <v>261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8.75" customHeight="1">
      <c r="A60" s="80"/>
      <c r="B60" s="33">
        <f>ROW()-1</f>
        <v>59</v>
      </c>
      <c r="C60" s="34" t="s">
        <v>262</v>
      </c>
      <c r="D60" s="33" t="s">
        <v>71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8.75" customHeight="1">
      <c r="A61" s="80"/>
      <c r="B61" s="26"/>
      <c r="C61" s="26"/>
      <c r="D61" s="2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8.75" customHeight="1">
      <c r="A62" s="80"/>
      <c r="B62" s="127"/>
      <c r="C62" s="130"/>
      <c r="D62" s="130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</row>
    <row r="63" ht="18.75" customHeight="1">
      <c r="A63" s="80"/>
      <c r="B63" s="127"/>
      <c r="C63" s="130"/>
      <c r="D63" s="130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</row>
    <row r="64" ht="18.75" customHeight="1">
      <c r="A64" s="80"/>
      <c r="B64" s="127"/>
      <c r="C64" s="130"/>
      <c r="D64" s="130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</row>
    <row r="65" ht="18.75" customHeight="1">
      <c r="A65" s="80"/>
      <c r="B65" s="127"/>
      <c r="C65" s="130"/>
      <c r="D65" s="130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</row>
    <row r="66" ht="18.75" customHeight="1">
      <c r="A66" s="80"/>
      <c r="B66" s="127"/>
      <c r="C66" s="130"/>
      <c r="D66" s="130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</row>
    <row r="67" ht="18.75" customHeight="1">
      <c r="A67" s="80"/>
      <c r="B67" s="127"/>
      <c r="C67" s="130"/>
      <c r="D67" s="130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</row>
    <row r="68" ht="18.75" customHeight="1">
      <c r="A68" s="80"/>
      <c r="B68" s="127"/>
      <c r="C68" s="130"/>
      <c r="D68" s="130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</row>
    <row r="69" ht="18.75" customHeight="1">
      <c r="A69" s="80"/>
      <c r="B69" s="127"/>
      <c r="C69" s="130"/>
      <c r="D69" s="130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</row>
    <row r="70" ht="18.75" customHeight="1">
      <c r="A70" s="80"/>
      <c r="B70" s="127"/>
      <c r="C70" s="130"/>
      <c r="D70" s="130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</row>
    <row r="71" ht="18.75" customHeight="1">
      <c r="A71" s="80"/>
      <c r="B71" s="127"/>
      <c r="C71" s="130"/>
      <c r="D71" s="130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</row>
    <row r="72" ht="18.75" customHeight="1">
      <c r="A72" s="80"/>
      <c r="B72" s="127"/>
      <c r="C72" s="130"/>
      <c r="D72" s="130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</row>
    <row r="73" ht="18.75" customHeight="1">
      <c r="A73" s="80"/>
      <c r="B73" s="127"/>
      <c r="C73" s="130"/>
      <c r="D73" s="130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</row>
    <row r="74" ht="18.75" customHeight="1">
      <c r="A74" s="80"/>
      <c r="B74" s="127"/>
      <c r="C74" s="130"/>
      <c r="D74" s="130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</row>
    <row r="75" ht="18.75" customHeight="1">
      <c r="A75" s="80"/>
      <c r="B75" s="127"/>
      <c r="C75" s="130"/>
      <c r="D75" s="130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</row>
    <row r="76" ht="18.75" customHeight="1">
      <c r="A76" s="80"/>
      <c r="B76" s="127"/>
      <c r="C76" s="130"/>
      <c r="D76" s="130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</row>
    <row r="77" ht="18.75" customHeight="1">
      <c r="A77" s="80"/>
      <c r="B77" s="127"/>
      <c r="C77" s="130"/>
      <c r="D77" s="130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</row>
    <row r="78" ht="18.75" customHeight="1">
      <c r="A78" s="80"/>
      <c r="B78" s="127"/>
      <c r="C78" s="130"/>
      <c r="D78" s="130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</row>
    <row r="79" ht="18.75" customHeight="1">
      <c r="A79" s="80"/>
      <c r="B79" s="127"/>
      <c r="C79" s="130"/>
      <c r="D79" s="130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</row>
    <row r="80" ht="18.75" customHeight="1">
      <c r="A80" s="80"/>
      <c r="B80" s="127"/>
      <c r="C80" s="130"/>
      <c r="D80" s="130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</row>
    <row r="81" ht="18.75" customHeight="1">
      <c r="A81" s="80"/>
      <c r="B81" s="127"/>
      <c r="C81" s="130"/>
      <c r="D81" s="130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</row>
    <row r="82" ht="18.75" customHeight="1">
      <c r="A82" s="80"/>
      <c r="B82" s="127"/>
      <c r="C82" s="130"/>
      <c r="D82" s="130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</row>
    <row r="83" ht="18.75" customHeight="1">
      <c r="A83" s="80"/>
      <c r="B83" s="127"/>
      <c r="C83" s="130"/>
      <c r="D83" s="130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</row>
    <row r="84" ht="18.75" customHeight="1">
      <c r="A84" s="80"/>
      <c r="B84" s="127"/>
      <c r="C84" s="130"/>
      <c r="D84" s="130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</row>
    <row r="85" ht="18.75" customHeight="1">
      <c r="A85" s="80"/>
      <c r="B85" s="127"/>
      <c r="C85" s="130"/>
      <c r="D85" s="130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</row>
    <row r="86" ht="18.75" customHeight="1">
      <c r="A86" s="80"/>
      <c r="B86" s="127"/>
      <c r="C86" s="130"/>
      <c r="D86" s="130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</row>
    <row r="87" ht="18.75" customHeight="1">
      <c r="A87" s="80"/>
      <c r="B87" s="127"/>
      <c r="C87" s="130"/>
      <c r="D87" s="130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</row>
    <row r="88" ht="18.75" customHeight="1">
      <c r="A88" s="80"/>
      <c r="B88" s="127"/>
      <c r="C88" s="130"/>
      <c r="D88" s="130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</row>
    <row r="89" ht="18.75" customHeight="1">
      <c r="A89" s="80"/>
      <c r="B89" s="127"/>
      <c r="C89" s="130"/>
      <c r="D89" s="130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</row>
    <row r="90" ht="18.75" customHeight="1">
      <c r="A90" s="80"/>
      <c r="B90" s="127"/>
      <c r="C90" s="130"/>
      <c r="D90" s="130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</row>
    <row r="91" ht="18.75" customHeight="1">
      <c r="A91" s="80"/>
      <c r="B91" s="127"/>
      <c r="C91" s="130"/>
      <c r="D91" s="130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</row>
    <row r="92" ht="18.75" customHeight="1">
      <c r="A92" s="80"/>
      <c r="B92" s="127"/>
      <c r="C92" s="130"/>
      <c r="D92" s="130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</row>
    <row r="93" ht="18.75" customHeight="1">
      <c r="A93" s="80"/>
      <c r="B93" s="127"/>
      <c r="C93" s="130"/>
      <c r="D93" s="130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</row>
    <row r="94" ht="18.75" customHeight="1">
      <c r="A94" s="80"/>
      <c r="B94" s="127"/>
      <c r="C94" s="130"/>
      <c r="D94" s="130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</row>
    <row r="95" ht="18.75" customHeight="1">
      <c r="A95" s="80"/>
      <c r="B95" s="127"/>
      <c r="C95" s="130"/>
      <c r="D95" s="130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</row>
    <row r="96" ht="18.75" customHeight="1">
      <c r="A96" s="170"/>
      <c r="B96" s="127"/>
      <c r="C96" s="130"/>
      <c r="D96" s="130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</row>
    <row r="97" ht="18.75" customHeight="1">
      <c r="A97" s="170"/>
      <c r="B97" s="127"/>
      <c r="C97" s="130"/>
      <c r="D97" s="130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</row>
    <row r="98" ht="18.75" customHeight="1">
      <c r="A98" s="170"/>
      <c r="B98" s="127"/>
      <c r="C98" s="130"/>
      <c r="D98" s="130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</row>
    <row r="99" ht="18.75" customHeight="1">
      <c r="A99" s="170"/>
      <c r="B99" s="127"/>
      <c r="C99" s="130"/>
      <c r="D99" s="130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</row>
    <row r="100" ht="18.75" customHeight="1">
      <c r="A100" s="170"/>
      <c r="B100" s="127"/>
      <c r="C100" s="130"/>
      <c r="D100" s="130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</row>
    <row r="101" ht="18.75" customHeight="1">
      <c r="A101" s="170"/>
      <c r="B101" s="127"/>
      <c r="C101" s="130"/>
      <c r="D101" s="130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</row>
    <row r="102" ht="18.75" customHeight="1">
      <c r="A102" s="170"/>
      <c r="B102" s="127"/>
      <c r="C102" s="130"/>
      <c r="D102" s="130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</row>
    <row r="103" ht="18.75" customHeight="1">
      <c r="A103" s="170"/>
      <c r="B103" s="127"/>
      <c r="C103" s="130"/>
      <c r="D103" s="130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</row>
    <row r="104" ht="18.75" customHeight="1">
      <c r="A104" s="170"/>
      <c r="B104" s="127"/>
      <c r="C104" s="130"/>
      <c r="D104" s="130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</row>
    <row r="105" ht="18.75" customHeight="1">
      <c r="A105" s="170"/>
      <c r="B105" s="127"/>
      <c r="C105" s="130"/>
      <c r="D105" s="130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</row>
    <row r="106" ht="18.75" customHeight="1">
      <c r="A106" s="170"/>
      <c r="B106" s="127"/>
      <c r="C106" s="130"/>
      <c r="D106" s="130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</row>
    <row r="107" ht="18.75" customHeight="1">
      <c r="A107" s="170"/>
      <c r="B107" s="127"/>
      <c r="C107" s="130"/>
      <c r="D107" s="130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</row>
    <row r="108" ht="18.75" customHeight="1">
      <c r="A108" s="170"/>
      <c r="B108" s="127"/>
      <c r="C108" s="130"/>
      <c r="D108" s="130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</row>
    <row r="109" ht="18.75" customHeight="1">
      <c r="A109" s="170"/>
      <c r="B109" s="127"/>
      <c r="C109" s="130"/>
      <c r="D109" s="130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</row>
    <row r="110" ht="18.75" customHeight="1">
      <c r="A110" s="170"/>
      <c r="B110" s="127"/>
      <c r="C110" s="130"/>
      <c r="D110" s="130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</row>
    <row r="111" ht="18.75" customHeight="1">
      <c r="A111" s="170"/>
      <c r="B111" s="127"/>
      <c r="C111" s="130"/>
      <c r="D111" s="130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</row>
    <row r="112" ht="18.75" customHeight="1">
      <c r="A112" s="170"/>
      <c r="B112" s="127"/>
      <c r="C112" s="130"/>
      <c r="D112" s="130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</row>
    <row r="113" ht="18.75" customHeight="1">
      <c r="A113" s="170"/>
      <c r="B113" s="127"/>
      <c r="C113" s="130"/>
      <c r="D113" s="130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</row>
    <row r="114" ht="18.75" customHeight="1">
      <c r="A114" s="170"/>
      <c r="B114" s="127"/>
      <c r="C114" s="130"/>
      <c r="D114" s="130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</row>
    <row r="115" ht="18.75" customHeight="1">
      <c r="A115" s="170"/>
      <c r="B115" s="127"/>
      <c r="C115" s="130"/>
      <c r="D115" s="130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</row>
    <row r="116" ht="18.75" customHeight="1">
      <c r="A116" s="170"/>
      <c r="B116" s="127"/>
      <c r="C116" s="130"/>
      <c r="D116" s="130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</row>
    <row r="117" ht="18.75" customHeight="1">
      <c r="A117" s="170"/>
      <c r="B117" s="127"/>
      <c r="C117" s="130"/>
      <c r="D117" s="130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</row>
    <row r="118" ht="18.75" customHeight="1">
      <c r="A118" s="170"/>
      <c r="B118" s="127"/>
      <c r="C118" s="130"/>
      <c r="D118" s="130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</row>
    <row r="119" ht="18.75" customHeight="1">
      <c r="A119" s="170"/>
      <c r="B119" s="127"/>
      <c r="C119" s="130"/>
      <c r="D119" s="130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</row>
    <row r="120" ht="18.75" customHeight="1">
      <c r="A120" s="170"/>
      <c r="B120" s="127"/>
      <c r="C120" s="130"/>
      <c r="D120" s="130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</row>
    <row r="121" ht="18.75" customHeight="1">
      <c r="A121" s="170"/>
      <c r="B121" s="127"/>
      <c r="C121" s="130"/>
      <c r="D121" s="130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</row>
    <row r="122" ht="18.75" customHeight="1">
      <c r="A122" s="170"/>
      <c r="B122" s="127"/>
      <c r="C122" s="130"/>
      <c r="D122" s="130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</row>
    <row r="123" ht="18.75" customHeight="1">
      <c r="A123" s="170"/>
      <c r="B123" s="127"/>
      <c r="C123" s="130"/>
      <c r="D123" s="130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</row>
    <row r="124" ht="18.75" customHeight="1">
      <c r="A124" s="170"/>
      <c r="B124" s="127"/>
      <c r="C124" s="130"/>
      <c r="D124" s="130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</row>
    <row r="125" ht="18.75" customHeight="1">
      <c r="A125" s="170"/>
      <c r="B125" s="127"/>
      <c r="C125" s="130"/>
      <c r="D125" s="130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</row>
    <row r="126" ht="18.75" customHeight="1">
      <c r="A126" s="170"/>
      <c r="B126" s="127"/>
      <c r="C126" s="130"/>
      <c r="D126" s="130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</row>
    <row r="127" ht="18.75" customHeight="1">
      <c r="A127" s="170"/>
      <c r="B127" s="127"/>
      <c r="C127" s="130"/>
      <c r="D127" s="130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</row>
    <row r="128" ht="18.75" customHeight="1">
      <c r="A128" s="170"/>
      <c r="B128" s="127"/>
      <c r="C128" s="130"/>
      <c r="D128" s="130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</row>
    <row r="129" ht="18.75" customHeight="1">
      <c r="A129" s="170"/>
      <c r="B129" s="127"/>
      <c r="C129" s="130"/>
      <c r="D129" s="130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</row>
    <row r="130" ht="18.75" customHeight="1">
      <c r="A130" s="170"/>
      <c r="B130" s="127"/>
      <c r="C130" s="130"/>
      <c r="D130" s="130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</row>
    <row r="131" ht="18.75" customHeight="1">
      <c r="A131" s="170"/>
      <c r="B131" s="127"/>
      <c r="C131" s="130"/>
      <c r="D131" s="130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</row>
    <row r="132" ht="18.75" customHeight="1">
      <c r="A132" s="170"/>
      <c r="B132" s="127"/>
      <c r="C132" s="130"/>
      <c r="D132" s="130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</row>
    <row r="133" ht="18.75" customHeight="1">
      <c r="A133" s="170"/>
      <c r="B133" s="127"/>
      <c r="C133" s="130"/>
      <c r="D133" s="130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</row>
    <row r="134" ht="18.75" customHeight="1">
      <c r="A134" s="170"/>
      <c r="B134" s="127"/>
      <c r="C134" s="130"/>
      <c r="D134" s="130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</row>
    <row r="135" ht="18.75" customHeight="1">
      <c r="A135" s="170"/>
      <c r="B135" s="127"/>
      <c r="C135" s="130"/>
      <c r="D135" s="130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</row>
    <row r="136" ht="18.75" customHeight="1">
      <c r="A136" s="170"/>
      <c r="B136" s="127"/>
      <c r="C136" s="130"/>
      <c r="D136" s="130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</row>
    <row r="137" ht="18.75" customHeight="1">
      <c r="A137" s="170"/>
      <c r="B137" s="127"/>
      <c r="C137" s="130"/>
      <c r="D137" s="130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</row>
    <row r="138" ht="18.75" customHeight="1">
      <c r="A138" s="170"/>
      <c r="B138" s="127"/>
      <c r="C138" s="130"/>
      <c r="D138" s="130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</row>
    <row r="139" ht="18.75" customHeight="1">
      <c r="A139" s="170"/>
      <c r="B139" s="127"/>
      <c r="C139" s="130"/>
      <c r="D139" s="130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</row>
    <row r="140" ht="18.75" customHeight="1">
      <c r="A140" s="170"/>
      <c r="B140" s="127"/>
      <c r="C140" s="130"/>
      <c r="D140" s="130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</row>
    <row r="141" ht="18.75" customHeight="1">
      <c r="A141" s="170"/>
      <c r="B141" s="127"/>
      <c r="C141" s="130"/>
      <c r="D141" s="130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</row>
    <row r="142" ht="18.75" customHeight="1">
      <c r="A142" s="170"/>
      <c r="B142" s="127"/>
      <c r="C142" s="130"/>
      <c r="D142" s="130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</row>
    <row r="143" ht="18.75" customHeight="1">
      <c r="A143" s="170"/>
      <c r="B143" s="127"/>
      <c r="C143" s="130"/>
      <c r="D143" s="130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</row>
    <row r="144" ht="18.75" customHeight="1">
      <c r="A144" s="170"/>
      <c r="B144" s="127"/>
      <c r="C144" s="130"/>
      <c r="D144" s="130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</row>
    <row r="145" ht="18.75" customHeight="1">
      <c r="A145" s="170"/>
      <c r="B145" s="127"/>
      <c r="C145" s="130"/>
      <c r="D145" s="130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</row>
    <row r="146" ht="18.75" customHeight="1">
      <c r="A146" s="170"/>
      <c r="B146" s="127"/>
      <c r="C146" s="130"/>
      <c r="D146" s="130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</row>
    <row r="147" ht="18.75" customHeight="1">
      <c r="A147" s="170"/>
      <c r="B147" s="127"/>
      <c r="C147" s="130"/>
      <c r="D147" s="130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</row>
    <row r="148" ht="18.75" customHeight="1">
      <c r="A148" s="170"/>
      <c r="B148" s="127"/>
      <c r="C148" s="130"/>
      <c r="D148" s="130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</row>
    <row r="149" ht="18.75" customHeight="1">
      <c r="A149" s="170"/>
      <c r="B149" s="127"/>
      <c r="C149" s="130"/>
      <c r="D149" s="130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</row>
    <row r="150" ht="18.75" customHeight="1">
      <c r="A150" s="170"/>
      <c r="B150" s="127"/>
      <c r="C150" s="130"/>
      <c r="D150" s="130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</row>
    <row r="151" ht="18.75" customHeight="1">
      <c r="A151" s="170"/>
      <c r="B151" s="127"/>
      <c r="C151" s="130"/>
      <c r="D151" s="130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</row>
    <row r="152" ht="18.75" customHeight="1">
      <c r="A152" s="170"/>
      <c r="B152" s="127"/>
      <c r="C152" s="130"/>
      <c r="D152" s="130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</row>
    <row r="153" ht="18.75" customHeight="1">
      <c r="A153" s="170"/>
      <c r="B153" s="127"/>
      <c r="C153" s="130"/>
      <c r="D153" s="130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</row>
    <row r="154" ht="18.75" customHeight="1">
      <c r="A154" s="170"/>
      <c r="B154" s="127"/>
      <c r="C154" s="130"/>
      <c r="D154" s="130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</row>
    <row r="155" ht="18.75" customHeight="1">
      <c r="A155" s="170"/>
      <c r="B155" s="127"/>
      <c r="C155" s="130"/>
      <c r="D155" s="130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</row>
    <row r="156" ht="18.75" customHeight="1">
      <c r="A156" s="170"/>
      <c r="B156" s="127"/>
      <c r="C156" s="130"/>
      <c r="D156" s="130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</row>
    <row r="157" ht="18.75" customHeight="1">
      <c r="A157" s="170"/>
      <c r="B157" s="127"/>
      <c r="C157" s="130"/>
      <c r="D157" s="130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</row>
    <row r="158" ht="18.75" customHeight="1">
      <c r="A158" s="170"/>
      <c r="B158" s="127"/>
      <c r="C158" s="130"/>
      <c r="D158" s="130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</row>
    <row r="159" ht="18.75" customHeight="1">
      <c r="A159" s="170"/>
      <c r="B159" s="127"/>
      <c r="C159" s="130"/>
      <c r="D159" s="130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</row>
    <row r="160" ht="18.75" customHeight="1">
      <c r="A160" s="170"/>
      <c r="B160" s="127"/>
      <c r="C160" s="130"/>
      <c r="D160" s="130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</row>
    <row r="161" ht="18.75" customHeight="1">
      <c r="A161" s="170"/>
      <c r="B161" s="127"/>
      <c r="C161" s="130"/>
      <c r="D161" s="130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</row>
    <row r="162" ht="18.75" customHeight="1">
      <c r="A162" s="170"/>
      <c r="B162" s="127"/>
      <c r="C162" s="130"/>
      <c r="D162" s="130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</row>
    <row r="163" ht="18.75" customHeight="1">
      <c r="A163" s="170"/>
      <c r="B163" s="127"/>
      <c r="C163" s="130"/>
      <c r="D163" s="130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</row>
    <row r="164" ht="18.75" customHeight="1">
      <c r="A164" s="170"/>
      <c r="B164" s="127"/>
      <c r="C164" s="130"/>
      <c r="D164" s="130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</row>
    <row r="165" ht="18.75" customHeight="1">
      <c r="A165" s="170"/>
      <c r="B165" s="127"/>
      <c r="C165" s="130"/>
      <c r="D165" s="130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</row>
    <row r="166" ht="18.75" customHeight="1">
      <c r="A166" s="170"/>
      <c r="B166" s="127"/>
      <c r="C166" s="130"/>
      <c r="D166" s="130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</row>
    <row r="167" ht="18.75" customHeight="1">
      <c r="A167" s="170"/>
      <c r="B167" s="127"/>
      <c r="C167" s="130"/>
      <c r="D167" s="130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</row>
    <row r="168" ht="18.75" customHeight="1">
      <c r="A168" s="170"/>
      <c r="B168" s="127"/>
      <c r="C168" s="130"/>
      <c r="D168" s="130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</row>
    <row r="169" ht="18.75" customHeight="1">
      <c r="A169" s="170"/>
      <c r="B169" s="127"/>
      <c r="C169" s="130"/>
      <c r="D169" s="130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</row>
    <row r="170" ht="18.75" customHeight="1">
      <c r="A170" s="170"/>
      <c r="B170" s="127"/>
      <c r="C170" s="130"/>
      <c r="D170" s="130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</row>
    <row r="171" ht="18.75" customHeight="1">
      <c r="A171" s="170"/>
      <c r="B171" s="127"/>
      <c r="C171" s="130"/>
      <c r="D171" s="130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</row>
    <row r="172" ht="18.75" customHeight="1">
      <c r="A172" s="170"/>
      <c r="B172" s="127"/>
      <c r="C172" s="130"/>
      <c r="D172" s="130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</row>
    <row r="173" ht="18.75" customHeight="1">
      <c r="A173" s="170"/>
      <c r="B173" s="127"/>
      <c r="C173" s="130"/>
      <c r="D173" s="130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</row>
    <row r="174" ht="18.75" customHeight="1">
      <c r="A174" s="170"/>
      <c r="B174" s="127"/>
      <c r="C174" s="130"/>
      <c r="D174" s="130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</row>
    <row r="175" ht="18.75" customHeight="1">
      <c r="A175" s="170"/>
      <c r="B175" s="127"/>
      <c r="C175" s="130"/>
      <c r="D175" s="130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</row>
    <row r="176" ht="18.75" customHeight="1">
      <c r="A176" s="170"/>
      <c r="B176" s="127"/>
      <c r="C176" s="130"/>
      <c r="D176" s="130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</row>
    <row r="177" ht="18.75" customHeight="1">
      <c r="A177" s="170"/>
      <c r="B177" s="127"/>
      <c r="C177" s="130"/>
      <c r="D177" s="130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</row>
    <row r="178" ht="18.75" customHeight="1">
      <c r="A178" s="170"/>
      <c r="B178" s="127"/>
      <c r="C178" s="130"/>
      <c r="D178" s="130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</row>
    <row r="179" ht="18.75" customHeight="1">
      <c r="A179" s="170"/>
      <c r="B179" s="127"/>
      <c r="C179" s="130"/>
      <c r="D179" s="130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</row>
    <row r="180" ht="18.75" customHeight="1">
      <c r="A180" s="170"/>
      <c r="B180" s="127"/>
      <c r="C180" s="130"/>
      <c r="D180" s="130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</row>
    <row r="181" ht="18.75" customHeight="1">
      <c r="A181" s="170"/>
      <c r="B181" s="127"/>
      <c r="C181" s="130"/>
      <c r="D181" s="130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</row>
    <row r="182" ht="18.75" customHeight="1">
      <c r="A182" s="170"/>
      <c r="B182" s="127"/>
      <c r="C182" s="130"/>
      <c r="D182" s="130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</row>
    <row r="183" ht="18.75" customHeight="1">
      <c r="A183" s="170"/>
      <c r="B183" s="127"/>
      <c r="C183" s="130"/>
      <c r="D183" s="130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</row>
    <row r="184" ht="18.75" customHeight="1">
      <c r="A184" s="170"/>
      <c r="B184" s="127"/>
      <c r="C184" s="130"/>
      <c r="D184" s="130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</row>
    <row r="185" ht="18.75" customHeight="1">
      <c r="A185" s="170"/>
      <c r="B185" s="127"/>
      <c r="C185" s="130"/>
      <c r="D185" s="130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</row>
    <row r="186" ht="18.75" customHeight="1">
      <c r="A186" s="170"/>
      <c r="B186" s="127"/>
      <c r="C186" s="130"/>
      <c r="D186" s="130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</row>
    <row r="187" ht="18.75" customHeight="1">
      <c r="A187" s="170"/>
      <c r="B187" s="127"/>
      <c r="C187" s="130"/>
      <c r="D187" s="130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</row>
    <row r="188" ht="18.75" customHeight="1">
      <c r="A188" s="170"/>
      <c r="B188" s="127"/>
      <c r="C188" s="130"/>
      <c r="D188" s="130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</row>
    <row r="189" ht="18.75" customHeight="1">
      <c r="A189" s="170"/>
      <c r="B189" s="127"/>
      <c r="C189" s="130"/>
      <c r="D189" s="130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</row>
    <row r="190" ht="18.75" customHeight="1">
      <c r="A190" s="170"/>
      <c r="B190" s="127"/>
      <c r="C190" s="130"/>
      <c r="D190" s="130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</row>
    <row r="191" ht="18.75" customHeight="1">
      <c r="A191" s="170"/>
      <c r="B191" s="127"/>
      <c r="C191" s="130"/>
      <c r="D191" s="130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</row>
    <row r="192" ht="18.75" customHeight="1">
      <c r="A192" s="170"/>
      <c r="B192" s="127"/>
      <c r="C192" s="130"/>
      <c r="D192" s="130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</row>
    <row r="193" ht="18.75" customHeight="1">
      <c r="A193" s="170"/>
      <c r="B193" s="127"/>
      <c r="C193" s="130"/>
      <c r="D193" s="130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</row>
    <row r="194" ht="18.75" customHeight="1">
      <c r="A194" s="170"/>
      <c r="B194" s="127"/>
      <c r="C194" s="130"/>
      <c r="D194" s="130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</row>
    <row r="195" ht="18.75" customHeight="1">
      <c r="A195" s="170"/>
      <c r="B195" s="127"/>
      <c r="C195" s="130"/>
      <c r="D195" s="130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</row>
    <row r="196" ht="18.75" customHeight="1">
      <c r="A196" s="170"/>
      <c r="B196" s="127"/>
      <c r="C196" s="130"/>
      <c r="D196" s="130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</row>
    <row r="197" ht="18.75" customHeight="1">
      <c r="A197" s="170"/>
      <c r="B197" s="127"/>
      <c r="C197" s="130"/>
      <c r="D197" s="130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</row>
    <row r="198" ht="18.75" customHeight="1">
      <c r="A198" s="170"/>
      <c r="B198" s="127"/>
      <c r="C198" s="130"/>
      <c r="D198" s="130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</row>
    <row r="199" ht="18.75" customHeight="1">
      <c r="A199" s="170"/>
      <c r="B199" s="127"/>
      <c r="C199" s="130"/>
      <c r="D199" s="130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</row>
    <row r="200" ht="18.75" customHeight="1">
      <c r="A200" s="170"/>
      <c r="B200" s="127"/>
      <c r="C200" s="130"/>
      <c r="D200" s="130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</row>
    <row r="201" ht="18.75" customHeight="1">
      <c r="A201" s="170"/>
      <c r="B201" s="127"/>
      <c r="C201" s="130"/>
      <c r="D201" s="130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</row>
    <row r="202" ht="18.75" customHeight="1">
      <c r="A202" s="170"/>
      <c r="B202" s="127"/>
      <c r="C202" s="130"/>
      <c r="D202" s="130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</row>
    <row r="203" ht="18.75" customHeight="1">
      <c r="A203" s="170"/>
      <c r="B203" s="127"/>
      <c r="C203" s="130"/>
      <c r="D203" s="130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</row>
    <row r="204" ht="18.75" customHeight="1">
      <c r="A204" s="170"/>
      <c r="B204" s="127"/>
      <c r="C204" s="130"/>
      <c r="D204" s="130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</row>
    <row r="205" ht="18.75" customHeight="1">
      <c r="A205" s="170"/>
      <c r="B205" s="127"/>
      <c r="C205" s="130"/>
      <c r="D205" s="130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</row>
    <row r="206" ht="18.75" customHeight="1">
      <c r="A206" s="170"/>
      <c r="B206" s="127"/>
      <c r="C206" s="130"/>
      <c r="D206" s="130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</row>
    <row r="207" ht="18.75" customHeight="1">
      <c r="A207" s="170"/>
      <c r="B207" s="127"/>
      <c r="C207" s="130"/>
      <c r="D207" s="130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</row>
    <row r="208" ht="18.75" customHeight="1">
      <c r="A208" s="170"/>
      <c r="B208" s="127"/>
      <c r="C208" s="130"/>
      <c r="D208" s="130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</row>
    <row r="209" ht="18.75" customHeight="1">
      <c r="A209" s="170"/>
      <c r="B209" s="127"/>
      <c r="C209" s="130"/>
      <c r="D209" s="130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</row>
    <row r="210" ht="18.75" customHeight="1">
      <c r="A210" s="170"/>
      <c r="B210" s="127"/>
      <c r="C210" s="130"/>
      <c r="D210" s="130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</row>
    <row r="211" ht="18.75" customHeight="1">
      <c r="A211" s="170"/>
      <c r="B211" s="127"/>
      <c r="C211" s="130"/>
      <c r="D211" s="130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</row>
    <row r="212" ht="18.75" customHeight="1">
      <c r="A212" s="170"/>
      <c r="B212" s="127"/>
      <c r="C212" s="130"/>
      <c r="D212" s="130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</row>
    <row r="213" ht="18.75" customHeight="1">
      <c r="A213" s="170"/>
      <c r="B213" s="127"/>
      <c r="C213" s="130"/>
      <c r="D213" s="130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</row>
    <row r="214" ht="18.75" customHeight="1">
      <c r="A214" s="170"/>
      <c r="B214" s="127"/>
      <c r="C214" s="130"/>
      <c r="D214" s="130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</row>
    <row r="215" ht="18.75" customHeight="1">
      <c r="A215" s="170"/>
      <c r="B215" s="127"/>
      <c r="C215" s="130"/>
      <c r="D215" s="130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</row>
    <row r="216" ht="18.75" customHeight="1">
      <c r="A216" s="170"/>
      <c r="B216" s="127"/>
      <c r="C216" s="130"/>
      <c r="D216" s="130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</row>
    <row r="217" ht="18.75" customHeight="1">
      <c r="A217" s="170"/>
      <c r="B217" s="127"/>
      <c r="C217" s="130"/>
      <c r="D217" s="130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</row>
    <row r="218" ht="18.75" customHeight="1">
      <c r="A218" s="170"/>
      <c r="B218" s="127"/>
      <c r="C218" s="130"/>
      <c r="D218" s="130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</row>
    <row r="219" ht="18.75" customHeight="1">
      <c r="A219" s="170"/>
      <c r="B219" s="127"/>
      <c r="C219" s="130"/>
      <c r="D219" s="130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</row>
    <row r="220" ht="18.75" customHeight="1">
      <c r="A220" s="170"/>
      <c r="B220" s="127"/>
      <c r="C220" s="130"/>
      <c r="D220" s="130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</row>
    <row r="221" ht="18.75" customHeight="1">
      <c r="A221" s="170"/>
      <c r="B221" s="127"/>
      <c r="C221" s="130"/>
      <c r="D221" s="130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</row>
    <row r="222" ht="18.75" customHeight="1">
      <c r="A222" s="170"/>
      <c r="B222" s="127"/>
      <c r="C222" s="130"/>
      <c r="D222" s="130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</row>
    <row r="223" ht="18.75" customHeight="1">
      <c r="A223" s="170"/>
      <c r="B223" s="127"/>
      <c r="C223" s="130"/>
      <c r="D223" s="130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</row>
    <row r="224" ht="18.75" customHeight="1">
      <c r="A224" s="170"/>
      <c r="B224" s="127"/>
      <c r="C224" s="130"/>
      <c r="D224" s="130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</row>
    <row r="225" ht="18.75" customHeight="1">
      <c r="A225" s="170"/>
      <c r="B225" s="127"/>
      <c r="C225" s="130"/>
      <c r="D225" s="130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</row>
    <row r="226" ht="18.75" customHeight="1">
      <c r="A226" s="170"/>
      <c r="B226" s="127"/>
      <c r="C226" s="130"/>
      <c r="D226" s="130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</row>
    <row r="227" ht="18.75" customHeight="1">
      <c r="A227" s="170"/>
      <c r="B227" s="127"/>
      <c r="C227" s="130"/>
      <c r="D227" s="130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</row>
    <row r="228" ht="18.75" customHeight="1">
      <c r="A228" s="170"/>
      <c r="B228" s="127"/>
      <c r="C228" s="130"/>
      <c r="D228" s="130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</row>
    <row r="229" ht="18.75" customHeight="1">
      <c r="A229" s="170"/>
      <c r="B229" s="127"/>
      <c r="C229" s="130"/>
      <c r="D229" s="130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</row>
    <row r="230" ht="18.75" customHeight="1">
      <c r="A230" s="170"/>
      <c r="B230" s="127"/>
      <c r="C230" s="130"/>
      <c r="D230" s="130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</row>
    <row r="231" ht="18.75" customHeight="1">
      <c r="A231" s="170"/>
      <c r="B231" s="127"/>
      <c r="C231" s="130"/>
      <c r="D231" s="130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</row>
    <row r="232" ht="18.75" customHeight="1">
      <c r="A232" s="170"/>
      <c r="B232" s="127"/>
      <c r="C232" s="130"/>
      <c r="D232" s="130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</row>
    <row r="233" ht="18.75" customHeight="1">
      <c r="A233" s="170"/>
      <c r="B233" s="127"/>
      <c r="C233" s="130"/>
      <c r="D233" s="130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</row>
    <row r="234" ht="18.75" customHeight="1">
      <c r="A234" s="170"/>
      <c r="B234" s="127"/>
      <c r="C234" s="130"/>
      <c r="D234" s="130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</row>
    <row r="235" ht="18.75" customHeight="1">
      <c r="A235" s="170"/>
      <c r="B235" s="127"/>
      <c r="C235" s="130"/>
      <c r="D235" s="130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</row>
    <row r="236" ht="18.75" customHeight="1">
      <c r="A236" s="170"/>
      <c r="B236" s="127"/>
      <c r="C236" s="130"/>
      <c r="D236" s="130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</row>
    <row r="237" ht="18.75" customHeight="1">
      <c r="A237" s="170"/>
      <c r="B237" s="127"/>
      <c r="C237" s="130"/>
      <c r="D237" s="130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</row>
    <row r="238" ht="18.75" customHeight="1">
      <c r="A238" s="170"/>
      <c r="B238" s="127"/>
      <c r="C238" s="130"/>
      <c r="D238" s="130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</row>
    <row r="239" ht="18.75" customHeight="1">
      <c r="A239" s="170"/>
      <c r="B239" s="127"/>
      <c r="C239" s="130"/>
      <c r="D239" s="130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</row>
    <row r="240" ht="18.75" customHeight="1">
      <c r="A240" s="170"/>
      <c r="B240" s="127"/>
      <c r="C240" s="130"/>
      <c r="D240" s="130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</row>
    <row r="241" ht="18.75" customHeight="1">
      <c r="A241" s="170"/>
      <c r="B241" s="127"/>
      <c r="C241" s="130"/>
      <c r="D241" s="130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</row>
    <row r="242" ht="18.75" customHeight="1">
      <c r="A242" s="170"/>
      <c r="B242" s="127"/>
      <c r="C242" s="130"/>
      <c r="D242" s="130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</row>
    <row r="243" ht="18.75" customHeight="1">
      <c r="A243" s="170"/>
      <c r="B243" s="127"/>
      <c r="C243" s="130"/>
      <c r="D243" s="130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</row>
    <row r="244" ht="18.75" customHeight="1">
      <c r="A244" s="170"/>
      <c r="B244" s="127"/>
      <c r="C244" s="130"/>
      <c r="D244" s="130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</row>
    <row r="245" ht="18.75" customHeight="1">
      <c r="A245" s="170"/>
      <c r="B245" s="127"/>
      <c r="C245" s="130"/>
      <c r="D245" s="130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</row>
    <row r="246" ht="18.75" customHeight="1">
      <c r="A246" s="170"/>
      <c r="B246" s="127"/>
      <c r="C246" s="130"/>
      <c r="D246" s="130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</row>
    <row r="247" ht="18.75" customHeight="1">
      <c r="A247" s="170"/>
      <c r="B247" s="127"/>
      <c r="C247" s="130"/>
      <c r="D247" s="130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</row>
    <row r="248" ht="18.75" customHeight="1">
      <c r="A248" s="170"/>
      <c r="B248" s="127"/>
      <c r="C248" s="130"/>
      <c r="D248" s="130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</row>
    <row r="249" ht="18.75" customHeight="1">
      <c r="A249" s="170"/>
      <c r="B249" s="127"/>
      <c r="C249" s="130"/>
      <c r="D249" s="130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</row>
    <row r="250" ht="18.75" customHeight="1">
      <c r="A250" s="170"/>
      <c r="B250" s="127"/>
      <c r="C250" s="130"/>
      <c r="D250" s="130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</row>
    <row r="251" ht="18.75" customHeight="1">
      <c r="A251" s="170"/>
      <c r="B251" s="127"/>
      <c r="C251" s="130"/>
      <c r="D251" s="130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</row>
    <row r="252" ht="18.75" customHeight="1">
      <c r="A252" s="170"/>
      <c r="B252" s="127"/>
      <c r="C252" s="130"/>
      <c r="D252" s="130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</row>
    <row r="253" ht="18.75" customHeight="1">
      <c r="A253" s="170"/>
      <c r="B253" s="127"/>
      <c r="C253" s="130"/>
      <c r="D253" s="130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</row>
    <row r="254" ht="18.75" customHeight="1">
      <c r="A254" s="170"/>
      <c r="B254" s="127"/>
      <c r="C254" s="130"/>
      <c r="D254" s="130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</row>
    <row r="255" ht="18.75" customHeight="1">
      <c r="A255" s="170"/>
      <c r="B255" s="127"/>
      <c r="C255" s="130"/>
      <c r="D255" s="130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</row>
    <row r="256" ht="18.75" customHeight="1">
      <c r="A256" s="170"/>
      <c r="B256" s="127"/>
      <c r="C256" s="130"/>
      <c r="D256" s="130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</row>
    <row r="257" ht="18.75" customHeight="1">
      <c r="A257" s="170"/>
      <c r="B257" s="127"/>
      <c r="C257" s="130"/>
      <c r="D257" s="130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</row>
    <row r="258" ht="18.75" customHeight="1">
      <c r="A258" s="170"/>
      <c r="B258" s="127"/>
      <c r="C258" s="130"/>
      <c r="D258" s="130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</row>
    <row r="259" ht="18.75" customHeight="1">
      <c r="A259" s="170"/>
      <c r="B259" s="127"/>
      <c r="C259" s="130"/>
      <c r="D259" s="130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</row>
    <row r="260" ht="18.75" customHeight="1">
      <c r="A260" s="170"/>
      <c r="B260" s="127"/>
      <c r="C260" s="130"/>
      <c r="D260" s="130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</row>
    <row r="261" ht="18.75" customHeight="1">
      <c r="A261" s="170"/>
      <c r="B261" s="127"/>
      <c r="C261" s="130"/>
      <c r="D261" s="130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</row>
    <row r="262" ht="18.75" customHeight="1">
      <c r="A262" s="170"/>
      <c r="B262" s="127"/>
      <c r="C262" s="130"/>
      <c r="D262" s="130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</row>
    <row r="263" ht="18.75" customHeight="1">
      <c r="A263" s="170"/>
      <c r="B263" s="127"/>
      <c r="C263" s="130"/>
      <c r="D263" s="130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</row>
    <row r="264" ht="18.75" customHeight="1">
      <c r="A264" s="170"/>
      <c r="B264" s="127"/>
      <c r="C264" s="130"/>
      <c r="D264" s="130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</row>
    <row r="265" ht="18.75" customHeight="1">
      <c r="A265" s="170"/>
      <c r="B265" s="127"/>
      <c r="C265" s="130"/>
      <c r="D265" s="130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</row>
    <row r="266" ht="18.75" customHeight="1">
      <c r="A266" s="170"/>
      <c r="B266" s="127"/>
      <c r="C266" s="130"/>
      <c r="D266" s="130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</row>
    <row r="267" ht="18.75" customHeight="1">
      <c r="A267" s="170"/>
      <c r="B267" s="127"/>
      <c r="C267" s="130"/>
      <c r="D267" s="130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</row>
    <row r="268" ht="18.75" customHeight="1">
      <c r="A268" s="170"/>
      <c r="B268" s="127"/>
      <c r="C268" s="130"/>
      <c r="D268" s="130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</row>
    <row r="269" ht="18.75" customHeight="1">
      <c r="A269" s="170"/>
      <c r="B269" s="127"/>
      <c r="C269" s="130"/>
      <c r="D269" s="130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</row>
    <row r="270" ht="18.75" customHeight="1">
      <c r="A270" s="170"/>
      <c r="B270" s="127"/>
      <c r="C270" s="130"/>
      <c r="D270" s="130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</row>
    <row r="271" ht="18.75" customHeight="1">
      <c r="A271" s="170"/>
      <c r="B271" s="127"/>
      <c r="C271" s="130"/>
      <c r="D271" s="130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</row>
    <row r="272" ht="18.75" customHeight="1">
      <c r="A272" s="170"/>
      <c r="B272" s="127"/>
      <c r="C272" s="130"/>
      <c r="D272" s="130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</row>
    <row r="273" ht="18.75" customHeight="1">
      <c r="A273" s="170"/>
      <c r="B273" s="127"/>
      <c r="C273" s="130"/>
      <c r="D273" s="130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</row>
    <row r="274" ht="18.75" customHeight="1">
      <c r="A274" s="170"/>
      <c r="B274" s="127"/>
      <c r="C274" s="130"/>
      <c r="D274" s="130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</row>
    <row r="275" ht="18.75" customHeight="1">
      <c r="A275" s="170"/>
      <c r="B275" s="127"/>
      <c r="C275" s="130"/>
      <c r="D275" s="130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</row>
    <row r="276" ht="18.75" customHeight="1">
      <c r="A276" s="170"/>
      <c r="B276" s="127"/>
      <c r="C276" s="130"/>
      <c r="D276" s="130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</row>
    <row r="277" ht="18.75" customHeight="1">
      <c r="A277" s="170"/>
      <c r="B277" s="127"/>
      <c r="C277" s="130"/>
      <c r="D277" s="130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</row>
    <row r="278" ht="18.75" customHeight="1">
      <c r="A278" s="170"/>
      <c r="B278" s="127"/>
      <c r="C278" s="130"/>
      <c r="D278" s="130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</row>
    <row r="279" ht="18.75" customHeight="1">
      <c r="A279" s="170"/>
      <c r="B279" s="127"/>
      <c r="C279" s="130"/>
      <c r="D279" s="130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</row>
    <row r="280" ht="18.75" customHeight="1">
      <c r="A280" s="170"/>
      <c r="B280" s="127"/>
      <c r="C280" s="130"/>
      <c r="D280" s="130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</row>
    <row r="281" ht="18.75" customHeight="1">
      <c r="A281" s="170"/>
      <c r="B281" s="127"/>
      <c r="C281" s="130"/>
      <c r="D281" s="130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</row>
    <row r="282" ht="18.75" customHeight="1">
      <c r="A282" s="170"/>
      <c r="B282" s="127"/>
      <c r="C282" s="130"/>
      <c r="D282" s="130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</row>
    <row r="283" ht="18.75" customHeight="1">
      <c r="A283" s="170"/>
      <c r="B283" s="127"/>
      <c r="C283" s="130"/>
      <c r="D283" s="130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</row>
    <row r="284" ht="18.75" customHeight="1">
      <c r="A284" s="170"/>
      <c r="B284" s="127"/>
      <c r="C284" s="130"/>
      <c r="D284" s="130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</row>
    <row r="285" ht="18.75" customHeight="1">
      <c r="A285" s="170"/>
      <c r="B285" s="127"/>
      <c r="C285" s="130"/>
      <c r="D285" s="130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</row>
    <row r="286" ht="18.75" customHeight="1">
      <c r="A286" s="170"/>
      <c r="B286" s="127"/>
      <c r="C286" s="130"/>
      <c r="D286" s="130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</row>
    <row r="287" ht="18.75" customHeight="1">
      <c r="A287" s="170"/>
      <c r="B287" s="127"/>
      <c r="C287" s="130"/>
      <c r="D287" s="130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</row>
    <row r="288" ht="18.75" customHeight="1">
      <c r="A288" s="170"/>
      <c r="B288" s="127"/>
      <c r="C288" s="130"/>
      <c r="D288" s="130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</row>
    <row r="289" ht="18.75" customHeight="1">
      <c r="A289" s="170"/>
      <c r="B289" s="127"/>
      <c r="C289" s="130"/>
      <c r="D289" s="130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</row>
    <row r="290" ht="18.75" customHeight="1">
      <c r="A290" s="170"/>
      <c r="B290" s="127"/>
      <c r="C290" s="130"/>
      <c r="D290" s="130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</row>
    <row r="291" ht="18.75" customHeight="1">
      <c r="A291" s="170"/>
      <c r="B291" s="127"/>
      <c r="C291" s="130"/>
      <c r="D291" s="130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</row>
    <row r="292" ht="18.75" customHeight="1">
      <c r="A292" s="170"/>
      <c r="B292" s="127"/>
      <c r="C292" s="130"/>
      <c r="D292" s="130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</row>
    <row r="293" ht="18.75" customHeight="1">
      <c r="A293" s="170"/>
      <c r="B293" s="127"/>
      <c r="C293" s="130"/>
      <c r="D293" s="130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</row>
    <row r="294" ht="18.75" customHeight="1">
      <c r="A294" s="170"/>
      <c r="B294" s="127"/>
      <c r="C294" s="130"/>
      <c r="D294" s="130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</row>
    <row r="295" ht="18.75" customHeight="1">
      <c r="A295" s="170"/>
      <c r="B295" s="127"/>
      <c r="C295" s="130"/>
      <c r="D295" s="130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</row>
    <row r="296" ht="18.75" customHeight="1">
      <c r="A296" s="170"/>
      <c r="B296" s="127"/>
      <c r="C296" s="130"/>
      <c r="D296" s="130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</row>
    <row r="297" ht="18.75" customHeight="1">
      <c r="A297" s="170"/>
      <c r="B297" s="127"/>
      <c r="C297" s="130"/>
      <c r="D297" s="130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</row>
    <row r="298" ht="18.75" customHeight="1">
      <c r="A298" s="170"/>
      <c r="B298" s="127"/>
      <c r="C298" s="130"/>
      <c r="D298" s="130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</row>
    <row r="299" ht="18.75" customHeight="1">
      <c r="A299" s="170"/>
      <c r="B299" s="127"/>
      <c r="C299" s="130"/>
      <c r="D299" s="130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</row>
    <row r="300" ht="18.75" customHeight="1">
      <c r="A300" s="170"/>
      <c r="B300" s="127"/>
      <c r="C300" s="130"/>
      <c r="D300" s="130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</row>
    <row r="301" ht="18.75" customHeight="1">
      <c r="A301" s="170"/>
      <c r="B301" s="127"/>
      <c r="C301" s="130"/>
      <c r="D301" s="130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</row>
    <row r="302" ht="18.75" customHeight="1">
      <c r="A302" s="170"/>
      <c r="B302" s="127"/>
      <c r="C302" s="130"/>
      <c r="D302" s="130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</row>
    <row r="303" ht="18.75" customHeight="1">
      <c r="A303" s="170"/>
      <c r="B303" s="127"/>
      <c r="C303" s="130"/>
      <c r="D303" s="130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</row>
    <row r="304" ht="18.75" customHeight="1">
      <c r="A304" s="170"/>
      <c r="B304" s="127"/>
      <c r="C304" s="130"/>
      <c r="D304" s="130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</row>
    <row r="305" ht="18.75" customHeight="1">
      <c r="A305" s="170"/>
      <c r="B305" s="127"/>
      <c r="C305" s="130"/>
      <c r="D305" s="130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</row>
    <row r="306" ht="18.75" customHeight="1">
      <c r="A306" s="170"/>
      <c r="B306" s="127"/>
      <c r="C306" s="130"/>
      <c r="D306" s="130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</row>
    <row r="307" ht="18.75" customHeight="1">
      <c r="A307" s="170"/>
      <c r="B307" s="127"/>
      <c r="C307" s="130"/>
      <c r="D307" s="130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</row>
    <row r="308" ht="18.75" customHeight="1">
      <c r="A308" s="170"/>
      <c r="B308" s="127"/>
      <c r="C308" s="130"/>
      <c r="D308" s="130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</row>
    <row r="309" ht="18.75" customHeight="1">
      <c r="A309" s="170"/>
      <c r="B309" s="127"/>
      <c r="C309" s="130"/>
      <c r="D309" s="130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</row>
    <row r="310" ht="18.75" customHeight="1">
      <c r="A310" s="170"/>
      <c r="B310" s="127"/>
      <c r="C310" s="130"/>
      <c r="D310" s="130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</row>
    <row r="311" ht="18.75" customHeight="1">
      <c r="A311" s="170"/>
      <c r="B311" s="127"/>
      <c r="C311" s="130"/>
      <c r="D311" s="130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</row>
    <row r="312" ht="18.75" customHeight="1">
      <c r="A312" s="170"/>
      <c r="B312" s="127"/>
      <c r="C312" s="130"/>
      <c r="D312" s="130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</row>
    <row r="313" ht="18.75" customHeight="1">
      <c r="A313" s="170"/>
      <c r="B313" s="127"/>
      <c r="C313" s="130"/>
      <c r="D313" s="130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</row>
    <row r="314" ht="18.75" customHeight="1">
      <c r="A314" s="170"/>
      <c r="B314" s="127"/>
      <c r="C314" s="130"/>
      <c r="D314" s="130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</row>
    <row r="315" ht="18.75" customHeight="1">
      <c r="A315" s="170"/>
      <c r="B315" s="127"/>
      <c r="C315" s="130"/>
      <c r="D315" s="130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</row>
    <row r="316" ht="18.75" customHeight="1">
      <c r="A316" s="170"/>
      <c r="B316" s="127"/>
      <c r="C316" s="130"/>
      <c r="D316" s="130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</row>
    <row r="317" ht="18.75" customHeight="1">
      <c r="A317" s="170"/>
      <c r="B317" s="127"/>
      <c r="C317" s="130"/>
      <c r="D317" s="130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</row>
    <row r="318" ht="18.75" customHeight="1">
      <c r="A318" s="170"/>
      <c r="B318" s="127"/>
      <c r="C318" s="130"/>
      <c r="D318" s="130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</row>
    <row r="319" ht="18.75" customHeight="1">
      <c r="A319" s="170"/>
      <c r="B319" s="127"/>
      <c r="C319" s="130"/>
      <c r="D319" s="130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</row>
    <row r="320" ht="18.75" customHeight="1">
      <c r="A320" s="170"/>
      <c r="B320" s="127"/>
      <c r="C320" s="130"/>
      <c r="D320" s="130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</row>
    <row r="321" ht="18.75" customHeight="1">
      <c r="A321" s="170"/>
      <c r="B321" s="127"/>
      <c r="C321" s="130"/>
      <c r="D321" s="130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</row>
    <row r="322" ht="18.75" customHeight="1">
      <c r="A322" s="170"/>
      <c r="B322" s="127"/>
      <c r="C322" s="130"/>
      <c r="D322" s="130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</row>
    <row r="323" ht="18.75" customHeight="1">
      <c r="A323" s="170"/>
      <c r="B323" s="127"/>
      <c r="C323" s="130"/>
      <c r="D323" s="130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</row>
    <row r="324" ht="18.75" customHeight="1">
      <c r="A324" s="170"/>
      <c r="B324" s="127"/>
      <c r="C324" s="130"/>
      <c r="D324" s="130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</row>
    <row r="325" ht="18.75" customHeight="1">
      <c r="A325" s="170"/>
      <c r="B325" s="127"/>
      <c r="C325" s="130"/>
      <c r="D325" s="130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</row>
    <row r="326" ht="18.75" customHeight="1">
      <c r="A326" s="170"/>
      <c r="B326" s="127"/>
      <c r="C326" s="130"/>
      <c r="D326" s="130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</row>
    <row r="327" ht="18.75" customHeight="1">
      <c r="A327" s="170"/>
      <c r="B327" s="127"/>
      <c r="C327" s="130"/>
      <c r="D327" s="130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</row>
    <row r="328" ht="18.75" customHeight="1">
      <c r="A328" s="170"/>
      <c r="B328" s="127"/>
      <c r="C328" s="130"/>
      <c r="D328" s="130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</row>
    <row r="329" ht="18.75" customHeight="1">
      <c r="A329" s="170"/>
      <c r="B329" s="127"/>
      <c r="C329" s="130"/>
      <c r="D329" s="130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</row>
    <row r="330" ht="18.75" customHeight="1">
      <c r="A330" s="170"/>
      <c r="B330" s="127"/>
      <c r="C330" s="130"/>
      <c r="D330" s="130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</row>
    <row r="331" ht="18.75" customHeight="1">
      <c r="A331" s="170"/>
      <c r="B331" s="127"/>
      <c r="C331" s="130"/>
      <c r="D331" s="130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</row>
    <row r="332" ht="18.75" customHeight="1">
      <c r="A332" s="170"/>
      <c r="B332" s="127"/>
      <c r="C332" s="130"/>
      <c r="D332" s="130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</row>
    <row r="333" ht="18.75" customHeight="1">
      <c r="A333" s="170"/>
      <c r="B333" s="127"/>
      <c r="C333" s="130"/>
      <c r="D333" s="130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</row>
    <row r="334" ht="18.75" customHeight="1">
      <c r="A334" s="170"/>
      <c r="B334" s="127"/>
      <c r="C334" s="130"/>
      <c r="D334" s="130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</row>
    <row r="335" ht="18.75" customHeight="1">
      <c r="A335" s="170"/>
      <c r="B335" s="127"/>
      <c r="C335" s="130"/>
      <c r="D335" s="130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</row>
    <row r="336" ht="18.75" customHeight="1">
      <c r="A336" s="170"/>
      <c r="B336" s="127"/>
      <c r="C336" s="130"/>
      <c r="D336" s="130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</row>
    <row r="337" ht="18.75" customHeight="1">
      <c r="A337" s="170"/>
      <c r="B337" s="127"/>
      <c r="C337" s="130"/>
      <c r="D337" s="130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</row>
    <row r="338" ht="18.75" customHeight="1">
      <c r="A338" s="170"/>
      <c r="B338" s="127"/>
      <c r="C338" s="130"/>
      <c r="D338" s="130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</row>
    <row r="339" ht="18.75" customHeight="1">
      <c r="A339" s="170"/>
      <c r="B339" s="127"/>
      <c r="C339" s="130"/>
      <c r="D339" s="130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</row>
    <row r="340" ht="18.75" customHeight="1">
      <c r="A340" s="170"/>
      <c r="B340" s="127"/>
      <c r="C340" s="130"/>
      <c r="D340" s="130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</row>
    <row r="341" ht="18.75" customHeight="1">
      <c r="A341" s="170"/>
      <c r="B341" s="127"/>
      <c r="C341" s="130"/>
      <c r="D341" s="130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</row>
    <row r="342" ht="18.75" customHeight="1">
      <c r="A342" s="170"/>
      <c r="B342" s="127"/>
      <c r="C342" s="130"/>
      <c r="D342" s="130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</row>
    <row r="343" ht="18.75" customHeight="1">
      <c r="A343" s="170"/>
      <c r="B343" s="127"/>
      <c r="C343" s="130"/>
      <c r="D343" s="130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</row>
    <row r="344" ht="18.75" customHeight="1">
      <c r="A344" s="170"/>
      <c r="B344" s="127"/>
      <c r="C344" s="130"/>
      <c r="D344" s="130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</row>
    <row r="345" ht="18.75" customHeight="1">
      <c r="A345" s="170"/>
      <c r="B345" s="127"/>
      <c r="C345" s="130"/>
      <c r="D345" s="130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</row>
    <row r="346" ht="18.75" customHeight="1">
      <c r="A346" s="170"/>
      <c r="B346" s="127"/>
      <c r="C346" s="130"/>
      <c r="D346" s="130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</row>
    <row r="347" ht="18.75" customHeight="1">
      <c r="A347" s="170"/>
      <c r="B347" s="127"/>
      <c r="C347" s="130"/>
      <c r="D347" s="130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</row>
    <row r="348" ht="18.75" customHeight="1">
      <c r="A348" s="170"/>
      <c r="B348" s="127"/>
      <c r="C348" s="130"/>
      <c r="D348" s="130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</row>
    <row r="349" ht="18.75" customHeight="1">
      <c r="A349" s="170"/>
      <c r="B349" s="127"/>
      <c r="C349" s="130"/>
      <c r="D349" s="130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</row>
    <row r="350" ht="18.75" customHeight="1">
      <c r="A350" s="170"/>
      <c r="B350" s="127"/>
      <c r="C350" s="130"/>
      <c r="D350" s="130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</row>
    <row r="351" ht="18.75" customHeight="1">
      <c r="A351" s="170"/>
      <c r="B351" s="127"/>
      <c r="C351" s="130"/>
      <c r="D351" s="130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</row>
    <row r="352" ht="18.75" customHeight="1">
      <c r="A352" s="170"/>
      <c r="B352" s="127"/>
      <c r="C352" s="130"/>
      <c r="D352" s="130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</row>
    <row r="353" ht="18.75" customHeight="1">
      <c r="A353" s="170"/>
      <c r="B353" s="127"/>
      <c r="C353" s="130"/>
      <c r="D353" s="130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</row>
    <row r="354" ht="18.75" customHeight="1">
      <c r="A354" s="170"/>
      <c r="B354" s="127"/>
      <c r="C354" s="130"/>
      <c r="D354" s="130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</row>
    <row r="355" ht="18.75" customHeight="1">
      <c r="A355" s="170"/>
      <c r="B355" s="127"/>
      <c r="C355" s="130"/>
      <c r="D355" s="130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</row>
    <row r="356" ht="18.75" customHeight="1">
      <c r="A356" s="170"/>
      <c r="B356" s="127"/>
      <c r="C356" s="130"/>
      <c r="D356" s="130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</row>
    <row r="357" ht="18.75" customHeight="1">
      <c r="A357" s="170"/>
      <c r="B357" s="127"/>
      <c r="C357" s="130"/>
      <c r="D357" s="130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</row>
    <row r="358" ht="18.75" customHeight="1">
      <c r="A358" s="170"/>
      <c r="B358" s="127"/>
      <c r="C358" s="130"/>
      <c r="D358" s="130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</row>
    <row r="359" ht="18.75" customHeight="1">
      <c r="A359" s="170"/>
      <c r="B359" s="127"/>
      <c r="C359" s="130"/>
      <c r="D359" s="130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</row>
    <row r="360" ht="18.75" customHeight="1">
      <c r="A360" s="170"/>
      <c r="B360" s="127"/>
      <c r="C360" s="130"/>
      <c r="D360" s="130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</row>
    <row r="361" ht="18.75" customHeight="1">
      <c r="A361" s="170"/>
      <c r="B361" s="127"/>
      <c r="C361" s="130"/>
      <c r="D361" s="130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</row>
    <row r="362" ht="18.75" customHeight="1">
      <c r="A362" s="170"/>
      <c r="B362" s="127"/>
      <c r="C362" s="130"/>
      <c r="D362" s="130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</row>
    <row r="363" ht="18.75" customHeight="1">
      <c r="A363" s="170"/>
      <c r="B363" s="127"/>
      <c r="C363" s="130"/>
      <c r="D363" s="130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</row>
    <row r="364" ht="18.75" customHeight="1">
      <c r="A364" s="170"/>
      <c r="B364" s="127"/>
      <c r="C364" s="130"/>
      <c r="D364" s="130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</row>
    <row r="365" ht="18.75" customHeight="1">
      <c r="A365" s="170"/>
      <c r="B365" s="127"/>
      <c r="C365" s="130"/>
      <c r="D365" s="130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</row>
    <row r="366" ht="18.75" customHeight="1">
      <c r="A366" s="170"/>
      <c r="B366" s="127"/>
      <c r="C366" s="130"/>
      <c r="D366" s="130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</row>
    <row r="367" ht="18.75" customHeight="1">
      <c r="A367" s="170"/>
      <c r="B367" s="127"/>
      <c r="C367" s="130"/>
      <c r="D367" s="130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</row>
    <row r="368" ht="18.75" customHeight="1">
      <c r="A368" s="170"/>
      <c r="B368" s="127"/>
      <c r="C368" s="130"/>
      <c r="D368" s="130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</row>
    <row r="369" ht="18.75" customHeight="1">
      <c r="A369" s="170"/>
      <c r="B369" s="127"/>
      <c r="C369" s="130"/>
      <c r="D369" s="130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</row>
    <row r="370" ht="18.75" customHeight="1">
      <c r="A370" s="170"/>
      <c r="B370" s="127"/>
      <c r="C370" s="130"/>
      <c r="D370" s="130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</row>
    <row r="371" ht="18.75" customHeight="1">
      <c r="A371" s="170"/>
      <c r="B371" s="127"/>
      <c r="C371" s="130"/>
      <c r="D371" s="130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</row>
    <row r="372" ht="18.75" customHeight="1">
      <c r="A372" s="170"/>
      <c r="B372" s="127"/>
      <c r="C372" s="130"/>
      <c r="D372" s="130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</row>
    <row r="373" ht="18.75" customHeight="1">
      <c r="A373" s="170"/>
      <c r="B373" s="127"/>
      <c r="C373" s="130"/>
      <c r="D373" s="130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</row>
    <row r="374" ht="18.75" customHeight="1">
      <c r="A374" s="170"/>
      <c r="B374" s="127"/>
      <c r="C374" s="130"/>
      <c r="D374" s="130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</row>
    <row r="375" ht="18.75" customHeight="1">
      <c r="A375" s="170"/>
      <c r="B375" s="127"/>
      <c r="C375" s="130"/>
      <c r="D375" s="130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</row>
    <row r="376" ht="18.75" customHeight="1">
      <c r="A376" s="170"/>
      <c r="B376" s="127"/>
      <c r="C376" s="130"/>
      <c r="D376" s="130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</row>
    <row r="377" ht="18.75" customHeight="1">
      <c r="A377" s="170"/>
      <c r="B377" s="127"/>
      <c r="C377" s="130"/>
      <c r="D377" s="130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</row>
    <row r="378" ht="18.75" customHeight="1">
      <c r="A378" s="170"/>
      <c r="B378" s="127"/>
      <c r="C378" s="130"/>
      <c r="D378" s="130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</row>
    <row r="379" ht="18.75" customHeight="1">
      <c r="A379" s="170"/>
      <c r="B379" s="127"/>
      <c r="C379" s="130"/>
      <c r="D379" s="130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</row>
    <row r="380" ht="18.75" customHeight="1">
      <c r="A380" s="170"/>
      <c r="B380" s="127"/>
      <c r="C380" s="130"/>
      <c r="D380" s="130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</row>
    <row r="381" ht="18.75" customHeight="1">
      <c r="A381" s="170"/>
      <c r="B381" s="127"/>
      <c r="C381" s="130"/>
      <c r="D381" s="130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</row>
    <row r="382" ht="18.75" customHeight="1">
      <c r="A382" s="170"/>
      <c r="B382" s="127"/>
      <c r="C382" s="130"/>
      <c r="D382" s="130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</row>
    <row r="383" ht="18.75" customHeight="1">
      <c r="A383" s="170"/>
      <c r="B383" s="127"/>
      <c r="C383" s="130"/>
      <c r="D383" s="130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</row>
    <row r="384" ht="18.75" customHeight="1">
      <c r="A384" s="170"/>
      <c r="B384" s="127"/>
      <c r="C384" s="130"/>
      <c r="D384" s="130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</row>
    <row r="385" ht="18.75" customHeight="1">
      <c r="A385" s="170"/>
      <c r="B385" s="127"/>
      <c r="C385" s="130"/>
      <c r="D385" s="130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</row>
    <row r="386" ht="18.75" customHeight="1">
      <c r="A386" s="170"/>
      <c r="B386" s="127"/>
      <c r="C386" s="130"/>
      <c r="D386" s="130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</row>
    <row r="387" ht="18.75" customHeight="1">
      <c r="A387" s="170"/>
      <c r="B387" s="127"/>
      <c r="C387" s="130"/>
      <c r="D387" s="130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</row>
    <row r="388" ht="18.75" customHeight="1">
      <c r="A388" s="170"/>
      <c r="B388" s="127"/>
      <c r="C388" s="130"/>
      <c r="D388" s="130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</row>
    <row r="389" ht="18.75" customHeight="1">
      <c r="A389" s="170"/>
      <c r="B389" s="127"/>
      <c r="C389" s="130"/>
      <c r="D389" s="130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</row>
    <row r="390" ht="18.75" customHeight="1">
      <c r="A390" s="170"/>
      <c r="B390" s="127"/>
      <c r="C390" s="130"/>
      <c r="D390" s="130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</row>
    <row r="391" ht="18.75" customHeight="1">
      <c r="A391" s="170"/>
      <c r="B391" s="127"/>
      <c r="C391" s="130"/>
      <c r="D391" s="130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</row>
    <row r="392" ht="18.75" customHeight="1">
      <c r="A392" s="170"/>
      <c r="B392" s="127"/>
      <c r="C392" s="130"/>
      <c r="D392" s="130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</row>
    <row r="393" ht="18.75" customHeight="1">
      <c r="A393" s="170"/>
      <c r="B393" s="127"/>
      <c r="C393" s="130"/>
      <c r="D393" s="130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</row>
    <row r="394" ht="18.75" customHeight="1">
      <c r="A394" s="170"/>
      <c r="B394" s="127"/>
      <c r="C394" s="130"/>
      <c r="D394" s="130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</row>
    <row r="395" ht="18.75" customHeight="1">
      <c r="A395" s="170"/>
      <c r="B395" s="127"/>
      <c r="C395" s="130"/>
      <c r="D395" s="130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</row>
    <row r="396" ht="18.75" customHeight="1">
      <c r="A396" s="170"/>
      <c r="B396" s="127"/>
      <c r="C396" s="130"/>
      <c r="D396" s="130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</row>
    <row r="397" ht="18.75" customHeight="1">
      <c r="A397" s="170"/>
      <c r="B397" s="127"/>
      <c r="C397" s="130"/>
      <c r="D397" s="130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</row>
    <row r="398" ht="18.75" customHeight="1">
      <c r="A398" s="170"/>
      <c r="B398" s="127"/>
      <c r="C398" s="130"/>
      <c r="D398" s="130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</row>
    <row r="399" ht="18.75" customHeight="1">
      <c r="A399" s="170"/>
      <c r="B399" s="127"/>
      <c r="C399" s="130"/>
      <c r="D399" s="130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</row>
    <row r="400" ht="18.75" customHeight="1">
      <c r="A400" s="170"/>
      <c r="B400" s="127"/>
      <c r="C400" s="130"/>
      <c r="D400" s="130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</row>
    <row r="401" ht="18.75" customHeight="1">
      <c r="A401" s="170"/>
      <c r="B401" s="127"/>
      <c r="C401" s="130"/>
      <c r="D401" s="130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</row>
    <row r="402" ht="18.75" customHeight="1">
      <c r="A402" s="170"/>
      <c r="B402" s="127"/>
      <c r="C402" s="130"/>
      <c r="D402" s="130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</row>
    <row r="403" ht="18.75" customHeight="1">
      <c r="A403" s="170"/>
      <c r="B403" s="127"/>
      <c r="C403" s="130"/>
      <c r="D403" s="130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</row>
    <row r="404" ht="18.75" customHeight="1">
      <c r="A404" s="170"/>
      <c r="B404" s="127"/>
      <c r="C404" s="130"/>
      <c r="D404" s="130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</row>
    <row r="405" ht="18.75" customHeight="1">
      <c r="A405" s="170"/>
      <c r="B405" s="127"/>
      <c r="C405" s="130"/>
      <c r="D405" s="130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</row>
    <row r="406" ht="18.75" customHeight="1">
      <c r="A406" s="170"/>
      <c r="B406" s="127"/>
      <c r="C406" s="130"/>
      <c r="D406" s="130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</row>
    <row r="407" ht="18.75" customHeight="1">
      <c r="A407" s="170"/>
      <c r="B407" s="127"/>
      <c r="C407" s="130"/>
      <c r="D407" s="130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</row>
    <row r="408" ht="18.75" customHeight="1">
      <c r="A408" s="170"/>
      <c r="B408" s="127"/>
      <c r="C408" s="130"/>
      <c r="D408" s="130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</row>
    <row r="409" ht="18.75" customHeight="1">
      <c r="A409" s="170"/>
      <c r="B409" s="127"/>
      <c r="C409" s="130"/>
      <c r="D409" s="130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</row>
    <row r="410" ht="18.75" customHeight="1">
      <c r="A410" s="170"/>
      <c r="B410" s="127"/>
      <c r="C410" s="130"/>
      <c r="D410" s="130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</row>
    <row r="411" ht="18.75" customHeight="1">
      <c r="A411" s="170"/>
      <c r="B411" s="127"/>
      <c r="C411" s="130"/>
      <c r="D411" s="130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</row>
    <row r="412" ht="18.75" customHeight="1">
      <c r="A412" s="170"/>
      <c r="B412" s="127"/>
      <c r="C412" s="130"/>
      <c r="D412" s="130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</row>
    <row r="413" ht="18.75" customHeight="1">
      <c r="A413" s="170"/>
      <c r="B413" s="127"/>
      <c r="C413" s="130"/>
      <c r="D413" s="130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</row>
    <row r="414" ht="18.75" customHeight="1">
      <c r="A414" s="170"/>
      <c r="B414" s="127"/>
      <c r="C414" s="130"/>
      <c r="D414" s="130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</row>
    <row r="415" ht="18.75" customHeight="1">
      <c r="A415" s="170"/>
      <c r="B415" s="127"/>
      <c r="C415" s="130"/>
      <c r="D415" s="130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</row>
    <row r="416" ht="18.75" customHeight="1">
      <c r="A416" s="170"/>
      <c r="B416" s="127"/>
      <c r="C416" s="130"/>
      <c r="D416" s="130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</row>
    <row r="417" ht="18.75" customHeight="1">
      <c r="A417" s="170"/>
      <c r="B417" s="127"/>
      <c r="C417" s="130"/>
      <c r="D417" s="130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</row>
    <row r="418" ht="18.75" customHeight="1">
      <c r="A418" s="170"/>
      <c r="B418" s="127"/>
      <c r="C418" s="130"/>
      <c r="D418" s="130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</row>
    <row r="419" ht="18.75" customHeight="1">
      <c r="A419" s="170"/>
      <c r="B419" s="127"/>
      <c r="C419" s="130"/>
      <c r="D419" s="130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</row>
    <row r="420" ht="18.75" customHeight="1">
      <c r="A420" s="170"/>
      <c r="B420" s="127"/>
      <c r="C420" s="130"/>
      <c r="D420" s="130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</row>
    <row r="421" ht="18.75" customHeight="1">
      <c r="A421" s="170"/>
      <c r="B421" s="127"/>
      <c r="C421" s="130"/>
      <c r="D421" s="130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</row>
    <row r="422" ht="18.75" customHeight="1">
      <c r="A422" s="170"/>
      <c r="B422" s="127"/>
      <c r="C422" s="130"/>
      <c r="D422" s="130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</row>
    <row r="423" ht="18.75" customHeight="1">
      <c r="A423" s="170"/>
      <c r="B423" s="127"/>
      <c r="C423" s="130"/>
      <c r="D423" s="130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</row>
    <row r="424" ht="18.75" customHeight="1">
      <c r="A424" s="170"/>
      <c r="B424" s="127"/>
      <c r="C424" s="130"/>
      <c r="D424" s="130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</row>
    <row r="425" ht="18.75" customHeight="1">
      <c r="A425" s="170"/>
      <c r="B425" s="127"/>
      <c r="C425" s="130"/>
      <c r="D425" s="130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</row>
    <row r="426" ht="18.75" customHeight="1">
      <c r="A426" s="170"/>
      <c r="B426" s="127"/>
      <c r="C426" s="130"/>
      <c r="D426" s="130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</row>
    <row r="427" ht="18.75" customHeight="1">
      <c r="A427" s="170"/>
      <c r="B427" s="127"/>
      <c r="C427" s="130"/>
      <c r="D427" s="130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</row>
    <row r="428" ht="18.75" customHeight="1">
      <c r="A428" s="170"/>
      <c r="B428" s="127"/>
      <c r="C428" s="130"/>
      <c r="D428" s="130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</row>
    <row r="429" ht="18.75" customHeight="1">
      <c r="A429" s="170"/>
      <c r="B429" s="127"/>
      <c r="C429" s="130"/>
      <c r="D429" s="130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</row>
    <row r="430" ht="18.75" customHeight="1">
      <c r="A430" s="170"/>
      <c r="B430" s="127"/>
      <c r="C430" s="130"/>
      <c r="D430" s="130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</row>
    <row r="431" ht="18.75" customHeight="1">
      <c r="A431" s="170"/>
      <c r="B431" s="127"/>
      <c r="C431" s="130"/>
      <c r="D431" s="130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</row>
    <row r="432" ht="18.75" customHeight="1">
      <c r="A432" s="170"/>
      <c r="B432" s="127"/>
      <c r="C432" s="130"/>
      <c r="D432" s="130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</row>
    <row r="433" ht="18.75" customHeight="1">
      <c r="A433" s="170"/>
      <c r="B433" s="127"/>
      <c r="C433" s="130"/>
      <c r="D433" s="130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</row>
    <row r="434" ht="18.75" customHeight="1">
      <c r="A434" s="170"/>
      <c r="B434" s="127"/>
      <c r="C434" s="130"/>
      <c r="D434" s="130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</row>
    <row r="435" ht="18.75" customHeight="1">
      <c r="A435" s="170"/>
      <c r="B435" s="127"/>
      <c r="C435" s="130"/>
      <c r="D435" s="130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</row>
    <row r="436" ht="18.75" customHeight="1">
      <c r="A436" s="170"/>
      <c r="B436" s="127"/>
      <c r="C436" s="130"/>
      <c r="D436" s="130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</row>
    <row r="437" ht="18.75" customHeight="1">
      <c r="A437" s="170"/>
      <c r="B437" s="127"/>
      <c r="C437" s="130"/>
      <c r="D437" s="130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</row>
    <row r="438" ht="18.75" customHeight="1">
      <c r="A438" s="170"/>
      <c r="B438" s="127"/>
      <c r="C438" s="130"/>
      <c r="D438" s="130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</row>
    <row r="439" ht="18.75" customHeight="1">
      <c r="A439" s="170"/>
      <c r="B439" s="127"/>
      <c r="C439" s="130"/>
      <c r="D439" s="130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</row>
    <row r="440" ht="18.75" customHeight="1">
      <c r="A440" s="170"/>
      <c r="B440" s="127"/>
      <c r="C440" s="130"/>
      <c r="D440" s="130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</row>
    <row r="441" ht="18.75" customHeight="1">
      <c r="A441" s="170"/>
      <c r="B441" s="127"/>
      <c r="C441" s="130"/>
      <c r="D441" s="130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</row>
    <row r="442" ht="18.75" customHeight="1">
      <c r="A442" s="170"/>
      <c r="B442" s="127"/>
      <c r="C442" s="130"/>
      <c r="D442" s="130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</row>
    <row r="443" ht="18.75" customHeight="1">
      <c r="A443" s="170"/>
      <c r="B443" s="127"/>
      <c r="C443" s="130"/>
      <c r="D443" s="130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</row>
    <row r="444" ht="18.75" customHeight="1">
      <c r="A444" s="170"/>
      <c r="B444" s="127"/>
      <c r="C444" s="130"/>
      <c r="D444" s="130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</row>
    <row r="445" ht="18.75" customHeight="1">
      <c r="A445" s="170"/>
      <c r="B445" s="127"/>
      <c r="C445" s="130"/>
      <c r="D445" s="130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</row>
    <row r="446" ht="18.75" customHeight="1">
      <c r="A446" s="170"/>
      <c r="B446" s="127"/>
      <c r="C446" s="130"/>
      <c r="D446" s="130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</row>
    <row r="447" ht="18.75" customHeight="1">
      <c r="A447" s="170"/>
      <c r="B447" s="127"/>
      <c r="C447" s="130"/>
      <c r="D447" s="130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</row>
    <row r="448" ht="18.75" customHeight="1">
      <c r="A448" s="170"/>
      <c r="B448" s="127"/>
      <c r="C448" s="130"/>
      <c r="D448" s="130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</row>
    <row r="449" ht="18.75" customHeight="1">
      <c r="A449" s="170"/>
      <c r="B449" s="127"/>
      <c r="C449" s="130"/>
      <c r="D449" s="130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</row>
    <row r="450" ht="18.75" customHeight="1">
      <c r="A450" s="170"/>
      <c r="B450" s="127"/>
      <c r="C450" s="130"/>
      <c r="D450" s="130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</row>
    <row r="451" ht="18.75" customHeight="1">
      <c r="A451" s="170"/>
      <c r="B451" s="127"/>
      <c r="C451" s="130"/>
      <c r="D451" s="130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</row>
    <row r="452" ht="18.75" customHeight="1">
      <c r="A452" s="170"/>
      <c r="B452" s="127"/>
      <c r="C452" s="130"/>
      <c r="D452" s="130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</row>
    <row r="453" ht="18.75" customHeight="1">
      <c r="A453" s="170"/>
      <c r="B453" s="127"/>
      <c r="C453" s="130"/>
      <c r="D453" s="130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</row>
    <row r="454" ht="18.75" customHeight="1">
      <c r="A454" s="170"/>
      <c r="B454" s="127"/>
      <c r="C454" s="130"/>
      <c r="D454" s="130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</row>
    <row r="455" ht="18.75" customHeight="1">
      <c r="A455" s="170"/>
      <c r="B455" s="127"/>
      <c r="C455" s="130"/>
      <c r="D455" s="130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</row>
    <row r="456" ht="18.75" customHeight="1">
      <c r="A456" s="170"/>
      <c r="B456" s="127"/>
      <c r="C456" s="130"/>
      <c r="D456" s="130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</row>
    <row r="457" ht="18.75" customHeight="1">
      <c r="A457" s="170"/>
      <c r="B457" s="127"/>
      <c r="C457" s="130"/>
      <c r="D457" s="130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</row>
    <row r="458" ht="18.75" customHeight="1">
      <c r="A458" s="170"/>
      <c r="B458" s="127"/>
      <c r="C458" s="130"/>
      <c r="D458" s="130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</row>
    <row r="459" ht="18.75" customHeight="1">
      <c r="A459" s="170"/>
      <c r="B459" s="127"/>
      <c r="C459" s="130"/>
      <c r="D459" s="130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</row>
    <row r="460" ht="18.75" customHeight="1">
      <c r="A460" s="170"/>
      <c r="B460" s="127"/>
      <c r="C460" s="130"/>
      <c r="D460" s="130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</row>
    <row r="461" ht="18.75" customHeight="1">
      <c r="A461" s="170"/>
      <c r="B461" s="127"/>
      <c r="C461" s="130"/>
      <c r="D461" s="130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</row>
    <row r="462" ht="18.75" customHeight="1">
      <c r="A462" s="170"/>
      <c r="B462" s="127"/>
      <c r="C462" s="130"/>
      <c r="D462" s="130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</row>
    <row r="463" ht="18.75" customHeight="1">
      <c r="A463" s="170"/>
      <c r="B463" s="127"/>
      <c r="C463" s="130"/>
      <c r="D463" s="130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</row>
    <row r="464" ht="18.75" customHeight="1">
      <c r="A464" s="170"/>
      <c r="B464" s="127"/>
      <c r="C464" s="130"/>
      <c r="D464" s="130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</row>
    <row r="465" ht="18.75" customHeight="1">
      <c r="A465" s="170"/>
      <c r="B465" s="127"/>
      <c r="C465" s="130"/>
      <c r="D465" s="130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</row>
    <row r="466" ht="18.75" customHeight="1">
      <c r="A466" s="170"/>
      <c r="B466" s="127"/>
      <c r="C466" s="130"/>
      <c r="D466" s="130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</row>
    <row r="467" ht="18.75" customHeight="1">
      <c r="A467" s="170"/>
      <c r="B467" s="127"/>
      <c r="C467" s="130"/>
      <c r="D467" s="130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</row>
    <row r="468" ht="18.75" customHeight="1">
      <c r="A468" s="170"/>
      <c r="B468" s="127"/>
      <c r="C468" s="130"/>
      <c r="D468" s="130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</row>
    <row r="469" ht="18.75" customHeight="1">
      <c r="A469" s="170"/>
      <c r="B469" s="127"/>
      <c r="C469" s="130"/>
      <c r="D469" s="130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</row>
    <row r="470" ht="18.75" customHeight="1">
      <c r="A470" s="170"/>
      <c r="B470" s="127"/>
      <c r="C470" s="130"/>
      <c r="D470" s="130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</row>
    <row r="471" ht="18.75" customHeight="1">
      <c r="A471" s="170"/>
      <c r="B471" s="127"/>
      <c r="C471" s="130"/>
      <c r="D471" s="130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</row>
    <row r="472" ht="18.75" customHeight="1">
      <c r="A472" s="170"/>
      <c r="B472" s="127"/>
      <c r="C472" s="130"/>
      <c r="D472" s="130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</row>
    <row r="473" ht="18.75" customHeight="1">
      <c r="A473" s="170"/>
      <c r="B473" s="127"/>
      <c r="C473" s="130"/>
      <c r="D473" s="130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</row>
    <row r="474" ht="18.75" customHeight="1">
      <c r="A474" s="170"/>
      <c r="B474" s="127"/>
      <c r="C474" s="130"/>
      <c r="D474" s="130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</row>
    <row r="475" ht="18.75" customHeight="1">
      <c r="A475" s="170"/>
      <c r="B475" s="127"/>
      <c r="C475" s="130"/>
      <c r="D475" s="130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</row>
    <row r="476" ht="18.75" customHeight="1">
      <c r="A476" s="170"/>
      <c r="B476" s="127"/>
      <c r="C476" s="130"/>
      <c r="D476" s="130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</row>
    <row r="477" ht="18.75" customHeight="1">
      <c r="A477" s="170"/>
      <c r="B477" s="127"/>
      <c r="C477" s="130"/>
      <c r="D477" s="130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</row>
    <row r="478" ht="18.75" customHeight="1">
      <c r="A478" s="170"/>
      <c r="B478" s="127"/>
      <c r="C478" s="130"/>
      <c r="D478" s="130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</row>
    <row r="479" ht="18.75" customHeight="1">
      <c r="A479" s="170"/>
      <c r="B479" s="127"/>
      <c r="C479" s="130"/>
      <c r="D479" s="130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</row>
    <row r="480" ht="18.75" customHeight="1">
      <c r="A480" s="170"/>
      <c r="B480" s="127"/>
      <c r="C480" s="130"/>
      <c r="D480" s="130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</row>
    <row r="481" ht="18.75" customHeight="1">
      <c r="A481" s="170"/>
      <c r="B481" s="127"/>
      <c r="C481" s="130"/>
      <c r="D481" s="130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</row>
    <row r="482" ht="18.75" customHeight="1">
      <c r="A482" s="170"/>
      <c r="B482" s="127"/>
      <c r="C482" s="130"/>
      <c r="D482" s="130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</row>
    <row r="483" ht="18.75" customHeight="1">
      <c r="A483" s="170"/>
      <c r="B483" s="127"/>
      <c r="C483" s="130"/>
      <c r="D483" s="130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</row>
    <row r="484" ht="18.75" customHeight="1">
      <c r="A484" s="170"/>
      <c r="B484" s="127"/>
      <c r="C484" s="130"/>
      <c r="D484" s="130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</row>
    <row r="485" ht="18.75" customHeight="1">
      <c r="A485" s="170"/>
      <c r="B485" s="127"/>
      <c r="C485" s="130"/>
      <c r="D485" s="130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</row>
    <row r="486" ht="18.75" customHeight="1">
      <c r="A486" s="170"/>
      <c r="B486" s="127"/>
      <c r="C486" s="130"/>
      <c r="D486" s="130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</row>
    <row r="487" ht="18.75" customHeight="1">
      <c r="A487" s="170"/>
      <c r="B487" s="127"/>
      <c r="C487" s="130"/>
      <c r="D487" s="130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</row>
    <row r="488" ht="18.75" customHeight="1">
      <c r="A488" s="170"/>
      <c r="B488" s="127"/>
      <c r="C488" s="130"/>
      <c r="D488" s="130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</row>
    <row r="489" ht="18.75" customHeight="1">
      <c r="A489" s="170"/>
      <c r="B489" s="127"/>
      <c r="C489" s="130"/>
      <c r="D489" s="130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</row>
    <row r="490" ht="18.75" customHeight="1">
      <c r="A490" s="170"/>
      <c r="B490" s="127"/>
      <c r="C490" s="130"/>
      <c r="D490" s="130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</row>
    <row r="491" ht="18.75" customHeight="1">
      <c r="A491" s="170"/>
      <c r="B491" s="127"/>
      <c r="C491" s="130"/>
      <c r="D491" s="130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</row>
    <row r="492" ht="18.75" customHeight="1">
      <c r="A492" s="170"/>
      <c r="B492" s="127"/>
      <c r="C492" s="130"/>
      <c r="D492" s="130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</row>
    <row r="493" ht="18.75" customHeight="1">
      <c r="A493" s="170"/>
      <c r="B493" s="127"/>
      <c r="C493" s="130"/>
      <c r="D493" s="130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</row>
    <row r="494" ht="18.75" customHeight="1">
      <c r="A494" s="170"/>
      <c r="B494" s="127"/>
      <c r="C494" s="130"/>
      <c r="D494" s="130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</row>
    <row r="495" ht="18.75" customHeight="1">
      <c r="A495" s="170"/>
      <c r="B495" s="127"/>
      <c r="C495" s="130"/>
      <c r="D495" s="130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</row>
    <row r="496" ht="18.75" customHeight="1">
      <c r="A496" s="170"/>
      <c r="B496" s="127"/>
      <c r="C496" s="130"/>
      <c r="D496" s="130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</row>
    <row r="497" ht="18.75" customHeight="1">
      <c r="A497" s="170"/>
      <c r="B497" s="127"/>
      <c r="C497" s="130"/>
      <c r="D497" s="130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</row>
    <row r="498" ht="18.75" customHeight="1">
      <c r="A498" s="170"/>
      <c r="B498" s="127"/>
      <c r="C498" s="130"/>
      <c r="D498" s="130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</row>
    <row r="499" ht="18.75" customHeight="1">
      <c r="A499" s="170"/>
      <c r="B499" s="127"/>
      <c r="C499" s="130"/>
      <c r="D499" s="130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</row>
    <row r="500" ht="18.75" customHeight="1">
      <c r="A500" s="170"/>
      <c r="B500" s="127"/>
      <c r="C500" s="130"/>
      <c r="D500" s="130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</row>
    <row r="501" ht="18.75" customHeight="1">
      <c r="A501" s="170"/>
      <c r="B501" s="127"/>
      <c r="C501" s="130"/>
      <c r="D501" s="130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</row>
    <row r="502" ht="18.75" customHeight="1">
      <c r="A502" s="170"/>
      <c r="B502" s="127"/>
      <c r="C502" s="130"/>
      <c r="D502" s="130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</row>
    <row r="503" ht="18.75" customHeight="1">
      <c r="A503" s="170"/>
      <c r="B503" s="127"/>
      <c r="C503" s="130"/>
      <c r="D503" s="130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</row>
    <row r="504" ht="18.75" customHeight="1">
      <c r="A504" s="170"/>
      <c r="B504" s="127"/>
      <c r="C504" s="130"/>
      <c r="D504" s="130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</row>
    <row r="505" ht="18.75" customHeight="1">
      <c r="A505" s="170"/>
      <c r="B505" s="127"/>
      <c r="C505" s="130"/>
      <c r="D505" s="130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</row>
    <row r="506" ht="18.75" customHeight="1">
      <c r="A506" s="170"/>
      <c r="B506" s="127"/>
      <c r="C506" s="130"/>
      <c r="D506" s="130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</row>
    <row r="507" ht="18.75" customHeight="1">
      <c r="A507" s="170"/>
      <c r="B507" s="127"/>
      <c r="C507" s="130"/>
      <c r="D507" s="130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</row>
    <row r="508" ht="18.75" customHeight="1">
      <c r="A508" s="170"/>
      <c r="B508" s="127"/>
      <c r="C508" s="130"/>
      <c r="D508" s="130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</row>
    <row r="509" ht="18.75" customHeight="1">
      <c r="A509" s="170"/>
      <c r="B509" s="127"/>
      <c r="C509" s="130"/>
      <c r="D509" s="130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</row>
    <row r="510" ht="18.75" customHeight="1">
      <c r="A510" s="170"/>
      <c r="B510" s="127"/>
      <c r="C510" s="130"/>
      <c r="D510" s="130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</row>
    <row r="511" ht="18.75" customHeight="1">
      <c r="A511" s="170"/>
      <c r="B511" s="127"/>
      <c r="C511" s="130"/>
      <c r="D511" s="130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</row>
    <row r="512" ht="18.75" customHeight="1">
      <c r="A512" s="170"/>
      <c r="B512" s="127"/>
      <c r="C512" s="130"/>
      <c r="D512" s="130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</row>
    <row r="513" ht="18.75" customHeight="1">
      <c r="A513" s="170"/>
      <c r="B513" s="127"/>
      <c r="C513" s="130"/>
      <c r="D513" s="130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</row>
    <row r="514" ht="18.75" customHeight="1">
      <c r="A514" s="170"/>
      <c r="B514" s="127"/>
      <c r="C514" s="130"/>
      <c r="D514" s="130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</row>
    <row r="515" ht="18.75" customHeight="1">
      <c r="A515" s="170"/>
      <c r="B515" s="127"/>
      <c r="C515" s="130"/>
      <c r="D515" s="130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</row>
    <row r="516" ht="18.75" customHeight="1">
      <c r="A516" s="170"/>
      <c r="B516" s="127"/>
      <c r="C516" s="130"/>
      <c r="D516" s="130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</row>
    <row r="517" ht="18.75" customHeight="1">
      <c r="A517" s="170"/>
      <c r="B517" s="127"/>
      <c r="C517" s="130"/>
      <c r="D517" s="130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</row>
    <row r="518" ht="18.75" customHeight="1">
      <c r="A518" s="170"/>
      <c r="B518" s="127"/>
      <c r="C518" s="130"/>
      <c r="D518" s="130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</row>
    <row r="519" ht="18.75" customHeight="1">
      <c r="A519" s="170"/>
      <c r="B519" s="127"/>
      <c r="C519" s="130"/>
      <c r="D519" s="130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</row>
    <row r="520" ht="18.75" customHeight="1">
      <c r="A520" s="170"/>
      <c r="B520" s="127"/>
      <c r="C520" s="130"/>
      <c r="D520" s="130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</row>
    <row r="521" ht="18.75" customHeight="1">
      <c r="A521" s="170"/>
      <c r="B521" s="127"/>
      <c r="C521" s="130"/>
      <c r="D521" s="130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</row>
    <row r="522" ht="18.75" customHeight="1">
      <c r="A522" s="170"/>
      <c r="B522" s="127"/>
      <c r="C522" s="130"/>
      <c r="D522" s="130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</row>
    <row r="523" ht="18.75" customHeight="1">
      <c r="A523" s="170"/>
      <c r="B523" s="127"/>
      <c r="C523" s="130"/>
      <c r="D523" s="130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</row>
    <row r="524" ht="18.75" customHeight="1">
      <c r="A524" s="170"/>
      <c r="B524" s="127"/>
      <c r="C524" s="130"/>
      <c r="D524" s="130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</row>
    <row r="525" ht="18.75" customHeight="1">
      <c r="A525" s="170"/>
      <c r="B525" s="127"/>
      <c r="C525" s="130"/>
      <c r="D525" s="130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</row>
    <row r="526" ht="18.75" customHeight="1">
      <c r="A526" s="170"/>
      <c r="B526" s="127"/>
      <c r="C526" s="130"/>
      <c r="D526" s="130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</row>
    <row r="527" ht="18.75" customHeight="1">
      <c r="A527" s="170"/>
      <c r="B527" s="127"/>
      <c r="C527" s="130"/>
      <c r="D527" s="130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</row>
    <row r="528" ht="18.75" customHeight="1">
      <c r="A528" s="170"/>
      <c r="B528" s="127"/>
      <c r="C528" s="130"/>
      <c r="D528" s="130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</row>
    <row r="529" ht="18.75" customHeight="1">
      <c r="A529" s="170"/>
      <c r="B529" s="127"/>
      <c r="C529" s="130"/>
      <c r="D529" s="130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</row>
    <row r="530" ht="18.75" customHeight="1">
      <c r="A530" s="170"/>
      <c r="B530" s="127"/>
      <c r="C530" s="130"/>
      <c r="D530" s="130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</row>
    <row r="531" ht="18.75" customHeight="1">
      <c r="A531" s="170"/>
      <c r="B531" s="127"/>
      <c r="C531" s="130"/>
      <c r="D531" s="130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</row>
    <row r="532" ht="18.75" customHeight="1">
      <c r="A532" s="170"/>
      <c r="B532" s="127"/>
      <c r="C532" s="130"/>
      <c r="D532" s="130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</row>
    <row r="533" ht="18.75" customHeight="1">
      <c r="A533" s="170"/>
      <c r="B533" s="127"/>
      <c r="C533" s="130"/>
      <c r="D533" s="130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</row>
    <row r="534" ht="18.75" customHeight="1">
      <c r="A534" s="170"/>
      <c r="B534" s="127"/>
      <c r="C534" s="130"/>
      <c r="D534" s="130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</row>
    <row r="535" ht="18.75" customHeight="1">
      <c r="A535" s="170"/>
      <c r="B535" s="127"/>
      <c r="C535" s="130"/>
      <c r="D535" s="130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</row>
    <row r="536" ht="18.75" customHeight="1">
      <c r="A536" s="170"/>
      <c r="B536" s="127"/>
      <c r="C536" s="130"/>
      <c r="D536" s="130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</row>
    <row r="537" ht="18.75" customHeight="1">
      <c r="A537" s="170"/>
      <c r="B537" s="127"/>
      <c r="C537" s="130"/>
      <c r="D537" s="130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</row>
    <row r="538" ht="18.75" customHeight="1">
      <c r="A538" s="170"/>
      <c r="B538" s="127"/>
      <c r="C538" s="130"/>
      <c r="D538" s="130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</row>
    <row r="539" ht="18.75" customHeight="1">
      <c r="A539" s="170"/>
      <c r="B539" s="127"/>
      <c r="C539" s="130"/>
      <c r="D539" s="130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</row>
    <row r="540" ht="18.75" customHeight="1">
      <c r="A540" s="170"/>
      <c r="B540" s="127"/>
      <c r="C540" s="130"/>
      <c r="D540" s="130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</row>
    <row r="541" ht="18.75" customHeight="1">
      <c r="A541" s="170"/>
      <c r="B541" s="127"/>
      <c r="C541" s="130"/>
      <c r="D541" s="130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</row>
    <row r="542" ht="18.75" customHeight="1">
      <c r="A542" s="170"/>
      <c r="B542" s="127"/>
      <c r="C542" s="130"/>
      <c r="D542" s="130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</row>
    <row r="543" ht="18.75" customHeight="1">
      <c r="A543" s="170"/>
      <c r="B543" s="127"/>
      <c r="C543" s="130"/>
      <c r="D543" s="130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</row>
    <row r="544" ht="18.75" customHeight="1">
      <c r="A544" s="170"/>
      <c r="B544" s="127"/>
      <c r="C544" s="130"/>
      <c r="D544" s="130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</row>
    <row r="545" ht="18.75" customHeight="1">
      <c r="A545" s="170"/>
      <c r="B545" s="127"/>
      <c r="C545" s="130"/>
      <c r="D545" s="130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</row>
    <row r="546" ht="18.75" customHeight="1">
      <c r="A546" s="170"/>
      <c r="B546" s="127"/>
      <c r="C546" s="130"/>
      <c r="D546" s="130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</row>
    <row r="547" ht="18.75" customHeight="1">
      <c r="A547" s="170"/>
      <c r="B547" s="127"/>
      <c r="C547" s="130"/>
      <c r="D547" s="130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</row>
    <row r="548" ht="18.75" customHeight="1">
      <c r="A548" s="170"/>
      <c r="B548" s="127"/>
      <c r="C548" s="130"/>
      <c r="D548" s="130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</row>
    <row r="549" ht="18.75" customHeight="1">
      <c r="A549" s="170"/>
      <c r="B549" s="127"/>
      <c r="C549" s="130"/>
      <c r="D549" s="130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</row>
    <row r="550" ht="18.75" customHeight="1">
      <c r="A550" s="170"/>
      <c r="B550" s="127"/>
      <c r="C550" s="130"/>
      <c r="D550" s="130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</row>
    <row r="551" ht="18.75" customHeight="1">
      <c r="A551" s="170"/>
      <c r="B551" s="127"/>
      <c r="C551" s="130"/>
      <c r="D551" s="130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</row>
    <row r="552" ht="18.75" customHeight="1">
      <c r="A552" s="170"/>
      <c r="B552" s="127"/>
      <c r="C552" s="130"/>
      <c r="D552" s="130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</row>
    <row r="553" ht="18.75" customHeight="1">
      <c r="A553" s="170"/>
      <c r="B553" s="127"/>
      <c r="C553" s="130"/>
      <c r="D553" s="130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</row>
    <row r="554" ht="18.75" customHeight="1">
      <c r="A554" s="170"/>
      <c r="B554" s="127"/>
      <c r="C554" s="130"/>
      <c r="D554" s="130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</row>
    <row r="555" ht="18.75" customHeight="1">
      <c r="A555" s="170"/>
      <c r="B555" s="127"/>
      <c r="C555" s="130"/>
      <c r="D555" s="130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</row>
    <row r="556" ht="18.75" customHeight="1">
      <c r="A556" s="170"/>
      <c r="B556" s="127"/>
      <c r="C556" s="130"/>
      <c r="D556" s="130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</row>
    <row r="557" ht="18.75" customHeight="1">
      <c r="A557" s="170"/>
      <c r="B557" s="127"/>
      <c r="C557" s="130"/>
      <c r="D557" s="130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</row>
    <row r="558" ht="18.75" customHeight="1">
      <c r="A558" s="170"/>
      <c r="B558" s="127"/>
      <c r="C558" s="130"/>
      <c r="D558" s="130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</row>
    <row r="559" ht="18.75" customHeight="1">
      <c r="A559" s="170"/>
      <c r="B559" s="127"/>
      <c r="C559" s="130"/>
      <c r="D559" s="130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</row>
    <row r="560" ht="18.75" customHeight="1">
      <c r="A560" s="170"/>
      <c r="B560" s="127"/>
      <c r="C560" s="130"/>
      <c r="D560" s="130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</row>
    <row r="561" ht="18.75" customHeight="1">
      <c r="A561" s="170"/>
      <c r="B561" s="127"/>
      <c r="C561" s="130"/>
      <c r="D561" s="130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</row>
    <row r="562" ht="18.75" customHeight="1">
      <c r="A562" s="170"/>
      <c r="B562" s="127"/>
      <c r="C562" s="130"/>
      <c r="D562" s="130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</row>
    <row r="563" ht="18.75" customHeight="1">
      <c r="A563" s="170"/>
      <c r="B563" s="127"/>
      <c r="C563" s="130"/>
      <c r="D563" s="130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</row>
    <row r="564" ht="18.75" customHeight="1">
      <c r="A564" s="170"/>
      <c r="B564" s="127"/>
      <c r="C564" s="130"/>
      <c r="D564" s="130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</row>
    <row r="565" ht="18.75" customHeight="1">
      <c r="A565" s="170"/>
      <c r="B565" s="127"/>
      <c r="C565" s="130"/>
      <c r="D565" s="130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</row>
    <row r="566" ht="18.75" customHeight="1">
      <c r="A566" s="170"/>
      <c r="B566" s="127"/>
      <c r="C566" s="130"/>
      <c r="D566" s="130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</row>
    <row r="567" ht="18.75" customHeight="1">
      <c r="A567" s="170"/>
      <c r="B567" s="127"/>
      <c r="C567" s="130"/>
      <c r="D567" s="130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</row>
    <row r="568" ht="18.75" customHeight="1">
      <c r="A568" s="170"/>
      <c r="B568" s="127"/>
      <c r="C568" s="130"/>
      <c r="D568" s="130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</row>
    <row r="569" ht="18.75" customHeight="1">
      <c r="A569" s="170"/>
      <c r="B569" s="127"/>
      <c r="C569" s="130"/>
      <c r="D569" s="130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</row>
    <row r="570" ht="18.75" customHeight="1">
      <c r="A570" s="170"/>
      <c r="B570" s="127"/>
      <c r="C570" s="130"/>
      <c r="D570" s="130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</row>
    <row r="571" ht="18.75" customHeight="1">
      <c r="A571" s="170"/>
      <c r="B571" s="127"/>
      <c r="C571" s="130"/>
      <c r="D571" s="130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</row>
    <row r="572" ht="18.75" customHeight="1">
      <c r="A572" s="170"/>
      <c r="B572" s="127"/>
      <c r="C572" s="130"/>
      <c r="D572" s="130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</row>
    <row r="573" ht="18.75" customHeight="1">
      <c r="A573" s="170"/>
      <c r="B573" s="127"/>
      <c r="C573" s="130"/>
      <c r="D573" s="130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</row>
    <row r="574" ht="18.75" customHeight="1">
      <c r="A574" s="170"/>
      <c r="B574" s="127"/>
      <c r="C574" s="130"/>
      <c r="D574" s="130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</row>
    <row r="575" ht="18.75" customHeight="1">
      <c r="A575" s="170"/>
      <c r="B575" s="127"/>
      <c r="C575" s="130"/>
      <c r="D575" s="130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</row>
    <row r="576" ht="18.75" customHeight="1">
      <c r="A576" s="170"/>
      <c r="B576" s="127"/>
      <c r="C576" s="130"/>
      <c r="D576" s="130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</row>
    <row r="577" ht="18.75" customHeight="1">
      <c r="A577" s="170"/>
      <c r="B577" s="127"/>
      <c r="C577" s="130"/>
      <c r="D577" s="130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</row>
    <row r="578" ht="18.75" customHeight="1">
      <c r="A578" s="170"/>
      <c r="B578" s="127"/>
      <c r="C578" s="130"/>
      <c r="D578" s="130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</row>
    <row r="579" ht="18.75" customHeight="1">
      <c r="A579" s="170"/>
      <c r="B579" s="127"/>
      <c r="C579" s="130"/>
      <c r="D579" s="130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</row>
    <row r="580" ht="18.75" customHeight="1">
      <c r="A580" s="170"/>
      <c r="B580" s="127"/>
      <c r="C580" s="130"/>
      <c r="D580" s="130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</row>
    <row r="581" ht="18.75" customHeight="1">
      <c r="A581" s="170"/>
      <c r="B581" s="127"/>
      <c r="C581" s="130"/>
      <c r="D581" s="130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</row>
    <row r="582" ht="18.75" customHeight="1">
      <c r="A582" s="170"/>
      <c r="B582" s="127"/>
      <c r="C582" s="130"/>
      <c r="D582" s="130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</row>
    <row r="583" ht="18.75" customHeight="1">
      <c r="A583" s="170"/>
      <c r="B583" s="127"/>
      <c r="C583" s="130"/>
      <c r="D583" s="130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</row>
    <row r="584" ht="18.75" customHeight="1">
      <c r="A584" s="170"/>
      <c r="B584" s="127"/>
      <c r="C584" s="130"/>
      <c r="D584" s="130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</row>
    <row r="585" ht="18.75" customHeight="1">
      <c r="A585" s="170"/>
      <c r="B585" s="127"/>
      <c r="C585" s="130"/>
      <c r="D585" s="130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</row>
    <row r="586" ht="18.75" customHeight="1">
      <c r="A586" s="170"/>
      <c r="B586" s="127"/>
      <c r="C586" s="130"/>
      <c r="D586" s="130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</row>
    <row r="587" ht="18.75" customHeight="1">
      <c r="A587" s="170"/>
      <c r="B587" s="127"/>
      <c r="C587" s="130"/>
      <c r="D587" s="130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</row>
    <row r="588" ht="18.75" customHeight="1">
      <c r="A588" s="170"/>
      <c r="B588" s="127"/>
      <c r="C588" s="130"/>
      <c r="D588" s="130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</row>
    <row r="589" ht="18.75" customHeight="1">
      <c r="A589" s="170"/>
      <c r="B589" s="127"/>
      <c r="C589" s="130"/>
      <c r="D589" s="130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</row>
    <row r="590" ht="18.75" customHeight="1">
      <c r="A590" s="170"/>
      <c r="B590" s="127"/>
      <c r="C590" s="130"/>
      <c r="D590" s="130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</row>
    <row r="591" ht="18.75" customHeight="1">
      <c r="A591" s="170"/>
      <c r="B591" s="127"/>
      <c r="C591" s="130"/>
      <c r="D591" s="130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</row>
    <row r="592" ht="18.75" customHeight="1">
      <c r="A592" s="170"/>
      <c r="B592" s="127"/>
      <c r="C592" s="130"/>
      <c r="D592" s="130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</row>
    <row r="593" ht="18.75" customHeight="1">
      <c r="A593" s="170"/>
      <c r="B593" s="127"/>
      <c r="C593" s="130"/>
      <c r="D593" s="130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</row>
    <row r="594" ht="18.75" customHeight="1">
      <c r="A594" s="170"/>
      <c r="B594" s="127"/>
      <c r="C594" s="130"/>
      <c r="D594" s="130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</row>
    <row r="595" ht="18.75" customHeight="1">
      <c r="A595" s="170"/>
      <c r="B595" s="127"/>
      <c r="C595" s="130"/>
      <c r="D595" s="130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</row>
    <row r="596" ht="18.75" customHeight="1">
      <c r="A596" s="170"/>
      <c r="B596" s="127"/>
      <c r="C596" s="130"/>
      <c r="D596" s="130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</row>
    <row r="597" ht="18.75" customHeight="1">
      <c r="A597" s="170"/>
      <c r="B597" s="127"/>
      <c r="C597" s="130"/>
      <c r="D597" s="130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</row>
    <row r="598" ht="18.75" customHeight="1">
      <c r="A598" s="170"/>
      <c r="B598" s="127"/>
      <c r="C598" s="130"/>
      <c r="D598" s="130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</row>
    <row r="599" ht="18.75" customHeight="1">
      <c r="A599" s="170"/>
      <c r="B599" s="127"/>
      <c r="C599" s="130"/>
      <c r="D599" s="130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</row>
    <row r="600" ht="18.75" customHeight="1">
      <c r="A600" s="170"/>
      <c r="B600" s="127"/>
      <c r="C600" s="130"/>
      <c r="D600" s="130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</row>
    <row r="601" ht="18.75" customHeight="1">
      <c r="A601" s="170"/>
      <c r="B601" s="127"/>
      <c r="C601" s="130"/>
      <c r="D601" s="130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</row>
    <row r="602" ht="18.75" customHeight="1">
      <c r="A602" s="170"/>
      <c r="B602" s="127"/>
      <c r="C602" s="130"/>
      <c r="D602" s="130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</row>
    <row r="603" ht="18.75" customHeight="1">
      <c r="A603" s="170"/>
      <c r="B603" s="127"/>
      <c r="C603" s="130"/>
      <c r="D603" s="130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</row>
    <row r="604" ht="18.75" customHeight="1">
      <c r="A604" s="170"/>
      <c r="B604" s="127"/>
      <c r="C604" s="130"/>
      <c r="D604" s="130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</row>
    <row r="605" ht="18.75" customHeight="1">
      <c r="A605" s="170"/>
      <c r="B605" s="127"/>
      <c r="C605" s="130"/>
      <c r="D605" s="130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</row>
    <row r="606" ht="18.75" customHeight="1">
      <c r="A606" s="170"/>
      <c r="B606" s="127"/>
      <c r="C606" s="130"/>
      <c r="D606" s="130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</row>
    <row r="607" ht="18.75" customHeight="1">
      <c r="A607" s="170"/>
      <c r="B607" s="127"/>
      <c r="C607" s="130"/>
      <c r="D607" s="130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</row>
    <row r="608" ht="18.75" customHeight="1">
      <c r="A608" s="170"/>
      <c r="B608" s="127"/>
      <c r="C608" s="130"/>
      <c r="D608" s="130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</row>
    <row r="609" ht="18.75" customHeight="1">
      <c r="A609" s="170"/>
      <c r="B609" s="127"/>
      <c r="C609" s="130"/>
      <c r="D609" s="130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</row>
    <row r="610" ht="18.75" customHeight="1">
      <c r="A610" s="170"/>
      <c r="B610" s="127"/>
      <c r="C610" s="130"/>
      <c r="D610" s="130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</row>
    <row r="611" ht="18.75" customHeight="1">
      <c r="A611" s="170"/>
      <c r="B611" s="127"/>
      <c r="C611" s="130"/>
      <c r="D611" s="130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</row>
    <row r="612" ht="18.75" customHeight="1">
      <c r="A612" s="170"/>
      <c r="B612" s="127"/>
      <c r="C612" s="130"/>
      <c r="D612" s="130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</row>
    <row r="613" ht="18.75" customHeight="1">
      <c r="A613" s="170"/>
      <c r="B613" s="127"/>
      <c r="C613" s="130"/>
      <c r="D613" s="130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</row>
    <row r="614" ht="18.75" customHeight="1">
      <c r="A614" s="170"/>
      <c r="B614" s="127"/>
      <c r="C614" s="130"/>
      <c r="D614" s="130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</row>
    <row r="615" ht="18.75" customHeight="1">
      <c r="A615" s="170"/>
      <c r="B615" s="127"/>
      <c r="C615" s="130"/>
      <c r="D615" s="130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</row>
    <row r="616" ht="18.75" customHeight="1">
      <c r="A616" s="170"/>
      <c r="B616" s="127"/>
      <c r="C616" s="130"/>
      <c r="D616" s="130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</row>
    <row r="617" ht="18.75" customHeight="1">
      <c r="A617" s="170"/>
      <c r="B617" s="127"/>
      <c r="C617" s="130"/>
      <c r="D617" s="130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</row>
    <row r="618" ht="18.75" customHeight="1">
      <c r="A618" s="170"/>
      <c r="B618" s="127"/>
      <c r="C618" s="130"/>
      <c r="D618" s="130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</row>
    <row r="619" ht="18.75" customHeight="1">
      <c r="A619" s="170"/>
      <c r="B619" s="127"/>
      <c r="C619" s="130"/>
      <c r="D619" s="130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</row>
    <row r="620" ht="18.75" customHeight="1">
      <c r="A620" s="170"/>
      <c r="B620" s="127"/>
      <c r="C620" s="130"/>
      <c r="D620" s="130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</row>
    <row r="621" ht="18.75" customHeight="1">
      <c r="A621" s="170"/>
      <c r="B621" s="127"/>
      <c r="C621" s="130"/>
      <c r="D621" s="130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</row>
    <row r="622" ht="18.75" customHeight="1">
      <c r="A622" s="170"/>
      <c r="B622" s="127"/>
      <c r="C622" s="130"/>
      <c r="D622" s="130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</row>
    <row r="623" ht="18.75" customHeight="1">
      <c r="A623" s="170"/>
      <c r="B623" s="127"/>
      <c r="C623" s="130"/>
      <c r="D623" s="130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</row>
    <row r="624" ht="18.75" customHeight="1">
      <c r="A624" s="170"/>
      <c r="B624" s="127"/>
      <c r="C624" s="130"/>
      <c r="D624" s="130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</row>
    <row r="625" ht="18.75" customHeight="1">
      <c r="A625" s="170"/>
      <c r="B625" s="127"/>
      <c r="C625" s="130"/>
      <c r="D625" s="130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</row>
    <row r="626" ht="18.75" customHeight="1">
      <c r="A626" s="170"/>
      <c r="B626" s="127"/>
      <c r="C626" s="130"/>
      <c r="D626" s="130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</row>
    <row r="627" ht="18.75" customHeight="1">
      <c r="A627" s="170"/>
      <c r="B627" s="127"/>
      <c r="C627" s="130"/>
      <c r="D627" s="130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</row>
    <row r="628" ht="18.75" customHeight="1">
      <c r="A628" s="170"/>
      <c r="B628" s="127"/>
      <c r="C628" s="130"/>
      <c r="D628" s="130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</row>
    <row r="629" ht="18.75" customHeight="1">
      <c r="A629" s="170"/>
      <c r="B629" s="127"/>
      <c r="C629" s="130"/>
      <c r="D629" s="130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</row>
    <row r="630" ht="18.75" customHeight="1">
      <c r="A630" s="170"/>
      <c r="B630" s="127"/>
      <c r="C630" s="130"/>
      <c r="D630" s="130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</row>
    <row r="631" ht="18.75" customHeight="1">
      <c r="A631" s="170"/>
      <c r="B631" s="127"/>
      <c r="C631" s="130"/>
      <c r="D631" s="130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</row>
    <row r="632" ht="18.75" customHeight="1">
      <c r="A632" s="170"/>
      <c r="B632" s="127"/>
      <c r="C632" s="130"/>
      <c r="D632" s="130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</row>
    <row r="633" ht="18.75" customHeight="1">
      <c r="A633" s="170"/>
      <c r="B633" s="127"/>
      <c r="C633" s="130"/>
      <c r="D633" s="130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</row>
    <row r="634" ht="18.75" customHeight="1">
      <c r="A634" s="170"/>
      <c r="B634" s="127"/>
      <c r="C634" s="130"/>
      <c r="D634" s="130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</row>
    <row r="635" ht="18.75" customHeight="1">
      <c r="A635" s="170"/>
      <c r="B635" s="127"/>
      <c r="C635" s="130"/>
      <c r="D635" s="130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</row>
    <row r="636" ht="18.75" customHeight="1">
      <c r="A636" s="170"/>
      <c r="B636" s="127"/>
      <c r="C636" s="130"/>
      <c r="D636" s="130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</row>
    <row r="637" ht="18.75" customHeight="1">
      <c r="A637" s="170"/>
      <c r="B637" s="127"/>
      <c r="C637" s="130"/>
      <c r="D637" s="130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</row>
    <row r="638" ht="18.75" customHeight="1">
      <c r="A638" s="170"/>
      <c r="B638" s="127"/>
      <c r="C638" s="130"/>
      <c r="D638" s="130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</row>
    <row r="639" ht="18.75" customHeight="1">
      <c r="A639" s="170"/>
      <c r="B639" s="127"/>
      <c r="C639" s="130"/>
      <c r="D639" s="130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</row>
    <row r="640" ht="18.75" customHeight="1">
      <c r="A640" s="170"/>
      <c r="B640" s="127"/>
      <c r="C640" s="130"/>
      <c r="D640" s="130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</row>
    <row r="641" ht="18.75" customHeight="1">
      <c r="A641" s="170"/>
      <c r="B641" s="127"/>
      <c r="C641" s="130"/>
      <c r="D641" s="130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</row>
    <row r="642" ht="18.75" customHeight="1">
      <c r="A642" s="170"/>
      <c r="B642" s="127"/>
      <c r="C642" s="130"/>
      <c r="D642" s="130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</row>
    <row r="643" ht="18.75" customHeight="1">
      <c r="A643" s="170"/>
      <c r="B643" s="127"/>
      <c r="C643" s="130"/>
      <c r="D643" s="130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</row>
    <row r="644" ht="18.75" customHeight="1">
      <c r="A644" s="170"/>
      <c r="B644" s="127"/>
      <c r="C644" s="130"/>
      <c r="D644" s="130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</row>
    <row r="645" ht="18.75" customHeight="1">
      <c r="A645" s="170"/>
      <c r="B645" s="127"/>
      <c r="C645" s="130"/>
      <c r="D645" s="130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</row>
    <row r="646" ht="18.75" customHeight="1">
      <c r="A646" s="170"/>
      <c r="B646" s="127"/>
      <c r="C646" s="130"/>
      <c r="D646" s="130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</row>
    <row r="647" ht="18.75" customHeight="1">
      <c r="A647" s="170"/>
      <c r="B647" s="127"/>
      <c r="C647" s="130"/>
      <c r="D647" s="130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</row>
    <row r="648" ht="18.75" customHeight="1">
      <c r="A648" s="170"/>
      <c r="B648" s="127"/>
      <c r="C648" s="130"/>
      <c r="D648" s="130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</row>
    <row r="649" ht="18.75" customHeight="1">
      <c r="A649" s="170"/>
      <c r="B649" s="127"/>
      <c r="C649" s="130"/>
      <c r="D649" s="130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</row>
    <row r="650" ht="18.75" customHeight="1">
      <c r="A650" s="170"/>
      <c r="B650" s="127"/>
      <c r="C650" s="130"/>
      <c r="D650" s="130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</row>
    <row r="651" ht="18.75" customHeight="1">
      <c r="A651" s="170"/>
      <c r="B651" s="127"/>
      <c r="C651" s="130"/>
      <c r="D651" s="130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</row>
    <row r="652" ht="18.75" customHeight="1">
      <c r="A652" s="170"/>
      <c r="B652" s="127"/>
      <c r="C652" s="130"/>
      <c r="D652" s="130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</row>
    <row r="653" ht="18.75" customHeight="1">
      <c r="A653" s="170"/>
      <c r="B653" s="127"/>
      <c r="C653" s="130"/>
      <c r="D653" s="130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</row>
    <row r="654" ht="18.75" customHeight="1">
      <c r="A654" s="170"/>
      <c r="B654" s="127"/>
      <c r="C654" s="130"/>
      <c r="D654" s="130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</row>
    <row r="655" ht="18.75" customHeight="1">
      <c r="A655" s="170"/>
      <c r="B655" s="127"/>
      <c r="C655" s="130"/>
      <c r="D655" s="130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</row>
    <row r="656" ht="18.75" customHeight="1">
      <c r="A656" s="170"/>
      <c r="B656" s="127"/>
      <c r="C656" s="130"/>
      <c r="D656" s="130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</row>
    <row r="657" ht="18.75" customHeight="1">
      <c r="A657" s="170"/>
      <c r="B657" s="127"/>
      <c r="C657" s="130"/>
      <c r="D657" s="130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</row>
    <row r="658" ht="18.75" customHeight="1">
      <c r="A658" s="170"/>
      <c r="B658" s="127"/>
      <c r="C658" s="130"/>
      <c r="D658" s="130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</row>
    <row r="659" ht="18.75" customHeight="1">
      <c r="A659" s="170"/>
      <c r="B659" s="127"/>
      <c r="C659" s="130"/>
      <c r="D659" s="130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</row>
    <row r="660" ht="18.75" customHeight="1">
      <c r="A660" s="170"/>
      <c r="B660" s="127"/>
      <c r="C660" s="130"/>
      <c r="D660" s="130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</row>
    <row r="661" ht="18.75" customHeight="1">
      <c r="A661" s="170"/>
      <c r="B661" s="127"/>
      <c r="C661" s="130"/>
      <c r="D661" s="130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</row>
    <row r="662" ht="18.75" customHeight="1">
      <c r="A662" s="170"/>
      <c r="B662" s="127"/>
      <c r="C662" s="130"/>
      <c r="D662" s="130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</row>
    <row r="663" ht="18.75" customHeight="1">
      <c r="A663" s="170"/>
      <c r="B663" s="127"/>
      <c r="C663" s="130"/>
      <c r="D663" s="130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</row>
    <row r="664" ht="18.75" customHeight="1">
      <c r="A664" s="170"/>
      <c r="B664" s="127"/>
      <c r="C664" s="130"/>
      <c r="D664" s="130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</row>
    <row r="665" ht="18.75" customHeight="1">
      <c r="A665" s="170"/>
      <c r="B665" s="127"/>
      <c r="C665" s="130"/>
      <c r="D665" s="130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</row>
    <row r="666" ht="18.75" customHeight="1">
      <c r="A666" s="170"/>
      <c r="B666" s="127"/>
      <c r="C666" s="130"/>
      <c r="D666" s="130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</row>
    <row r="667" ht="18.75" customHeight="1">
      <c r="A667" s="170"/>
      <c r="B667" s="127"/>
      <c r="C667" s="130"/>
      <c r="D667" s="130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</row>
    <row r="668" ht="18.75" customHeight="1">
      <c r="A668" s="170"/>
      <c r="B668" s="127"/>
      <c r="C668" s="130"/>
      <c r="D668" s="130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</row>
    <row r="669" ht="18.75" customHeight="1">
      <c r="A669" s="170"/>
      <c r="B669" s="127"/>
      <c r="C669" s="130"/>
      <c r="D669" s="130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</row>
    <row r="670" ht="18.75" customHeight="1">
      <c r="A670" s="170"/>
      <c r="B670" s="127"/>
      <c r="C670" s="130"/>
      <c r="D670" s="130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</row>
    <row r="671" ht="18.75" customHeight="1">
      <c r="A671" s="170"/>
      <c r="B671" s="127"/>
      <c r="C671" s="130"/>
      <c r="D671" s="130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</row>
    <row r="672" ht="18.75" customHeight="1">
      <c r="A672" s="170"/>
      <c r="B672" s="127"/>
      <c r="C672" s="130"/>
      <c r="D672" s="130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</row>
    <row r="673" ht="18.75" customHeight="1">
      <c r="A673" s="170"/>
      <c r="B673" s="127"/>
      <c r="C673" s="130"/>
      <c r="D673" s="130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</row>
    <row r="674" ht="18.75" customHeight="1">
      <c r="A674" s="170"/>
      <c r="B674" s="127"/>
      <c r="C674" s="130"/>
      <c r="D674" s="130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</row>
    <row r="675" ht="18.75" customHeight="1">
      <c r="A675" s="170"/>
      <c r="B675" s="127"/>
      <c r="C675" s="130"/>
      <c r="D675" s="130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</row>
    <row r="676" ht="18.75" customHeight="1">
      <c r="A676" s="170"/>
      <c r="B676" s="127"/>
      <c r="C676" s="130"/>
      <c r="D676" s="130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</row>
    <row r="677" ht="18.75" customHeight="1">
      <c r="A677" s="170"/>
      <c r="B677" s="127"/>
      <c r="C677" s="130"/>
      <c r="D677" s="130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</row>
    <row r="678" ht="18.75" customHeight="1">
      <c r="A678" s="170"/>
      <c r="B678" s="127"/>
      <c r="C678" s="130"/>
      <c r="D678" s="130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</row>
    <row r="679" ht="18.75" customHeight="1">
      <c r="A679" s="170"/>
      <c r="B679" s="127"/>
      <c r="C679" s="130"/>
      <c r="D679" s="130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</row>
    <row r="680" ht="18.75" customHeight="1">
      <c r="A680" s="170"/>
      <c r="B680" s="127"/>
      <c r="C680" s="130"/>
      <c r="D680" s="130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</row>
    <row r="681" ht="18.75" customHeight="1">
      <c r="A681" s="170"/>
      <c r="B681" s="127"/>
      <c r="C681" s="130"/>
      <c r="D681" s="130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</row>
    <row r="682" ht="18.75" customHeight="1">
      <c r="A682" s="170"/>
      <c r="B682" s="127"/>
      <c r="C682" s="130"/>
      <c r="D682" s="130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</row>
    <row r="683" ht="18.75" customHeight="1">
      <c r="A683" s="170"/>
      <c r="B683" s="127"/>
      <c r="C683" s="130"/>
      <c r="D683" s="130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</row>
    <row r="684" ht="18.75" customHeight="1">
      <c r="A684" s="170"/>
      <c r="B684" s="127"/>
      <c r="C684" s="130"/>
      <c r="D684" s="130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</row>
    <row r="685" ht="18.75" customHeight="1">
      <c r="A685" s="170"/>
      <c r="B685" s="127"/>
      <c r="C685" s="130"/>
      <c r="D685" s="130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</row>
    <row r="686" ht="18.75" customHeight="1">
      <c r="A686" s="170"/>
      <c r="B686" s="127"/>
      <c r="C686" s="130"/>
      <c r="D686" s="130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</row>
    <row r="687" ht="18.75" customHeight="1">
      <c r="A687" s="170"/>
      <c r="B687" s="127"/>
      <c r="C687" s="130"/>
      <c r="D687" s="130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</row>
    <row r="688" ht="18.75" customHeight="1">
      <c r="A688" s="170"/>
      <c r="B688" s="127"/>
      <c r="C688" s="130"/>
      <c r="D688" s="130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</row>
    <row r="689" ht="18.75" customHeight="1">
      <c r="A689" s="170"/>
      <c r="B689" s="127"/>
      <c r="C689" s="130"/>
      <c r="D689" s="130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</row>
    <row r="690" ht="18.75" customHeight="1">
      <c r="A690" s="170"/>
      <c r="B690" s="127"/>
      <c r="C690" s="130"/>
      <c r="D690" s="130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</row>
    <row r="691" ht="18.75" customHeight="1">
      <c r="A691" s="170"/>
      <c r="B691" s="127"/>
      <c r="C691" s="130"/>
      <c r="D691" s="130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</row>
    <row r="692" ht="18.75" customHeight="1">
      <c r="A692" s="170"/>
      <c r="B692" s="127"/>
      <c r="C692" s="130"/>
      <c r="D692" s="130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</row>
    <row r="693" ht="18.75" customHeight="1">
      <c r="A693" s="170"/>
      <c r="B693" s="127"/>
      <c r="C693" s="130"/>
      <c r="D693" s="130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</row>
    <row r="694" ht="18.75" customHeight="1">
      <c r="A694" s="170"/>
      <c r="B694" s="127"/>
      <c r="C694" s="130"/>
      <c r="D694" s="130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</row>
    <row r="695" ht="18.75" customHeight="1">
      <c r="A695" s="170"/>
      <c r="B695" s="127"/>
      <c r="C695" s="130"/>
      <c r="D695" s="130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</row>
    <row r="696" ht="18.75" customHeight="1">
      <c r="A696" s="170"/>
      <c r="B696" s="127"/>
      <c r="C696" s="130"/>
      <c r="D696" s="130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</row>
    <row r="697" ht="18.75" customHeight="1">
      <c r="A697" s="170"/>
      <c r="B697" s="127"/>
      <c r="C697" s="130"/>
      <c r="D697" s="130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</row>
    <row r="698" ht="18.75" customHeight="1">
      <c r="A698" s="170"/>
      <c r="B698" s="127"/>
      <c r="C698" s="130"/>
      <c r="D698" s="130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</row>
    <row r="699" ht="18.75" customHeight="1">
      <c r="A699" s="170"/>
      <c r="B699" s="127"/>
      <c r="C699" s="130"/>
      <c r="D699" s="130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</row>
    <row r="700" ht="18.75" customHeight="1">
      <c r="A700" s="170"/>
      <c r="B700" s="127"/>
      <c r="C700" s="130"/>
      <c r="D700" s="130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</row>
    <row r="701" ht="18.75" customHeight="1">
      <c r="A701" s="170"/>
      <c r="B701" s="127"/>
      <c r="C701" s="130"/>
      <c r="D701" s="130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</row>
    <row r="702" ht="18.75" customHeight="1">
      <c r="A702" s="170"/>
      <c r="B702" s="127"/>
      <c r="C702" s="130"/>
      <c r="D702" s="130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</row>
    <row r="703" ht="18.75" customHeight="1">
      <c r="A703" s="170"/>
      <c r="B703" s="127"/>
      <c r="C703" s="130"/>
      <c r="D703" s="130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</row>
    <row r="704" ht="18.75" customHeight="1">
      <c r="A704" s="170"/>
      <c r="B704" s="127"/>
      <c r="C704" s="130"/>
      <c r="D704" s="130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</row>
    <row r="705" ht="18.75" customHeight="1">
      <c r="A705" s="170"/>
      <c r="B705" s="127"/>
      <c r="C705" s="130"/>
      <c r="D705" s="130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</row>
    <row r="706" ht="18.75" customHeight="1">
      <c r="A706" s="170"/>
      <c r="B706" s="127"/>
      <c r="C706" s="130"/>
      <c r="D706" s="130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</row>
    <row r="707" ht="18.75" customHeight="1">
      <c r="A707" s="170"/>
      <c r="B707" s="127"/>
      <c r="C707" s="130"/>
      <c r="D707" s="130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</row>
    <row r="708" ht="18.75" customHeight="1">
      <c r="A708" s="170"/>
      <c r="B708" s="127"/>
      <c r="C708" s="130"/>
      <c r="D708" s="130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</row>
    <row r="709" ht="18.75" customHeight="1">
      <c r="A709" s="170"/>
      <c r="B709" s="127"/>
      <c r="C709" s="130"/>
      <c r="D709" s="130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</row>
    <row r="710" ht="18.75" customHeight="1">
      <c r="A710" s="170"/>
      <c r="B710" s="127"/>
      <c r="C710" s="130"/>
      <c r="D710" s="130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</row>
    <row r="711" ht="18.75" customHeight="1">
      <c r="A711" s="170"/>
      <c r="B711" s="127"/>
      <c r="C711" s="130"/>
      <c r="D711" s="130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</row>
    <row r="712" ht="18.75" customHeight="1">
      <c r="A712" s="170"/>
      <c r="B712" s="127"/>
      <c r="C712" s="130"/>
      <c r="D712" s="130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</row>
    <row r="713" ht="18.75" customHeight="1">
      <c r="A713" s="170"/>
      <c r="B713" s="127"/>
      <c r="C713" s="130"/>
      <c r="D713" s="130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</row>
    <row r="714" ht="18.75" customHeight="1">
      <c r="A714" s="170"/>
      <c r="B714" s="127"/>
      <c r="C714" s="130"/>
      <c r="D714" s="130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</row>
    <row r="715" ht="18.75" customHeight="1">
      <c r="A715" s="170"/>
      <c r="B715" s="127"/>
      <c r="C715" s="130"/>
      <c r="D715" s="130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</row>
    <row r="716" ht="18.75" customHeight="1">
      <c r="A716" s="170"/>
      <c r="B716" s="127"/>
      <c r="C716" s="130"/>
      <c r="D716" s="130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</row>
    <row r="717" ht="18.75" customHeight="1">
      <c r="A717" s="170"/>
      <c r="B717" s="127"/>
      <c r="C717" s="130"/>
      <c r="D717" s="130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</row>
    <row r="718" ht="18.75" customHeight="1">
      <c r="A718" s="170"/>
      <c r="B718" s="127"/>
      <c r="C718" s="130"/>
      <c r="D718" s="130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</row>
    <row r="719" ht="18.75" customHeight="1">
      <c r="A719" s="170"/>
      <c r="B719" s="127"/>
      <c r="C719" s="130"/>
      <c r="D719" s="130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</row>
    <row r="720" ht="18.75" customHeight="1">
      <c r="A720" s="170"/>
      <c r="B720" s="127"/>
      <c r="C720" s="130"/>
      <c r="D720" s="130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</row>
    <row r="721" ht="18.75" customHeight="1">
      <c r="A721" s="170"/>
      <c r="B721" s="127"/>
      <c r="C721" s="130"/>
      <c r="D721" s="130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</row>
    <row r="722" ht="18.75" customHeight="1">
      <c r="A722" s="170"/>
      <c r="B722" s="127"/>
      <c r="C722" s="130"/>
      <c r="D722" s="130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</row>
    <row r="723" ht="18.75" customHeight="1">
      <c r="A723" s="170"/>
      <c r="B723" s="127"/>
      <c r="C723" s="130"/>
      <c r="D723" s="130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</row>
    <row r="724" ht="18.75" customHeight="1">
      <c r="A724" s="170"/>
      <c r="B724" s="127"/>
      <c r="C724" s="130"/>
      <c r="D724" s="130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</row>
    <row r="725" ht="18.75" customHeight="1">
      <c r="A725" s="170"/>
      <c r="B725" s="127"/>
      <c r="C725" s="130"/>
      <c r="D725" s="130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</row>
    <row r="726" ht="18.75" customHeight="1">
      <c r="A726" s="170"/>
      <c r="B726" s="127"/>
      <c r="C726" s="130"/>
      <c r="D726" s="130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</row>
    <row r="727" ht="18.75" customHeight="1">
      <c r="A727" s="170"/>
      <c r="B727" s="127"/>
      <c r="C727" s="130"/>
      <c r="D727" s="130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</row>
    <row r="728" ht="18.75" customHeight="1">
      <c r="A728" s="170"/>
      <c r="B728" s="127"/>
      <c r="C728" s="130"/>
      <c r="D728" s="130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</row>
    <row r="729" ht="18.75" customHeight="1">
      <c r="A729" s="170"/>
      <c r="B729" s="127"/>
      <c r="C729" s="130"/>
      <c r="D729" s="130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</row>
    <row r="730" ht="18.75" customHeight="1">
      <c r="A730" s="170"/>
      <c r="B730" s="127"/>
      <c r="C730" s="130"/>
      <c r="D730" s="130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</row>
    <row r="731" ht="18.75" customHeight="1">
      <c r="A731" s="170"/>
      <c r="B731" s="127"/>
      <c r="C731" s="130"/>
      <c r="D731" s="130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</row>
    <row r="732" ht="18.75" customHeight="1">
      <c r="A732" s="170"/>
      <c r="B732" s="127"/>
      <c r="C732" s="130"/>
      <c r="D732" s="130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</row>
    <row r="733" ht="18.75" customHeight="1">
      <c r="A733" s="170"/>
      <c r="B733" s="127"/>
      <c r="C733" s="130"/>
      <c r="D733" s="130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</row>
    <row r="734" ht="18.75" customHeight="1">
      <c r="A734" s="170"/>
      <c r="B734" s="127"/>
      <c r="C734" s="130"/>
      <c r="D734" s="130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</row>
    <row r="735" ht="18.75" customHeight="1">
      <c r="A735" s="170"/>
      <c r="B735" s="127"/>
      <c r="C735" s="130"/>
      <c r="D735" s="130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</row>
    <row r="736" ht="18.75" customHeight="1">
      <c r="A736" s="170"/>
      <c r="B736" s="127"/>
      <c r="C736" s="130"/>
      <c r="D736" s="130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</row>
    <row r="737" ht="18.75" customHeight="1">
      <c r="A737" s="170"/>
      <c r="B737" s="127"/>
      <c r="C737" s="130"/>
      <c r="D737" s="130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</row>
    <row r="738" ht="18.75" customHeight="1">
      <c r="A738" s="170"/>
      <c r="B738" s="127"/>
      <c r="C738" s="130"/>
      <c r="D738" s="130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</row>
    <row r="739" ht="18.75" customHeight="1">
      <c r="A739" s="170"/>
      <c r="B739" s="127"/>
      <c r="C739" s="130"/>
      <c r="D739" s="130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</row>
    <row r="740" ht="18.75" customHeight="1">
      <c r="A740" s="170"/>
      <c r="B740" s="127"/>
      <c r="C740" s="130"/>
      <c r="D740" s="130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</row>
    <row r="741" ht="18.75" customHeight="1">
      <c r="A741" s="170"/>
      <c r="B741" s="127"/>
      <c r="C741" s="130"/>
      <c r="D741" s="130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</row>
    <row r="742" ht="18.75" customHeight="1">
      <c r="A742" s="170"/>
      <c r="B742" s="127"/>
      <c r="C742" s="130"/>
      <c r="D742" s="130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</row>
    <row r="743" ht="18.75" customHeight="1">
      <c r="A743" s="170"/>
      <c r="B743" s="127"/>
      <c r="C743" s="130"/>
      <c r="D743" s="130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</row>
    <row r="744" ht="18.75" customHeight="1">
      <c r="A744" s="170"/>
      <c r="B744" s="127"/>
      <c r="C744" s="130"/>
      <c r="D744" s="130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</row>
    <row r="745" ht="18.75" customHeight="1">
      <c r="A745" s="170"/>
      <c r="B745" s="127"/>
      <c r="C745" s="130"/>
      <c r="D745" s="130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</row>
    <row r="746" ht="18.75" customHeight="1">
      <c r="A746" s="170"/>
      <c r="B746" s="127"/>
      <c r="C746" s="130"/>
      <c r="D746" s="130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</row>
    <row r="747" ht="18.75" customHeight="1">
      <c r="A747" s="170"/>
      <c r="B747" s="127"/>
      <c r="C747" s="130"/>
      <c r="D747" s="130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</row>
    <row r="748" ht="18.75" customHeight="1">
      <c r="A748" s="170"/>
      <c r="B748" s="127"/>
      <c r="C748" s="130"/>
      <c r="D748" s="130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</row>
    <row r="749" ht="18.75" customHeight="1">
      <c r="A749" s="170"/>
      <c r="B749" s="127"/>
      <c r="C749" s="130"/>
      <c r="D749" s="130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</row>
    <row r="750" ht="18.75" customHeight="1">
      <c r="A750" s="170"/>
      <c r="B750" s="127"/>
      <c r="C750" s="130"/>
      <c r="D750" s="130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</row>
    <row r="751" ht="18.75" customHeight="1">
      <c r="A751" s="170"/>
      <c r="B751" s="127"/>
      <c r="C751" s="130"/>
      <c r="D751" s="130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</row>
    <row r="752" ht="18.75" customHeight="1">
      <c r="A752" s="170"/>
      <c r="B752" s="127"/>
      <c r="C752" s="130"/>
      <c r="D752" s="130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</row>
    <row r="753" ht="18.75" customHeight="1">
      <c r="A753" s="170"/>
      <c r="B753" s="127"/>
      <c r="C753" s="130"/>
      <c r="D753" s="130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</row>
    <row r="754" ht="18.75" customHeight="1">
      <c r="A754" s="170"/>
      <c r="B754" s="127"/>
      <c r="C754" s="130"/>
      <c r="D754" s="130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</row>
    <row r="755" ht="18.75" customHeight="1">
      <c r="A755" s="170"/>
      <c r="B755" s="127"/>
      <c r="C755" s="130"/>
      <c r="D755" s="130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</row>
    <row r="756" ht="18.75" customHeight="1">
      <c r="A756" s="170"/>
      <c r="B756" s="127"/>
      <c r="C756" s="130"/>
      <c r="D756" s="130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</row>
    <row r="757" ht="18.75" customHeight="1">
      <c r="A757" s="170"/>
      <c r="B757" s="127"/>
      <c r="C757" s="130"/>
      <c r="D757" s="130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</row>
    <row r="758" ht="18.75" customHeight="1">
      <c r="A758" s="170"/>
      <c r="B758" s="127"/>
      <c r="C758" s="130"/>
      <c r="D758" s="130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</row>
    <row r="759" ht="18.75" customHeight="1">
      <c r="A759" s="170"/>
      <c r="B759" s="127"/>
      <c r="C759" s="130"/>
      <c r="D759" s="130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</row>
    <row r="760" ht="18.75" customHeight="1">
      <c r="A760" s="170"/>
      <c r="B760" s="127"/>
      <c r="C760" s="130"/>
      <c r="D760" s="130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</row>
    <row r="761" ht="18.75" customHeight="1">
      <c r="A761" s="170"/>
      <c r="B761" s="127"/>
      <c r="C761" s="130"/>
      <c r="D761" s="130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</row>
    <row r="762" ht="18.75" customHeight="1">
      <c r="A762" s="170"/>
      <c r="B762" s="127"/>
      <c r="C762" s="130"/>
      <c r="D762" s="130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</row>
    <row r="763" ht="18.75" customHeight="1">
      <c r="A763" s="170"/>
      <c r="B763" s="127"/>
      <c r="C763" s="130"/>
      <c r="D763" s="130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</row>
    <row r="764" ht="18.75" customHeight="1">
      <c r="A764" s="170"/>
      <c r="B764" s="127"/>
      <c r="C764" s="130"/>
      <c r="D764" s="130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</row>
    <row r="765" ht="18.75" customHeight="1">
      <c r="A765" s="170"/>
      <c r="B765" s="127"/>
      <c r="C765" s="130"/>
      <c r="D765" s="130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</row>
    <row r="766" ht="18.75" customHeight="1">
      <c r="A766" s="170"/>
      <c r="B766" s="127"/>
      <c r="C766" s="130"/>
      <c r="D766" s="130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</row>
    <row r="767" ht="18.75" customHeight="1">
      <c r="A767" s="170"/>
      <c r="B767" s="127"/>
      <c r="C767" s="130"/>
      <c r="D767" s="130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</row>
    <row r="768" ht="18.75" customHeight="1">
      <c r="A768" s="170"/>
      <c r="B768" s="127"/>
      <c r="C768" s="130"/>
      <c r="D768" s="130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</row>
    <row r="769" ht="18.75" customHeight="1">
      <c r="A769" s="170"/>
      <c r="B769" s="127"/>
      <c r="C769" s="130"/>
      <c r="D769" s="130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</row>
    <row r="770" ht="18.75" customHeight="1">
      <c r="A770" s="170"/>
      <c r="B770" s="127"/>
      <c r="C770" s="130"/>
      <c r="D770" s="130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</row>
    <row r="771" ht="18.75" customHeight="1">
      <c r="A771" s="170"/>
      <c r="B771" s="127"/>
      <c r="C771" s="130"/>
      <c r="D771" s="130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</row>
    <row r="772" ht="18.75" customHeight="1">
      <c r="A772" s="170"/>
      <c r="B772" s="127"/>
      <c r="C772" s="130"/>
      <c r="D772" s="130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</row>
    <row r="773" ht="18.75" customHeight="1">
      <c r="A773" s="170"/>
      <c r="B773" s="127"/>
      <c r="C773" s="130"/>
      <c r="D773" s="130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</row>
    <row r="774" ht="18.75" customHeight="1">
      <c r="A774" s="170"/>
      <c r="B774" s="127"/>
      <c r="C774" s="130"/>
      <c r="D774" s="130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</row>
    <row r="775" ht="18.75" customHeight="1">
      <c r="A775" s="170"/>
      <c r="B775" s="127"/>
      <c r="C775" s="130"/>
      <c r="D775" s="130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</row>
    <row r="776" ht="18.75" customHeight="1">
      <c r="A776" s="170"/>
      <c r="B776" s="127"/>
      <c r="C776" s="130"/>
      <c r="D776" s="130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</row>
    <row r="777" ht="18.75" customHeight="1">
      <c r="A777" s="170"/>
      <c r="B777" s="127"/>
      <c r="C777" s="130"/>
      <c r="D777" s="130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</row>
    <row r="778" ht="18.75" customHeight="1">
      <c r="A778" s="170"/>
      <c r="B778" s="127"/>
      <c r="C778" s="130"/>
      <c r="D778" s="130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</row>
    <row r="779" ht="18.75" customHeight="1">
      <c r="A779" s="170"/>
      <c r="B779" s="127"/>
      <c r="C779" s="130"/>
      <c r="D779" s="130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</row>
    <row r="780" ht="18.75" customHeight="1">
      <c r="A780" s="170"/>
      <c r="B780" s="127"/>
      <c r="C780" s="130"/>
      <c r="D780" s="130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</row>
    <row r="781" ht="18.75" customHeight="1">
      <c r="A781" s="170"/>
      <c r="B781" s="127"/>
      <c r="C781" s="130"/>
      <c r="D781" s="130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</row>
    <row r="782" ht="18.75" customHeight="1">
      <c r="A782" s="170"/>
      <c r="B782" s="127"/>
      <c r="C782" s="130"/>
      <c r="D782" s="130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</row>
    <row r="783" ht="18.75" customHeight="1">
      <c r="A783" s="170"/>
      <c r="B783" s="127"/>
      <c r="C783" s="130"/>
      <c r="D783" s="130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</row>
    <row r="784" ht="18.75" customHeight="1">
      <c r="A784" s="170"/>
      <c r="B784" s="127"/>
      <c r="C784" s="130"/>
      <c r="D784" s="130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</row>
    <row r="785" ht="18.75" customHeight="1">
      <c r="A785" s="170"/>
      <c r="B785" s="127"/>
      <c r="C785" s="130"/>
      <c r="D785" s="130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</row>
    <row r="786" ht="18.75" customHeight="1">
      <c r="A786" s="170"/>
      <c r="B786" s="127"/>
      <c r="C786" s="130"/>
      <c r="D786" s="130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</row>
    <row r="787" ht="18.75" customHeight="1">
      <c r="A787" s="170"/>
      <c r="B787" s="127"/>
      <c r="C787" s="130"/>
      <c r="D787" s="130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</row>
    <row r="788" ht="18.75" customHeight="1">
      <c r="A788" s="170"/>
      <c r="B788" s="127"/>
      <c r="C788" s="130"/>
      <c r="D788" s="130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</row>
    <row r="789" ht="18.75" customHeight="1">
      <c r="A789" s="170"/>
      <c r="B789" s="127"/>
      <c r="C789" s="130"/>
      <c r="D789" s="130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</row>
    <row r="790" ht="18.75" customHeight="1">
      <c r="A790" s="170"/>
      <c r="B790" s="127"/>
      <c r="C790" s="130"/>
      <c r="D790" s="130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</row>
    <row r="791" ht="18.75" customHeight="1">
      <c r="A791" s="170"/>
      <c r="B791" s="127"/>
      <c r="C791" s="130"/>
      <c r="D791" s="130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</row>
    <row r="792" ht="18.75" customHeight="1">
      <c r="A792" s="170"/>
      <c r="B792" s="127"/>
      <c r="C792" s="130"/>
      <c r="D792" s="130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</row>
    <row r="793" ht="18.75" customHeight="1">
      <c r="A793" s="170"/>
      <c r="B793" s="127"/>
      <c r="C793" s="130"/>
      <c r="D793" s="130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</row>
    <row r="794" ht="18.75" customHeight="1">
      <c r="A794" s="170"/>
      <c r="B794" s="127"/>
      <c r="C794" s="130"/>
      <c r="D794" s="130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</row>
    <row r="795" ht="18.75" customHeight="1">
      <c r="A795" s="170"/>
      <c r="B795" s="127"/>
      <c r="C795" s="130"/>
      <c r="D795" s="130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</row>
    <row r="796" ht="18.75" customHeight="1">
      <c r="A796" s="170"/>
      <c r="B796" s="127"/>
      <c r="C796" s="130"/>
      <c r="D796" s="130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</row>
    <row r="797" ht="18.75" customHeight="1">
      <c r="A797" s="170"/>
      <c r="B797" s="127"/>
      <c r="C797" s="130"/>
      <c r="D797" s="130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</row>
    <row r="798" ht="18.75" customHeight="1">
      <c r="A798" s="170"/>
      <c r="B798" s="127"/>
      <c r="C798" s="130"/>
      <c r="D798" s="130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</row>
    <row r="799" ht="18.75" customHeight="1">
      <c r="A799" s="170"/>
      <c r="B799" s="127"/>
      <c r="C799" s="130"/>
      <c r="D799" s="130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</row>
    <row r="800" ht="18.75" customHeight="1">
      <c r="A800" s="170"/>
      <c r="B800" s="127"/>
      <c r="C800" s="130"/>
      <c r="D800" s="130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</row>
    <row r="801" ht="18.75" customHeight="1">
      <c r="A801" s="170"/>
      <c r="B801" s="127"/>
      <c r="C801" s="130"/>
      <c r="D801" s="130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</row>
    <row r="802" ht="18.75" customHeight="1">
      <c r="A802" s="170"/>
      <c r="B802" s="127"/>
      <c r="C802" s="130"/>
      <c r="D802" s="130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</row>
    <row r="803" ht="18.75" customHeight="1">
      <c r="A803" s="170"/>
      <c r="B803" s="127"/>
      <c r="C803" s="130"/>
      <c r="D803" s="130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</row>
    <row r="804" ht="18.75" customHeight="1">
      <c r="A804" s="170"/>
      <c r="B804" s="127"/>
      <c r="C804" s="130"/>
      <c r="D804" s="130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</row>
    <row r="805" ht="18.75" customHeight="1">
      <c r="A805" s="170"/>
      <c r="B805" s="127"/>
      <c r="C805" s="130"/>
      <c r="D805" s="130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</row>
    <row r="806" ht="18.75" customHeight="1">
      <c r="A806" s="170"/>
      <c r="B806" s="127"/>
      <c r="C806" s="130"/>
      <c r="D806" s="130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</row>
    <row r="807" ht="18.75" customHeight="1">
      <c r="A807" s="170"/>
      <c r="B807" s="127"/>
      <c r="C807" s="130"/>
      <c r="D807" s="130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</row>
    <row r="808" ht="18.75" customHeight="1">
      <c r="A808" s="170"/>
      <c r="B808" s="127"/>
      <c r="C808" s="130"/>
      <c r="D808" s="130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</row>
    <row r="809" ht="18.75" customHeight="1">
      <c r="A809" s="170"/>
      <c r="B809" s="127"/>
      <c r="C809" s="130"/>
      <c r="D809" s="130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</row>
    <row r="810" ht="18.75" customHeight="1">
      <c r="A810" s="170"/>
      <c r="B810" s="127"/>
      <c r="C810" s="130"/>
      <c r="D810" s="130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</row>
    <row r="811" ht="18.75" customHeight="1">
      <c r="A811" s="170"/>
      <c r="B811" s="127"/>
      <c r="C811" s="130"/>
      <c r="D811" s="130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</row>
    <row r="812" ht="18.75" customHeight="1">
      <c r="A812" s="170"/>
      <c r="B812" s="127"/>
      <c r="C812" s="130"/>
      <c r="D812" s="130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</row>
    <row r="813" ht="18.75" customHeight="1">
      <c r="A813" s="170"/>
      <c r="B813" s="127"/>
      <c r="C813" s="130"/>
      <c r="D813" s="130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</row>
    <row r="814" ht="18.75" customHeight="1">
      <c r="A814" s="170"/>
      <c r="B814" s="127"/>
      <c r="C814" s="130"/>
      <c r="D814" s="130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</row>
    <row r="815" ht="18.75" customHeight="1">
      <c r="A815" s="170"/>
      <c r="B815" s="127"/>
      <c r="C815" s="130"/>
      <c r="D815" s="130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</row>
    <row r="816" ht="18.75" customHeight="1">
      <c r="A816" s="170"/>
      <c r="B816" s="127"/>
      <c r="C816" s="130"/>
      <c r="D816" s="130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</row>
    <row r="817" ht="18.75" customHeight="1">
      <c r="A817" s="170"/>
      <c r="B817" s="127"/>
      <c r="C817" s="130"/>
      <c r="D817" s="130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</row>
    <row r="818" ht="18.75" customHeight="1">
      <c r="A818" s="170"/>
      <c r="B818" s="127"/>
      <c r="C818" s="130"/>
      <c r="D818" s="130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</row>
    <row r="819" ht="18.75" customHeight="1">
      <c r="A819" s="170"/>
      <c r="B819" s="127"/>
      <c r="C819" s="130"/>
      <c r="D819" s="130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</row>
    <row r="820" ht="18.75" customHeight="1">
      <c r="A820" s="170"/>
      <c r="B820" s="127"/>
      <c r="C820" s="130"/>
      <c r="D820" s="130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</row>
    <row r="821" ht="18.75" customHeight="1">
      <c r="A821" s="170"/>
      <c r="B821" s="127"/>
      <c r="C821" s="130"/>
      <c r="D821" s="130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</row>
    <row r="822" ht="18.75" customHeight="1">
      <c r="A822" s="170"/>
      <c r="B822" s="127"/>
      <c r="C822" s="130"/>
      <c r="D822" s="130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</row>
    <row r="823" ht="18.75" customHeight="1">
      <c r="A823" s="170"/>
      <c r="B823" s="127"/>
      <c r="C823" s="130"/>
      <c r="D823" s="130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</row>
    <row r="824" ht="18.75" customHeight="1">
      <c r="A824" s="170"/>
      <c r="B824" s="127"/>
      <c r="C824" s="130"/>
      <c r="D824" s="130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</row>
    <row r="825" ht="18.75" customHeight="1">
      <c r="A825" s="170"/>
      <c r="B825" s="127"/>
      <c r="C825" s="130"/>
      <c r="D825" s="130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</row>
    <row r="826" ht="18.75" customHeight="1">
      <c r="A826" s="170"/>
      <c r="B826" s="127"/>
      <c r="C826" s="130"/>
      <c r="D826" s="130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</row>
    <row r="827" ht="18.75" customHeight="1">
      <c r="A827" s="170"/>
      <c r="B827" s="127"/>
      <c r="C827" s="130"/>
      <c r="D827" s="130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</row>
    <row r="828" ht="18.75" customHeight="1">
      <c r="A828" s="170"/>
      <c r="B828" s="127"/>
      <c r="C828" s="130"/>
      <c r="D828" s="130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</row>
    <row r="829" ht="18.75" customHeight="1">
      <c r="A829" s="170"/>
      <c r="B829" s="127"/>
      <c r="C829" s="130"/>
      <c r="D829" s="130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</row>
    <row r="830" ht="18.75" customHeight="1">
      <c r="A830" s="170"/>
      <c r="B830" s="127"/>
      <c r="C830" s="130"/>
      <c r="D830" s="130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</row>
    <row r="831" ht="18.75" customHeight="1">
      <c r="A831" s="170"/>
      <c r="B831" s="127"/>
      <c r="C831" s="130"/>
      <c r="D831" s="130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</row>
    <row r="832" ht="18.75" customHeight="1">
      <c r="A832" s="170"/>
      <c r="B832" s="127"/>
      <c r="C832" s="130"/>
      <c r="D832" s="130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</row>
    <row r="833" ht="18.75" customHeight="1">
      <c r="A833" s="170"/>
      <c r="B833" s="127"/>
      <c r="C833" s="130"/>
      <c r="D833" s="130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</row>
    <row r="834" ht="18.75" customHeight="1">
      <c r="A834" s="170"/>
      <c r="B834" s="127"/>
      <c r="C834" s="130"/>
      <c r="D834" s="130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</row>
    <row r="835" ht="18.75" customHeight="1">
      <c r="A835" s="170"/>
      <c r="B835" s="127"/>
      <c r="C835" s="130"/>
      <c r="D835" s="130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</row>
    <row r="836" ht="18.75" customHeight="1">
      <c r="A836" s="170"/>
      <c r="B836" s="127"/>
      <c r="C836" s="130"/>
      <c r="D836" s="130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</row>
    <row r="837" ht="18.75" customHeight="1">
      <c r="A837" s="170"/>
      <c r="B837" s="127"/>
      <c r="C837" s="130"/>
      <c r="D837" s="130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</row>
    <row r="838" ht="18.75" customHeight="1">
      <c r="A838" s="170"/>
      <c r="B838" s="127"/>
      <c r="C838" s="130"/>
      <c r="D838" s="130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</row>
    <row r="839" ht="18.75" customHeight="1">
      <c r="A839" s="170"/>
      <c r="B839" s="127"/>
      <c r="C839" s="130"/>
      <c r="D839" s="130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</row>
    <row r="840" ht="18.75" customHeight="1">
      <c r="A840" s="170"/>
      <c r="B840" s="127"/>
      <c r="C840" s="130"/>
      <c r="D840" s="130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</row>
    <row r="841" ht="18.75" customHeight="1">
      <c r="A841" s="170"/>
      <c r="B841" s="127"/>
      <c r="C841" s="130"/>
      <c r="D841" s="130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</row>
    <row r="842" ht="18.75" customHeight="1">
      <c r="A842" s="170"/>
      <c r="B842" s="127"/>
      <c r="C842" s="130"/>
      <c r="D842" s="130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</row>
    <row r="843" ht="18.75" customHeight="1">
      <c r="A843" s="170"/>
      <c r="B843" s="127"/>
      <c r="C843" s="130"/>
      <c r="D843" s="130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</row>
    <row r="844" ht="18.75" customHeight="1">
      <c r="A844" s="170"/>
      <c r="B844" s="127"/>
      <c r="C844" s="130"/>
      <c r="D844" s="130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</row>
    <row r="845" ht="18.75" customHeight="1">
      <c r="A845" s="170"/>
      <c r="B845" s="127"/>
      <c r="C845" s="130"/>
      <c r="D845" s="130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</row>
    <row r="846" ht="18.75" customHeight="1">
      <c r="A846" s="170"/>
      <c r="B846" s="127"/>
      <c r="C846" s="130"/>
      <c r="D846" s="130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</row>
    <row r="847" ht="18.75" customHeight="1">
      <c r="A847" s="170"/>
      <c r="B847" s="127"/>
      <c r="C847" s="130"/>
      <c r="D847" s="130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</row>
    <row r="848" ht="18.75" customHeight="1">
      <c r="A848" s="170"/>
      <c r="B848" s="127"/>
      <c r="C848" s="130"/>
      <c r="D848" s="130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</row>
    <row r="849" ht="18.75" customHeight="1">
      <c r="A849" s="170"/>
      <c r="B849" s="127"/>
      <c r="C849" s="130"/>
      <c r="D849" s="130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</row>
    <row r="850" ht="18.75" customHeight="1">
      <c r="A850" s="170"/>
      <c r="B850" s="127"/>
      <c r="C850" s="130"/>
      <c r="D850" s="130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</row>
    <row r="851" ht="18.75" customHeight="1">
      <c r="A851" s="170"/>
      <c r="B851" s="127"/>
      <c r="C851" s="130"/>
      <c r="D851" s="130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</row>
    <row r="852" ht="18.75" customHeight="1">
      <c r="A852" s="170"/>
      <c r="B852" s="127"/>
      <c r="C852" s="130"/>
      <c r="D852" s="130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</row>
    <row r="853" ht="18.75" customHeight="1">
      <c r="A853" s="170"/>
      <c r="B853" s="127"/>
      <c r="C853" s="130"/>
      <c r="D853" s="130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</row>
    <row r="854" ht="18.75" customHeight="1">
      <c r="A854" s="170"/>
      <c r="B854" s="127"/>
      <c r="C854" s="130"/>
      <c r="D854" s="130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</row>
    <row r="855" ht="18.75" customHeight="1">
      <c r="A855" s="170"/>
      <c r="B855" s="127"/>
      <c r="C855" s="130"/>
      <c r="D855" s="130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</row>
    <row r="856" ht="18.75" customHeight="1">
      <c r="A856" s="170"/>
      <c r="B856" s="127"/>
      <c r="C856" s="130"/>
      <c r="D856" s="130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</row>
    <row r="857" ht="18.75" customHeight="1">
      <c r="A857" s="170"/>
      <c r="B857" s="127"/>
      <c r="C857" s="130"/>
      <c r="D857" s="130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</row>
    <row r="858" ht="18.75" customHeight="1">
      <c r="A858" s="170"/>
      <c r="B858" s="127"/>
      <c r="C858" s="130"/>
      <c r="D858" s="130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</row>
    <row r="859" ht="18.75" customHeight="1">
      <c r="A859" s="170"/>
      <c r="B859" s="127"/>
      <c r="C859" s="130"/>
      <c r="D859" s="130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</row>
    <row r="860" ht="18.75" customHeight="1">
      <c r="A860" s="170"/>
      <c r="B860" s="127"/>
      <c r="C860" s="130"/>
      <c r="D860" s="130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</row>
    <row r="861" ht="18.75" customHeight="1">
      <c r="A861" s="170"/>
      <c r="B861" s="127"/>
      <c r="C861" s="130"/>
      <c r="D861" s="130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</row>
    <row r="862" ht="18.75" customHeight="1">
      <c r="A862" s="170"/>
      <c r="B862" s="127"/>
      <c r="C862" s="130"/>
      <c r="D862" s="130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</row>
    <row r="863" ht="18.75" customHeight="1">
      <c r="A863" s="170"/>
      <c r="B863" s="127"/>
      <c r="C863" s="130"/>
      <c r="D863" s="130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</row>
    <row r="864" ht="18.75" customHeight="1">
      <c r="A864" s="170"/>
      <c r="B864" s="127"/>
      <c r="C864" s="130"/>
      <c r="D864" s="130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</row>
    <row r="865" ht="18.75" customHeight="1">
      <c r="A865" s="170"/>
      <c r="B865" s="127"/>
      <c r="C865" s="130"/>
      <c r="D865" s="130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</row>
    <row r="866" ht="18.75" customHeight="1">
      <c r="A866" s="170"/>
      <c r="B866" s="127"/>
      <c r="C866" s="130"/>
      <c r="D866" s="130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</row>
    <row r="867" ht="18.75" customHeight="1">
      <c r="A867" s="170"/>
      <c r="B867" s="127"/>
      <c r="C867" s="130"/>
      <c r="D867" s="130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</row>
    <row r="868" ht="18.75" customHeight="1">
      <c r="A868" s="170"/>
      <c r="B868" s="127"/>
      <c r="C868" s="130"/>
      <c r="D868" s="130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</row>
    <row r="869" ht="18.75" customHeight="1">
      <c r="A869" s="170"/>
      <c r="B869" s="127"/>
      <c r="C869" s="130"/>
      <c r="D869" s="130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</row>
    <row r="870" ht="18.75" customHeight="1">
      <c r="A870" s="170"/>
      <c r="B870" s="127"/>
      <c r="C870" s="130"/>
      <c r="D870" s="130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</row>
    <row r="871" ht="18.75" customHeight="1">
      <c r="A871" s="170"/>
      <c r="B871" s="127"/>
      <c r="C871" s="130"/>
      <c r="D871" s="130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</row>
    <row r="872" ht="18.75" customHeight="1">
      <c r="A872" s="170"/>
      <c r="B872" s="127"/>
      <c r="C872" s="130"/>
      <c r="D872" s="130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</row>
    <row r="873" ht="18.75" customHeight="1">
      <c r="A873" s="170"/>
      <c r="B873" s="127"/>
      <c r="C873" s="130"/>
      <c r="D873" s="130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</row>
    <row r="874" ht="18.75" customHeight="1">
      <c r="A874" s="170"/>
      <c r="B874" s="127"/>
      <c r="C874" s="130"/>
      <c r="D874" s="130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</row>
    <row r="875" ht="18.75" customHeight="1">
      <c r="A875" s="170"/>
      <c r="B875" s="127"/>
      <c r="C875" s="130"/>
      <c r="D875" s="130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</row>
    <row r="876" ht="18.75" customHeight="1">
      <c r="A876" s="170"/>
      <c r="B876" s="127"/>
      <c r="C876" s="130"/>
      <c r="D876" s="130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</row>
    <row r="877" ht="18.75" customHeight="1">
      <c r="A877" s="170"/>
      <c r="B877" s="127"/>
      <c r="C877" s="130"/>
      <c r="D877" s="130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</row>
    <row r="878" ht="18.75" customHeight="1">
      <c r="A878" s="170"/>
      <c r="B878" s="127"/>
      <c r="C878" s="130"/>
      <c r="D878" s="130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</row>
    <row r="879" ht="18.75" customHeight="1">
      <c r="A879" s="170"/>
      <c r="B879" s="127"/>
      <c r="C879" s="130"/>
      <c r="D879" s="130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</row>
    <row r="880" ht="18.75" customHeight="1">
      <c r="A880" s="170"/>
      <c r="B880" s="127"/>
      <c r="C880" s="130"/>
      <c r="D880" s="130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</row>
    <row r="881" ht="18.75" customHeight="1">
      <c r="A881" s="170"/>
      <c r="B881" s="127"/>
      <c r="C881" s="130"/>
      <c r="D881" s="130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</row>
    <row r="882" ht="18.75" customHeight="1">
      <c r="A882" s="170"/>
      <c r="B882" s="127"/>
      <c r="C882" s="130"/>
      <c r="D882" s="130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</row>
    <row r="883" ht="18.75" customHeight="1">
      <c r="A883" s="170"/>
      <c r="B883" s="127"/>
      <c r="C883" s="130"/>
      <c r="D883" s="130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</row>
    <row r="884" ht="18.75" customHeight="1">
      <c r="A884" s="170"/>
      <c r="B884" s="127"/>
      <c r="C884" s="130"/>
      <c r="D884" s="130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</row>
    <row r="885" ht="18.75" customHeight="1">
      <c r="A885" s="170"/>
      <c r="B885" s="127"/>
      <c r="C885" s="130"/>
      <c r="D885" s="130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</row>
    <row r="886" ht="18.75" customHeight="1">
      <c r="A886" s="170"/>
      <c r="B886" s="127"/>
      <c r="C886" s="130"/>
      <c r="D886" s="130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</row>
    <row r="887" ht="18.75" customHeight="1">
      <c r="A887" s="170"/>
      <c r="B887" s="127"/>
      <c r="C887" s="130"/>
      <c r="D887" s="130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</row>
    <row r="888" ht="18.75" customHeight="1">
      <c r="A888" s="170"/>
      <c r="B888" s="127"/>
      <c r="C888" s="130"/>
      <c r="D888" s="130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</row>
    <row r="889" ht="18.75" customHeight="1">
      <c r="A889" s="170"/>
      <c r="B889" s="127"/>
      <c r="C889" s="130"/>
      <c r="D889" s="130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</row>
    <row r="890" ht="18.75" customHeight="1">
      <c r="A890" s="170"/>
      <c r="B890" s="127"/>
      <c r="C890" s="130"/>
      <c r="D890" s="130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</row>
    <row r="891" ht="18.75" customHeight="1">
      <c r="A891" s="170"/>
      <c r="B891" s="127"/>
      <c r="C891" s="130"/>
      <c r="D891" s="130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</row>
    <row r="892" ht="18.75" customHeight="1">
      <c r="A892" s="170"/>
      <c r="B892" s="127"/>
      <c r="C892" s="130"/>
      <c r="D892" s="130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</row>
    <row r="893" ht="18.75" customHeight="1">
      <c r="A893" s="170"/>
      <c r="B893" s="127"/>
      <c r="C893" s="130"/>
      <c r="D893" s="130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</row>
    <row r="894" ht="18.75" customHeight="1">
      <c r="A894" s="170"/>
      <c r="B894" s="127"/>
      <c r="C894" s="130"/>
      <c r="D894" s="130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</row>
    <row r="895" ht="18.75" customHeight="1">
      <c r="A895" s="170"/>
      <c r="B895" s="127"/>
      <c r="C895" s="130"/>
      <c r="D895" s="130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</row>
    <row r="896" ht="18.75" customHeight="1">
      <c r="A896" s="170"/>
      <c r="B896" s="127"/>
      <c r="C896" s="130"/>
      <c r="D896" s="130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</row>
    <row r="897" ht="18.75" customHeight="1">
      <c r="A897" s="170"/>
      <c r="B897" s="127"/>
      <c r="C897" s="130"/>
      <c r="D897" s="130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</row>
    <row r="898" ht="18.75" customHeight="1">
      <c r="A898" s="170"/>
      <c r="B898" s="127"/>
      <c r="C898" s="130"/>
      <c r="D898" s="130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</row>
    <row r="899" ht="18.75" customHeight="1">
      <c r="A899" s="170"/>
      <c r="B899" s="127"/>
      <c r="C899" s="130"/>
      <c r="D899" s="130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</row>
    <row r="900" ht="18.75" customHeight="1">
      <c r="A900" s="170"/>
      <c r="B900" s="127"/>
      <c r="C900" s="130"/>
      <c r="D900" s="130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</row>
    <row r="901" ht="18.75" customHeight="1">
      <c r="A901" s="170"/>
      <c r="B901" s="127"/>
      <c r="C901" s="130"/>
      <c r="D901" s="130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</row>
    <row r="902" ht="18.75" customHeight="1">
      <c r="A902" s="170"/>
      <c r="B902" s="127"/>
      <c r="C902" s="130"/>
      <c r="D902" s="130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</row>
    <row r="903" ht="18.75" customHeight="1">
      <c r="A903" s="170"/>
      <c r="B903" s="127"/>
      <c r="C903" s="130"/>
      <c r="D903" s="130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</row>
    <row r="904" ht="18.75" customHeight="1">
      <c r="A904" s="170"/>
      <c r="B904" s="127"/>
      <c r="C904" s="130"/>
      <c r="D904" s="130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</row>
    <row r="905" ht="18.75" customHeight="1">
      <c r="A905" s="170"/>
      <c r="B905" s="127"/>
      <c r="C905" s="130"/>
      <c r="D905" s="130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</row>
    <row r="906" ht="18.75" customHeight="1">
      <c r="A906" s="170"/>
      <c r="B906" s="127"/>
      <c r="C906" s="130"/>
      <c r="D906" s="130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</row>
    <row r="907" ht="18.75" customHeight="1">
      <c r="A907" s="170"/>
      <c r="B907" s="127"/>
      <c r="C907" s="130"/>
      <c r="D907" s="130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</row>
    <row r="908" ht="18.75" customHeight="1">
      <c r="A908" s="170"/>
      <c r="B908" s="127"/>
      <c r="C908" s="130"/>
      <c r="D908" s="130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</row>
    <row r="909" ht="18.75" customHeight="1">
      <c r="A909" s="170"/>
      <c r="B909" s="127"/>
      <c r="C909" s="130"/>
      <c r="D909" s="130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</row>
    <row r="910" ht="18.75" customHeight="1">
      <c r="A910" s="170"/>
      <c r="B910" s="127"/>
      <c r="C910" s="130"/>
      <c r="D910" s="130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</row>
    <row r="911" ht="18.75" customHeight="1">
      <c r="A911" s="170"/>
      <c r="B911" s="127"/>
      <c r="C911" s="130"/>
      <c r="D911" s="130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</row>
    <row r="912" ht="18.75" customHeight="1">
      <c r="A912" s="170"/>
      <c r="B912" s="127"/>
      <c r="C912" s="130"/>
      <c r="D912" s="130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</row>
    <row r="913" ht="18.75" customHeight="1">
      <c r="A913" s="170"/>
      <c r="B913" s="127"/>
      <c r="C913" s="130"/>
      <c r="D913" s="130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</row>
    <row r="914" ht="18.75" customHeight="1">
      <c r="A914" s="170"/>
      <c r="B914" s="127"/>
      <c r="C914" s="130"/>
      <c r="D914" s="130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</row>
    <row r="915" ht="18.75" customHeight="1">
      <c r="A915" s="170"/>
      <c r="B915" s="127"/>
      <c r="C915" s="130"/>
      <c r="D915" s="130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</row>
    <row r="916" ht="18.75" customHeight="1">
      <c r="A916" s="170"/>
      <c r="B916" s="127"/>
      <c r="C916" s="130"/>
      <c r="D916" s="130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</row>
    <row r="917" ht="18.75" customHeight="1">
      <c r="A917" s="170"/>
      <c r="B917" s="127"/>
      <c r="C917" s="130"/>
      <c r="D917" s="130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</row>
    <row r="918" ht="18.75" customHeight="1">
      <c r="A918" s="170"/>
      <c r="B918" s="127"/>
      <c r="C918" s="130"/>
      <c r="D918" s="130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</row>
    <row r="919" ht="18.75" customHeight="1">
      <c r="A919" s="170"/>
      <c r="B919" s="127"/>
      <c r="C919" s="130"/>
      <c r="D919" s="130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</row>
    <row r="920" ht="18.75" customHeight="1">
      <c r="A920" s="170"/>
      <c r="B920" s="127"/>
      <c r="C920" s="130"/>
      <c r="D920" s="130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</row>
    <row r="921" ht="18.75" customHeight="1">
      <c r="A921" s="170"/>
      <c r="B921" s="127"/>
      <c r="C921" s="130"/>
      <c r="D921" s="130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</row>
    <row r="922" ht="18.75" customHeight="1">
      <c r="A922" s="170"/>
      <c r="B922" s="127"/>
      <c r="C922" s="130"/>
      <c r="D922" s="130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</row>
    <row r="923" ht="18.75" customHeight="1">
      <c r="A923" s="170"/>
      <c r="B923" s="127"/>
      <c r="C923" s="130"/>
      <c r="D923" s="130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</row>
    <row r="924" ht="18.75" customHeight="1">
      <c r="A924" s="170"/>
      <c r="B924" s="127"/>
      <c r="C924" s="130"/>
      <c r="D924" s="130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</row>
    <row r="925" ht="18.75" customHeight="1">
      <c r="A925" s="170"/>
      <c r="B925" s="127"/>
      <c r="C925" s="130"/>
      <c r="D925" s="130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</row>
    <row r="926" ht="18.75" customHeight="1">
      <c r="A926" s="170"/>
      <c r="B926" s="127"/>
      <c r="C926" s="130"/>
      <c r="D926" s="130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</row>
    <row r="927" ht="18.75" customHeight="1">
      <c r="A927" s="170"/>
      <c r="B927" s="127"/>
      <c r="C927" s="130"/>
      <c r="D927" s="130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</row>
    <row r="928" ht="18.75" customHeight="1">
      <c r="A928" s="170"/>
      <c r="B928" s="127"/>
      <c r="C928" s="130"/>
      <c r="D928" s="130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</row>
    <row r="929" ht="18.75" customHeight="1">
      <c r="A929" s="170"/>
      <c r="B929" s="127"/>
      <c r="C929" s="130"/>
      <c r="D929" s="130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</row>
    <row r="930" ht="18.75" customHeight="1">
      <c r="A930" s="170"/>
      <c r="B930" s="127"/>
      <c r="C930" s="130"/>
      <c r="D930" s="130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</row>
    <row r="931" ht="18.75" customHeight="1">
      <c r="A931" s="170"/>
      <c r="B931" s="127"/>
      <c r="C931" s="130"/>
      <c r="D931" s="130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</row>
    <row r="932" ht="18.75" customHeight="1">
      <c r="A932" s="170"/>
      <c r="B932" s="127"/>
      <c r="C932" s="130"/>
      <c r="D932" s="130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</row>
    <row r="933" ht="18.75" customHeight="1">
      <c r="A933" s="170"/>
      <c r="B933" s="127"/>
      <c r="C933" s="130"/>
      <c r="D933" s="130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</row>
    <row r="934" ht="18.75" customHeight="1">
      <c r="A934" s="170"/>
      <c r="B934" s="127"/>
      <c r="C934" s="130"/>
      <c r="D934" s="130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</row>
    <row r="935" ht="18.75" customHeight="1">
      <c r="A935" s="170"/>
      <c r="B935" s="127"/>
      <c r="C935" s="130"/>
      <c r="D935" s="130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</row>
    <row r="936" ht="18.75" customHeight="1">
      <c r="A936" s="170"/>
      <c r="B936" s="127"/>
      <c r="C936" s="130"/>
      <c r="D936" s="130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</row>
    <row r="937" ht="18.75" customHeight="1">
      <c r="A937" s="170"/>
      <c r="B937" s="127"/>
      <c r="C937" s="130"/>
      <c r="D937" s="130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</row>
    <row r="938" ht="18.75" customHeight="1">
      <c r="A938" s="170"/>
      <c r="B938" s="127"/>
      <c r="C938" s="130"/>
      <c r="D938" s="130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</row>
    <row r="939" ht="18.75" customHeight="1">
      <c r="A939" s="170"/>
      <c r="B939" s="127"/>
      <c r="C939" s="130"/>
      <c r="D939" s="130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</row>
    <row r="940" ht="18.75" customHeight="1">
      <c r="A940" s="170"/>
      <c r="B940" s="127"/>
      <c r="C940" s="130"/>
      <c r="D940" s="130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</row>
    <row r="941" ht="18.75" customHeight="1">
      <c r="A941" s="170"/>
      <c r="B941" s="127"/>
      <c r="C941" s="130"/>
      <c r="D941" s="130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</row>
    <row r="942" ht="18.75" customHeight="1">
      <c r="A942" s="170"/>
      <c r="B942" s="127"/>
      <c r="C942" s="130"/>
      <c r="D942" s="130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</row>
    <row r="943" ht="18.75" customHeight="1">
      <c r="A943" s="170"/>
      <c r="B943" s="127"/>
      <c r="C943" s="130"/>
      <c r="D943" s="130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</row>
    <row r="944" ht="18.75" customHeight="1">
      <c r="A944" s="170"/>
      <c r="B944" s="127"/>
      <c r="C944" s="130"/>
      <c r="D944" s="130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</row>
    <row r="945" ht="18.75" customHeight="1">
      <c r="A945" s="170"/>
      <c r="B945" s="127"/>
      <c r="C945" s="130"/>
      <c r="D945" s="130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</row>
    <row r="946" ht="18.75" customHeight="1">
      <c r="A946" s="170"/>
      <c r="B946" s="127"/>
      <c r="C946" s="130"/>
      <c r="D946" s="130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</row>
    <row r="947" ht="18.75" customHeight="1">
      <c r="A947" s="170"/>
      <c r="B947" s="127"/>
      <c r="C947" s="130"/>
      <c r="D947" s="130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</row>
    <row r="948" ht="18.75" customHeight="1">
      <c r="A948" s="170"/>
      <c r="B948" s="127"/>
      <c r="C948" s="130"/>
      <c r="D948" s="130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</row>
    <row r="949" ht="18.75" customHeight="1">
      <c r="A949" s="170"/>
      <c r="B949" s="127"/>
      <c r="C949" s="130"/>
      <c r="D949" s="130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</row>
    <row r="950" ht="18.75" customHeight="1">
      <c r="A950" s="170"/>
      <c r="B950" s="127"/>
      <c r="C950" s="130"/>
      <c r="D950" s="130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</row>
    <row r="951" ht="18.75" customHeight="1">
      <c r="A951" s="170"/>
      <c r="B951" s="127"/>
      <c r="C951" s="130"/>
      <c r="D951" s="130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</row>
    <row r="952" ht="18.75" customHeight="1">
      <c r="A952" s="170"/>
      <c r="B952" s="127"/>
      <c r="C952" s="130"/>
      <c r="D952" s="130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</row>
    <row r="953" ht="18.75" customHeight="1">
      <c r="A953" s="170"/>
      <c r="B953" s="127"/>
      <c r="C953" s="130"/>
      <c r="D953" s="130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</row>
    <row r="954" ht="18.75" customHeight="1">
      <c r="A954" s="170"/>
      <c r="B954" s="127"/>
      <c r="C954" s="130"/>
      <c r="D954" s="130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</row>
    <row r="955" ht="18.75" customHeight="1">
      <c r="A955" s="170"/>
      <c r="B955" s="127"/>
      <c r="C955" s="130"/>
      <c r="D955" s="130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</row>
    <row r="956" ht="18.75" customHeight="1">
      <c r="A956" s="170"/>
      <c r="B956" s="127"/>
      <c r="C956" s="130"/>
      <c r="D956" s="130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</row>
    <row r="957" ht="18.75" customHeight="1">
      <c r="A957" s="170"/>
      <c r="B957" s="127"/>
      <c r="C957" s="130"/>
      <c r="D957" s="130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</row>
    <row r="958" ht="18.75" customHeight="1">
      <c r="A958" s="170"/>
      <c r="B958" s="127"/>
      <c r="C958" s="130"/>
      <c r="D958" s="130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</row>
    <row r="959" ht="18.75" customHeight="1">
      <c r="A959" s="170"/>
      <c r="B959" s="127"/>
      <c r="C959" s="130"/>
      <c r="D959" s="130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</row>
    <row r="960" ht="18.75" customHeight="1">
      <c r="A960" s="170"/>
      <c r="B960" s="127"/>
      <c r="C960" s="130"/>
      <c r="D960" s="130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</row>
    <row r="961" ht="18.75" customHeight="1">
      <c r="A961" s="170"/>
      <c r="B961" s="127"/>
      <c r="C961" s="130"/>
      <c r="D961" s="130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</row>
    <row r="962" ht="18.75" customHeight="1">
      <c r="A962" s="170"/>
      <c r="B962" s="127"/>
      <c r="C962" s="130"/>
      <c r="D962" s="130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</row>
    <row r="963" ht="18.75" customHeight="1">
      <c r="A963" s="170"/>
      <c r="B963" s="127"/>
      <c r="C963" s="130"/>
      <c r="D963" s="130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</row>
    <row r="964" ht="18.75" customHeight="1">
      <c r="A964" s="170"/>
      <c r="B964" s="127"/>
      <c r="C964" s="130"/>
      <c r="D964" s="130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</row>
    <row r="965" ht="18.75" customHeight="1">
      <c r="A965" s="170"/>
      <c r="B965" s="127"/>
      <c r="C965" s="130"/>
      <c r="D965" s="130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</row>
    <row r="966" ht="18.75" customHeight="1">
      <c r="A966" s="170"/>
      <c r="B966" s="127"/>
      <c r="C966" s="130"/>
      <c r="D966" s="130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</row>
    <row r="967" ht="18.75" customHeight="1">
      <c r="A967" s="170"/>
      <c r="B967" s="127"/>
      <c r="C967" s="130"/>
      <c r="D967" s="130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</row>
    <row r="968" ht="18.75" customHeight="1">
      <c r="A968" s="170"/>
      <c r="B968" s="127"/>
      <c r="C968" s="130"/>
      <c r="D968" s="130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</row>
    <row r="969" ht="18.75" customHeight="1">
      <c r="A969" s="170"/>
      <c r="B969" s="127"/>
      <c r="C969" s="130"/>
      <c r="D969" s="130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</row>
    <row r="970" ht="18.75" customHeight="1">
      <c r="A970" s="170"/>
      <c r="B970" s="127"/>
      <c r="C970" s="130"/>
      <c r="D970" s="130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</row>
    <row r="971" ht="18.75" customHeight="1">
      <c r="A971" s="170"/>
      <c r="B971" s="127"/>
      <c r="C971" s="130"/>
      <c r="D971" s="130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</row>
    <row r="972" ht="18.75" customHeight="1">
      <c r="A972" s="170"/>
      <c r="B972" s="127"/>
      <c r="C972" s="130"/>
      <c r="D972" s="130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</row>
    <row r="973" ht="18.75" customHeight="1">
      <c r="A973" s="170"/>
      <c r="B973" s="127"/>
      <c r="C973" s="130"/>
      <c r="D973" s="130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</row>
    <row r="974" ht="18.75" customHeight="1">
      <c r="A974" s="170"/>
      <c r="B974" s="127"/>
      <c r="C974" s="130"/>
      <c r="D974" s="130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</row>
    <row r="975" ht="18.75" customHeight="1">
      <c r="A975" s="170"/>
      <c r="B975" s="127"/>
      <c r="C975" s="130"/>
      <c r="D975" s="130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</row>
    <row r="976" ht="18.75" customHeight="1">
      <c r="A976" s="170"/>
      <c r="B976" s="127"/>
      <c r="C976" s="130"/>
      <c r="D976" s="130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</row>
    <row r="977" ht="18.75" customHeight="1">
      <c r="A977" s="170"/>
      <c r="B977" s="127"/>
      <c r="C977" s="130"/>
      <c r="D977" s="130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</row>
    <row r="978" ht="18.75" customHeight="1">
      <c r="A978" s="170"/>
      <c r="B978" s="127"/>
      <c r="C978" s="130"/>
      <c r="D978" s="130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</row>
    <row r="979" ht="18.75" customHeight="1">
      <c r="A979" s="170"/>
      <c r="B979" s="127"/>
      <c r="C979" s="130"/>
      <c r="D979" s="130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</row>
    <row r="980" ht="18.75" customHeight="1">
      <c r="A980" s="170"/>
      <c r="B980" s="127"/>
      <c r="C980" s="130"/>
      <c r="D980" s="130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</row>
    <row r="981" ht="18.75" customHeight="1">
      <c r="A981" s="170"/>
      <c r="B981" s="127"/>
      <c r="C981" s="130"/>
      <c r="D981" s="130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</row>
    <row r="982" ht="18.75" customHeight="1">
      <c r="A982" s="170"/>
      <c r="B982" s="127"/>
      <c r="C982" s="130"/>
      <c r="D982" s="130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</row>
    <row r="983" ht="18.75" customHeight="1">
      <c r="A983" s="170"/>
      <c r="B983" s="127"/>
      <c r="C983" s="130"/>
      <c r="D983" s="130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</row>
    <row r="984" ht="18.75" customHeight="1">
      <c r="A984" s="170"/>
      <c r="B984" s="127"/>
      <c r="C984" s="130"/>
      <c r="D984" s="130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</row>
    <row r="985" ht="18.75" customHeight="1">
      <c r="A985" s="170"/>
      <c r="B985" s="127"/>
      <c r="C985" s="130"/>
      <c r="D985" s="130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</row>
    <row r="986" ht="18.75" customHeight="1">
      <c r="A986" s="170"/>
      <c r="B986" s="127"/>
      <c r="C986" s="130"/>
      <c r="D986" s="130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</row>
    <row r="987" ht="18.75" customHeight="1">
      <c r="A987" s="170"/>
      <c r="B987" s="127"/>
      <c r="C987" s="130"/>
      <c r="D987" s="130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</row>
    <row r="988" ht="18.75" customHeight="1">
      <c r="A988" s="170"/>
      <c r="B988" s="127"/>
      <c r="C988" s="130"/>
      <c r="D988" s="130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</row>
    <row r="989" ht="18.75" customHeight="1">
      <c r="A989" s="170"/>
      <c r="B989" s="127"/>
      <c r="C989" s="130"/>
      <c r="D989" s="130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</row>
    <row r="990" ht="18.75" customHeight="1">
      <c r="A990" s="170"/>
      <c r="B990" s="127"/>
      <c r="C990" s="130"/>
      <c r="D990" s="130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</row>
    <row r="991" ht="18.75" customHeight="1">
      <c r="A991" s="170"/>
      <c r="B991" s="127"/>
      <c r="C991" s="130"/>
      <c r="D991" s="130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</row>
    <row r="992" ht="18.75" customHeight="1">
      <c r="A992" s="170"/>
      <c r="B992" s="127"/>
      <c r="C992" s="130"/>
      <c r="D992" s="130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</row>
    <row r="993" ht="18.75" customHeight="1">
      <c r="A993" s="170"/>
      <c r="B993" s="127"/>
      <c r="C993" s="130"/>
      <c r="D993" s="130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</row>
    <row r="994" ht="18.75" customHeight="1">
      <c r="A994" s="170"/>
      <c r="B994" s="127"/>
      <c r="C994" s="130"/>
      <c r="D994" s="130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</row>
    <row r="995" ht="18.75" customHeight="1">
      <c r="A995" s="170"/>
      <c r="B995" s="127"/>
      <c r="C995" s="130"/>
      <c r="D995" s="130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</row>
    <row r="996" ht="18.75" customHeight="1">
      <c r="A996" s="170"/>
      <c r="B996" s="127"/>
      <c r="C996" s="130"/>
      <c r="D996" s="130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</row>
    <row r="997" ht="18.75" customHeight="1">
      <c r="A997" s="170"/>
      <c r="B997" s="127"/>
      <c r="C997" s="130"/>
      <c r="D997" s="130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</row>
    <row r="998" ht="18.75" customHeight="1">
      <c r="A998" s="170"/>
      <c r="B998" s="127"/>
      <c r="C998" s="130"/>
      <c r="D998" s="130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</row>
    <row r="999" ht="18.75" customHeight="1">
      <c r="A999" s="170"/>
      <c r="B999" s="127"/>
      <c r="C999" s="130"/>
      <c r="D999" s="130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</row>
    <row r="1000" ht="18.75" customHeight="1">
      <c r="A1000" s="170"/>
      <c r="B1000" s="127"/>
      <c r="C1000" s="130"/>
      <c r="D1000" s="130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</row>
    <row r="1001" ht="18.75" customHeight="1">
      <c r="A1001" s="170"/>
      <c r="B1001" s="127"/>
      <c r="C1001" s="130"/>
      <c r="D1001" s="130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</row>
    <row r="1002" ht="18.75" customHeight="1">
      <c r="A1002" s="170"/>
      <c r="B1002" s="127"/>
      <c r="C1002" s="130"/>
      <c r="D1002" s="130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</row>
    <row r="1003" ht="18.75" customHeight="1">
      <c r="A1003" s="170"/>
      <c r="B1003" s="127"/>
      <c r="C1003" s="130"/>
      <c r="D1003" s="130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</row>
    <row r="1004" ht="18.75" customHeight="1">
      <c r="A1004" s="170"/>
      <c r="B1004" s="127"/>
      <c r="C1004" s="130"/>
      <c r="D1004" s="130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</row>
    <row r="1005" ht="18.75" customHeight="1">
      <c r="A1005" s="170"/>
      <c r="B1005" s="127"/>
      <c r="C1005" s="130"/>
      <c r="D1005" s="130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</row>
    <row r="1006" ht="18.75" customHeight="1">
      <c r="A1006" s="170"/>
      <c r="B1006" s="127"/>
      <c r="C1006" s="130"/>
      <c r="D1006" s="130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</row>
    <row r="1007" ht="18.75" customHeight="1">
      <c r="A1007" s="170"/>
      <c r="B1007" s="127"/>
      <c r="C1007" s="130"/>
      <c r="D1007" s="130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</row>
    <row r="1008" ht="18.75" customHeight="1">
      <c r="A1008" s="170"/>
      <c r="B1008" s="127"/>
      <c r="C1008" s="130"/>
      <c r="D1008" s="130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</row>
    <row r="1009" ht="18.75" customHeight="1">
      <c r="A1009" s="170"/>
      <c r="B1009" s="127"/>
      <c r="C1009" s="130"/>
      <c r="D1009" s="130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</row>
    <row r="1010" ht="18.75" customHeight="1">
      <c r="A1010" s="170"/>
      <c r="B1010" s="127"/>
      <c r="C1010" s="130"/>
      <c r="D1010" s="130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</row>
  </sheetData>
  <autoFilter ref="$B$1:$D$61">
    <sortState ref="B1:D61">
      <sortCondition ref="C1:C61"/>
    </sortState>
  </autoFilter>
  <mergeCells count="91">
    <mergeCell ref="E1:S1"/>
    <mergeCell ref="B2:B3"/>
    <mergeCell ref="C2:C3"/>
    <mergeCell ref="D2:D3"/>
    <mergeCell ref="B4:B5"/>
    <mergeCell ref="C4:C5"/>
    <mergeCell ref="D4:D5"/>
    <mergeCell ref="C10:C11"/>
    <mergeCell ref="D10:D11"/>
    <mergeCell ref="B6:B7"/>
    <mergeCell ref="C6:C7"/>
    <mergeCell ref="D6:D7"/>
    <mergeCell ref="B8:B9"/>
    <mergeCell ref="C8:C9"/>
    <mergeCell ref="D8:D9"/>
    <mergeCell ref="B10:B11"/>
    <mergeCell ref="C16:C17"/>
    <mergeCell ref="D16:D17"/>
    <mergeCell ref="B12:B13"/>
    <mergeCell ref="C12:C13"/>
    <mergeCell ref="D12:D13"/>
    <mergeCell ref="B14:B15"/>
    <mergeCell ref="C14:C15"/>
    <mergeCell ref="D14:D15"/>
    <mergeCell ref="B16:B17"/>
    <mergeCell ref="C22:C23"/>
    <mergeCell ref="D22:D23"/>
    <mergeCell ref="B18:B19"/>
    <mergeCell ref="C18:C19"/>
    <mergeCell ref="D18:D19"/>
    <mergeCell ref="B20:B21"/>
    <mergeCell ref="C20:C21"/>
    <mergeCell ref="D20:D21"/>
    <mergeCell ref="B22:B23"/>
    <mergeCell ref="C46:C47"/>
    <mergeCell ref="D46:D47"/>
    <mergeCell ref="B42:B43"/>
    <mergeCell ref="C42:C43"/>
    <mergeCell ref="D42:D43"/>
    <mergeCell ref="B44:B45"/>
    <mergeCell ref="C44:C45"/>
    <mergeCell ref="D44:D45"/>
    <mergeCell ref="B46:B47"/>
    <mergeCell ref="C52:C53"/>
    <mergeCell ref="D52:D53"/>
    <mergeCell ref="B48:B49"/>
    <mergeCell ref="C48:C49"/>
    <mergeCell ref="D48:D49"/>
    <mergeCell ref="B50:B51"/>
    <mergeCell ref="C50:C51"/>
    <mergeCell ref="D50:D51"/>
    <mergeCell ref="B52:B53"/>
    <mergeCell ref="C58:C59"/>
    <mergeCell ref="D58:D59"/>
    <mergeCell ref="B54:B55"/>
    <mergeCell ref="C54:C55"/>
    <mergeCell ref="D54:D55"/>
    <mergeCell ref="B56:B57"/>
    <mergeCell ref="C56:C57"/>
    <mergeCell ref="D56:D57"/>
    <mergeCell ref="B58:B59"/>
    <mergeCell ref="C28:C29"/>
    <mergeCell ref="D28:D29"/>
    <mergeCell ref="B24:B25"/>
    <mergeCell ref="C24:C25"/>
    <mergeCell ref="D24:D25"/>
    <mergeCell ref="B26:B27"/>
    <mergeCell ref="C26:C27"/>
    <mergeCell ref="D26:D27"/>
    <mergeCell ref="B28:B29"/>
    <mergeCell ref="C34:C35"/>
    <mergeCell ref="D34:D35"/>
    <mergeCell ref="B30:B31"/>
    <mergeCell ref="C30:C31"/>
    <mergeCell ref="D30:D31"/>
    <mergeCell ref="B32:B33"/>
    <mergeCell ref="C32:C33"/>
    <mergeCell ref="D32:D33"/>
    <mergeCell ref="B34:B35"/>
    <mergeCell ref="C40:C41"/>
    <mergeCell ref="D40:D41"/>
    <mergeCell ref="B36:B37"/>
    <mergeCell ref="C36:C37"/>
    <mergeCell ref="D36:D37"/>
    <mergeCell ref="B38:B39"/>
    <mergeCell ref="C38:C39"/>
    <mergeCell ref="D38:D39"/>
    <mergeCell ref="B40:B41"/>
    <mergeCell ref="B60:B61"/>
    <mergeCell ref="C60:C61"/>
    <mergeCell ref="D60:D61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1" t="s">
        <v>0</v>
      </c>
      <c r="B1" s="2" t="s">
        <v>1</v>
      </c>
      <c r="C1" s="1" t="s">
        <v>2</v>
      </c>
    </row>
    <row r="2">
      <c r="A2" s="1" t="s">
        <v>0</v>
      </c>
      <c r="B2" s="2" t="s">
        <v>3</v>
      </c>
      <c r="C2" s="1" t="s">
        <v>4</v>
      </c>
    </row>
    <row r="3">
      <c r="A3" s="1" t="s">
        <v>0</v>
      </c>
      <c r="B3" s="2" t="s">
        <v>5</v>
      </c>
      <c r="C3" s="1" t="s">
        <v>6</v>
      </c>
    </row>
    <row r="4">
      <c r="A4" s="1" t="s">
        <v>0</v>
      </c>
      <c r="B4" s="2" t="s">
        <v>7</v>
      </c>
      <c r="C4" s="1" t="s">
        <v>8</v>
      </c>
    </row>
    <row r="5">
      <c r="A5" s="1" t="s">
        <v>0</v>
      </c>
      <c r="B5" s="2" t="s">
        <v>9</v>
      </c>
      <c r="C5" s="1" t="s">
        <v>10</v>
      </c>
    </row>
    <row r="6">
      <c r="A6" s="1" t="s">
        <v>0</v>
      </c>
      <c r="B6" s="2" t="s">
        <v>11</v>
      </c>
      <c r="C6" s="1" t="s">
        <v>13</v>
      </c>
    </row>
    <row r="7">
      <c r="A7" s="1" t="s">
        <v>0</v>
      </c>
      <c r="B7" s="2" t="s">
        <v>14</v>
      </c>
      <c r="C7" s="1" t="s">
        <v>2</v>
      </c>
    </row>
    <row r="8">
      <c r="A8" s="1" t="s">
        <v>0</v>
      </c>
      <c r="B8" s="2" t="s">
        <v>15</v>
      </c>
      <c r="C8" s="1" t="s">
        <v>2</v>
      </c>
    </row>
    <row r="9">
      <c r="A9" s="1" t="s">
        <v>0</v>
      </c>
      <c r="B9" s="2" t="s">
        <v>16</v>
      </c>
      <c r="C9" s="1" t="s">
        <v>4</v>
      </c>
    </row>
    <row r="10">
      <c r="A10" s="1" t="s">
        <v>0</v>
      </c>
      <c r="B10" s="2" t="s">
        <v>17</v>
      </c>
      <c r="C10" s="1" t="s">
        <v>18</v>
      </c>
    </row>
    <row r="11">
      <c r="A11" s="1" t="s">
        <v>0</v>
      </c>
      <c r="B11" s="2" t="s">
        <v>19</v>
      </c>
      <c r="C11" s="1" t="s">
        <v>18</v>
      </c>
    </row>
    <row r="12">
      <c r="A12" s="1" t="s">
        <v>0</v>
      </c>
      <c r="B12" s="2" t="s">
        <v>14</v>
      </c>
      <c r="C12" s="1" t="s">
        <v>2</v>
      </c>
    </row>
    <row r="13">
      <c r="A13" s="1" t="s">
        <v>0</v>
      </c>
      <c r="B13" s="2" t="s">
        <v>15</v>
      </c>
      <c r="C13" s="1" t="s">
        <v>2</v>
      </c>
    </row>
    <row r="14">
      <c r="A14" s="1" t="s">
        <v>0</v>
      </c>
      <c r="B14" s="2" t="s">
        <v>7</v>
      </c>
      <c r="C14" s="1" t="s">
        <v>8</v>
      </c>
    </row>
    <row r="15">
      <c r="A15" s="1" t="s">
        <v>0</v>
      </c>
      <c r="B15" s="2" t="s">
        <v>21</v>
      </c>
      <c r="C15" s="1" t="s">
        <v>4</v>
      </c>
    </row>
    <row r="16">
      <c r="A16" s="1" t="s">
        <v>0</v>
      </c>
      <c r="B16" s="2" t="s">
        <v>9</v>
      </c>
      <c r="C16" s="1" t="s">
        <v>22</v>
      </c>
    </row>
    <row r="17">
      <c r="B17" s="5"/>
    </row>
    <row r="18">
      <c r="B18" s="5"/>
    </row>
    <row r="19">
      <c r="A19" s="1" t="s">
        <v>24</v>
      </c>
      <c r="B19" s="2" t="s">
        <v>25</v>
      </c>
      <c r="C19" s="7">
        <v>45097.0</v>
      </c>
      <c r="D19" s="1" t="s">
        <v>28</v>
      </c>
    </row>
    <row r="20">
      <c r="A20" s="1" t="s">
        <v>24</v>
      </c>
      <c r="B20" s="2" t="s">
        <v>29</v>
      </c>
      <c r="C20" s="7">
        <v>45097.0</v>
      </c>
      <c r="D20" s="1" t="s">
        <v>28</v>
      </c>
    </row>
    <row r="21">
      <c r="A21" s="1" t="s">
        <v>24</v>
      </c>
      <c r="B21" s="2" t="s">
        <v>30</v>
      </c>
      <c r="C21" s="7">
        <v>45097.0</v>
      </c>
      <c r="D21" s="1" t="s">
        <v>28</v>
      </c>
    </row>
    <row r="22">
      <c r="A22" s="1" t="s">
        <v>24</v>
      </c>
      <c r="B22" s="2" t="s">
        <v>31</v>
      </c>
      <c r="C22" s="7">
        <v>45399.0</v>
      </c>
      <c r="D22" s="1" t="s">
        <v>32</v>
      </c>
    </row>
    <row r="23">
      <c r="A23" s="1" t="s">
        <v>24</v>
      </c>
      <c r="B23" s="2" t="s">
        <v>33</v>
      </c>
      <c r="C23" s="7">
        <v>45566.0</v>
      </c>
      <c r="D23" s="1" t="s">
        <v>32</v>
      </c>
    </row>
    <row r="24">
      <c r="A24" s="1" t="s">
        <v>24</v>
      </c>
      <c r="B24" s="2" t="s">
        <v>34</v>
      </c>
      <c r="C24" s="7">
        <v>45559.0</v>
      </c>
      <c r="D24" s="1" t="s">
        <v>35</v>
      </c>
    </row>
    <row r="25">
      <c r="A25" s="1" t="s">
        <v>24</v>
      </c>
      <c r="B25" s="2" t="s">
        <v>36</v>
      </c>
      <c r="C25" s="12">
        <v>45593.0</v>
      </c>
      <c r="D25" s="1" t="s">
        <v>35</v>
      </c>
    </row>
    <row r="26">
      <c r="A26" s="1" t="s">
        <v>24</v>
      </c>
      <c r="B26" s="2" t="s">
        <v>37</v>
      </c>
      <c r="C26" s="7">
        <v>45736.0</v>
      </c>
      <c r="D26" s="1" t="s">
        <v>35</v>
      </c>
    </row>
    <row r="27">
      <c r="A27" s="1" t="s">
        <v>24</v>
      </c>
      <c r="B27" s="2" t="s">
        <v>33</v>
      </c>
      <c r="C27" s="7">
        <v>45566.0</v>
      </c>
      <c r="D27" s="1" t="s">
        <v>32</v>
      </c>
    </row>
    <row r="28">
      <c r="A28" s="1" t="s">
        <v>24</v>
      </c>
      <c r="B28" s="2" t="s">
        <v>25</v>
      </c>
      <c r="C28" s="7">
        <v>45097.0</v>
      </c>
      <c r="D28" s="1" t="s">
        <v>28</v>
      </c>
    </row>
    <row r="29">
      <c r="B29" s="5"/>
    </row>
    <row r="30">
      <c r="A30" s="1" t="s">
        <v>39</v>
      </c>
      <c r="B30" s="2" t="s">
        <v>41</v>
      </c>
      <c r="C30" s="7">
        <v>45261.0</v>
      </c>
      <c r="D30" s="1" t="s">
        <v>42</v>
      </c>
    </row>
    <row r="31">
      <c r="B31" s="5"/>
    </row>
    <row r="32">
      <c r="A32" s="1" t="s">
        <v>43</v>
      </c>
      <c r="B32" s="2" t="s">
        <v>44</v>
      </c>
      <c r="C32" s="7">
        <v>44256.0</v>
      </c>
      <c r="D32" s="1" t="s">
        <v>45</v>
      </c>
    </row>
    <row r="33">
      <c r="A33" s="1" t="s">
        <v>43</v>
      </c>
      <c r="B33" s="2" t="s">
        <v>46</v>
      </c>
      <c r="C33" s="12">
        <v>44496.0</v>
      </c>
      <c r="D33" s="1" t="s">
        <v>47</v>
      </c>
    </row>
    <row r="34">
      <c r="A34" s="1" t="s">
        <v>43</v>
      </c>
      <c r="B34" s="2" t="s">
        <v>48</v>
      </c>
      <c r="C34" s="12">
        <v>44496.0</v>
      </c>
      <c r="D34" s="1" t="s">
        <v>47</v>
      </c>
    </row>
    <row r="35">
      <c r="A35" s="1" t="s">
        <v>43</v>
      </c>
      <c r="B35" s="2" t="s">
        <v>49</v>
      </c>
      <c r="C35" s="7">
        <v>44711.0</v>
      </c>
      <c r="D35" s="1" t="s">
        <v>50</v>
      </c>
    </row>
    <row r="36">
      <c r="A36" s="1" t="s">
        <v>43</v>
      </c>
      <c r="B36" s="2" t="s">
        <v>51</v>
      </c>
      <c r="C36" s="7">
        <v>45146.0</v>
      </c>
      <c r="D36" s="1" t="s">
        <v>45</v>
      </c>
    </row>
    <row r="37">
      <c r="A37" s="1" t="s">
        <v>43</v>
      </c>
      <c r="B37" s="2" t="s">
        <v>52</v>
      </c>
      <c r="C37" s="7">
        <v>45390.0</v>
      </c>
      <c r="D37" s="1" t="s">
        <v>45</v>
      </c>
    </row>
    <row r="38">
      <c r="A38" s="1" t="s">
        <v>43</v>
      </c>
      <c r="B38" s="2" t="s">
        <v>53</v>
      </c>
      <c r="C38" s="7">
        <v>45016.0</v>
      </c>
      <c r="D38" s="1" t="s">
        <v>54</v>
      </c>
    </row>
    <row r="39">
      <c r="A39" s="1" t="s">
        <v>43</v>
      </c>
      <c r="B39" s="2" t="s">
        <v>55</v>
      </c>
      <c r="C39" s="12">
        <v>45285.0</v>
      </c>
      <c r="D39" s="1" t="s">
        <v>45</v>
      </c>
    </row>
    <row r="40">
      <c r="A40" s="1" t="s">
        <v>43</v>
      </c>
      <c r="B40" s="2" t="s">
        <v>56</v>
      </c>
      <c r="C40" s="12">
        <v>45275.0</v>
      </c>
      <c r="D40" s="1" t="s">
        <v>57</v>
      </c>
    </row>
    <row r="41">
      <c r="A41" s="1" t="s">
        <v>43</v>
      </c>
      <c r="B41" s="2" t="s">
        <v>58</v>
      </c>
      <c r="C41" s="7">
        <v>45365.0</v>
      </c>
      <c r="D41" s="1" t="s">
        <v>45</v>
      </c>
    </row>
    <row r="42">
      <c r="A42" s="1" t="s">
        <v>43</v>
      </c>
      <c r="B42" s="2" t="s">
        <v>59</v>
      </c>
      <c r="C42" s="7">
        <v>45392.0</v>
      </c>
      <c r="D42" s="1" t="s">
        <v>45</v>
      </c>
    </row>
    <row r="43">
      <c r="A43" s="1" t="s">
        <v>43</v>
      </c>
      <c r="B43" s="2" t="s">
        <v>60</v>
      </c>
      <c r="C43" s="7">
        <v>45442.0</v>
      </c>
      <c r="D43" s="1" t="s">
        <v>45</v>
      </c>
    </row>
    <row r="44">
      <c r="A44" s="1" t="s">
        <v>43</v>
      </c>
      <c r="B44" s="2" t="s">
        <v>61</v>
      </c>
      <c r="C44" s="7">
        <v>45538.0</v>
      </c>
      <c r="D44" s="1" t="s">
        <v>45</v>
      </c>
    </row>
    <row r="45">
      <c r="A45" s="1" t="s">
        <v>43</v>
      </c>
      <c r="B45" s="2" t="s">
        <v>62</v>
      </c>
      <c r="C45" s="12">
        <v>45575.0</v>
      </c>
      <c r="D45" s="1" t="s">
        <v>45</v>
      </c>
    </row>
    <row r="46">
      <c r="A46" s="1" t="s">
        <v>43</v>
      </c>
      <c r="B46" s="2" t="s">
        <v>63</v>
      </c>
      <c r="C46" s="12">
        <v>45586.0</v>
      </c>
      <c r="D46" s="1" t="s">
        <v>64</v>
      </c>
    </row>
    <row r="47">
      <c r="A47" s="1" t="s">
        <v>43</v>
      </c>
      <c r="B47" s="2" t="s">
        <v>65</v>
      </c>
      <c r="C47" s="7">
        <v>45782.0</v>
      </c>
      <c r="D47" s="1" t="s">
        <v>45</v>
      </c>
    </row>
    <row r="48">
      <c r="A48" s="1" t="s">
        <v>43</v>
      </c>
      <c r="B48" s="2" t="s">
        <v>67</v>
      </c>
      <c r="C48" s="7">
        <v>45813.0</v>
      </c>
      <c r="D48" s="1" t="s">
        <v>45</v>
      </c>
    </row>
    <row r="49">
      <c r="A49" s="1" t="s">
        <v>43</v>
      </c>
      <c r="B49" s="2" t="s">
        <v>68</v>
      </c>
      <c r="C49" s="7">
        <v>45867.0</v>
      </c>
      <c r="D49" s="1" t="s">
        <v>45</v>
      </c>
    </row>
    <row r="50">
      <c r="A50" s="1" t="s">
        <v>43</v>
      </c>
      <c r="B50" s="2" t="s">
        <v>69</v>
      </c>
      <c r="C50" s="12">
        <v>45953.0</v>
      </c>
      <c r="D50" s="1" t="s">
        <v>70</v>
      </c>
    </row>
    <row r="51">
      <c r="A51" s="1" t="s">
        <v>43</v>
      </c>
      <c r="B51" s="2" t="s">
        <v>72</v>
      </c>
      <c r="C51" s="7">
        <v>46092.0</v>
      </c>
      <c r="D51" s="1" t="s">
        <v>45</v>
      </c>
    </row>
    <row r="52">
      <c r="A52" s="1" t="s">
        <v>43</v>
      </c>
      <c r="B52" s="2" t="s">
        <v>62</v>
      </c>
      <c r="C52" s="12">
        <v>45575.0</v>
      </c>
      <c r="D52" s="1" t="s">
        <v>45</v>
      </c>
    </row>
    <row r="53">
      <c r="A53" s="1" t="s">
        <v>43</v>
      </c>
      <c r="B53" s="2" t="s">
        <v>60</v>
      </c>
      <c r="C53" s="7">
        <v>45442.0</v>
      </c>
      <c r="D53" s="1" t="s">
        <v>45</v>
      </c>
    </row>
    <row r="54">
      <c r="A54" s="1" t="s">
        <v>43</v>
      </c>
      <c r="B54" s="2" t="s">
        <v>65</v>
      </c>
      <c r="C54" s="7">
        <v>45782.0</v>
      </c>
      <c r="D54" s="1" t="s">
        <v>45</v>
      </c>
    </row>
    <row r="55">
      <c r="A55" s="1" t="s">
        <v>43</v>
      </c>
      <c r="B55" s="2" t="s">
        <v>68</v>
      </c>
      <c r="C55" s="7">
        <v>45867.0</v>
      </c>
      <c r="D55" s="1" t="s">
        <v>45</v>
      </c>
    </row>
    <row r="56">
      <c r="A56" s="1" t="s">
        <v>43</v>
      </c>
      <c r="B56" s="2" t="s">
        <v>61</v>
      </c>
      <c r="C56" s="7">
        <v>45538.0</v>
      </c>
      <c r="D56" s="1" t="s">
        <v>45</v>
      </c>
    </row>
    <row r="57">
      <c r="B57" s="5"/>
    </row>
    <row r="58">
      <c r="B58" s="5"/>
    </row>
    <row r="59">
      <c r="A59" s="1" t="s">
        <v>74</v>
      </c>
      <c r="B59" s="2" t="s">
        <v>75</v>
      </c>
      <c r="C59" s="7">
        <v>45047.0</v>
      </c>
      <c r="D59" s="1" t="s">
        <v>76</v>
      </c>
    </row>
    <row r="60">
      <c r="A60" s="1" t="s">
        <v>74</v>
      </c>
      <c r="B60" s="2" t="s">
        <v>77</v>
      </c>
      <c r="C60" s="7">
        <v>45056.0</v>
      </c>
      <c r="D60" s="1" t="s">
        <v>76</v>
      </c>
    </row>
    <row r="61">
      <c r="A61" s="1" t="s">
        <v>74</v>
      </c>
      <c r="B61" s="2" t="s">
        <v>78</v>
      </c>
      <c r="C61" s="7">
        <v>44986.0</v>
      </c>
      <c r="D61" s="1" t="s">
        <v>76</v>
      </c>
    </row>
    <row r="62">
      <c r="A62" s="1" t="s">
        <v>74</v>
      </c>
      <c r="B62" s="2" t="s">
        <v>79</v>
      </c>
      <c r="C62" s="7">
        <v>45078.0</v>
      </c>
      <c r="D62" s="1" t="s">
        <v>76</v>
      </c>
    </row>
    <row r="63">
      <c r="A63" s="1" t="s">
        <v>74</v>
      </c>
      <c r="B63" s="2" t="s">
        <v>80</v>
      </c>
      <c r="C63" s="7">
        <v>45159.0</v>
      </c>
      <c r="D63" s="1" t="s">
        <v>76</v>
      </c>
    </row>
    <row r="64">
      <c r="A64" s="1" t="s">
        <v>74</v>
      </c>
      <c r="B64" s="2" t="s">
        <v>81</v>
      </c>
      <c r="C64" s="7">
        <v>45313.0</v>
      </c>
      <c r="D64" s="1" t="s">
        <v>76</v>
      </c>
    </row>
    <row r="65">
      <c r="A65" s="1" t="s">
        <v>74</v>
      </c>
      <c r="B65" s="2" t="s">
        <v>78</v>
      </c>
      <c r="C65" s="7">
        <v>44986.0</v>
      </c>
      <c r="D65" s="1" t="s">
        <v>76</v>
      </c>
    </row>
    <row r="66">
      <c r="B66" s="5"/>
    </row>
    <row r="67">
      <c r="A67" s="1" t="s">
        <v>82</v>
      </c>
      <c r="B67" s="2" t="s">
        <v>83</v>
      </c>
      <c r="C67" s="7">
        <v>46105.0</v>
      </c>
      <c r="D67" s="1" t="s">
        <v>84</v>
      </c>
    </row>
    <row r="68">
      <c r="B68" s="5"/>
    </row>
    <row r="69">
      <c r="A69" s="1" t="s">
        <v>85</v>
      </c>
      <c r="B69" s="2" t="s">
        <v>86</v>
      </c>
      <c r="C69" s="7">
        <v>44601.0</v>
      </c>
      <c r="D69" s="1" t="s">
        <v>87</v>
      </c>
    </row>
    <row r="70">
      <c r="A70" s="1" t="s">
        <v>85</v>
      </c>
      <c r="B70" s="2" t="s">
        <v>88</v>
      </c>
      <c r="C70" s="7">
        <v>44614.0</v>
      </c>
      <c r="D70" s="1" t="s">
        <v>87</v>
      </c>
    </row>
    <row r="71">
      <c r="A71" s="1" t="s">
        <v>85</v>
      </c>
      <c r="B71" s="2" t="s">
        <v>89</v>
      </c>
      <c r="C71" s="12">
        <v>44876.0</v>
      </c>
      <c r="D71" s="1" t="s">
        <v>90</v>
      </c>
    </row>
    <row r="72">
      <c r="A72" s="1" t="s">
        <v>85</v>
      </c>
      <c r="B72" s="2" t="s">
        <v>91</v>
      </c>
      <c r="C72" s="12">
        <v>44921.0</v>
      </c>
      <c r="D72" s="1" t="s">
        <v>93</v>
      </c>
    </row>
    <row r="73">
      <c r="A73" s="1" t="s">
        <v>85</v>
      </c>
      <c r="B73" s="2" t="s">
        <v>94</v>
      </c>
      <c r="C73" s="7">
        <v>45019.0</v>
      </c>
      <c r="D73" s="1" t="s">
        <v>95</v>
      </c>
    </row>
    <row r="74">
      <c r="A74" s="1" t="s">
        <v>85</v>
      </c>
      <c r="B74" s="2" t="s">
        <v>96</v>
      </c>
      <c r="C74" s="7">
        <v>45005.0</v>
      </c>
      <c r="D74" s="1" t="s">
        <v>95</v>
      </c>
    </row>
    <row r="75">
      <c r="A75" s="1" t="s">
        <v>85</v>
      </c>
      <c r="B75" s="2" t="s">
        <v>99</v>
      </c>
      <c r="C75" s="7">
        <v>45009.0</v>
      </c>
      <c r="D75" s="1" t="s">
        <v>100</v>
      </c>
    </row>
    <row r="76">
      <c r="A76" s="1" t="s">
        <v>85</v>
      </c>
      <c r="B76" s="2" t="s">
        <v>101</v>
      </c>
      <c r="C76" s="7">
        <v>45071.0</v>
      </c>
      <c r="D76" s="1" t="s">
        <v>103</v>
      </c>
    </row>
    <row r="77">
      <c r="A77" s="1" t="s">
        <v>85</v>
      </c>
      <c r="B77" s="2" t="s">
        <v>104</v>
      </c>
      <c r="C77" s="7">
        <v>45231.0</v>
      </c>
      <c r="D77" s="1" t="s">
        <v>105</v>
      </c>
    </row>
    <row r="78">
      <c r="A78" s="1" t="s">
        <v>85</v>
      </c>
      <c r="B78" s="2" t="s">
        <v>106</v>
      </c>
      <c r="C78" s="12">
        <v>45246.0</v>
      </c>
      <c r="D78" s="1" t="s">
        <v>107</v>
      </c>
    </row>
    <row r="79">
      <c r="A79" s="1" t="s">
        <v>85</v>
      </c>
      <c r="B79" s="2" t="s">
        <v>108</v>
      </c>
      <c r="C79" s="7">
        <v>45370.0</v>
      </c>
      <c r="D79" s="1" t="s">
        <v>100</v>
      </c>
    </row>
    <row r="80">
      <c r="A80" s="1" t="s">
        <v>85</v>
      </c>
      <c r="B80" s="2" t="s">
        <v>109</v>
      </c>
      <c r="C80" s="7">
        <v>45370.0</v>
      </c>
      <c r="D80" s="1" t="s">
        <v>100</v>
      </c>
    </row>
    <row r="81">
      <c r="A81" s="1" t="s">
        <v>85</v>
      </c>
      <c r="B81" s="2" t="s">
        <v>110</v>
      </c>
      <c r="C81" s="7">
        <v>45372.0</v>
      </c>
      <c r="D81" s="1" t="s">
        <v>111</v>
      </c>
    </row>
    <row r="82">
      <c r="A82" s="1" t="s">
        <v>85</v>
      </c>
      <c r="B82" s="2" t="s">
        <v>112</v>
      </c>
      <c r="C82" s="7">
        <v>45601.0</v>
      </c>
      <c r="D82" s="1" t="s">
        <v>113</v>
      </c>
    </row>
    <row r="83">
      <c r="A83" s="1" t="s">
        <v>85</v>
      </c>
      <c r="B83" s="2" t="s">
        <v>114</v>
      </c>
      <c r="C83" s="12">
        <v>45622.0</v>
      </c>
      <c r="D83" s="1" t="s">
        <v>116</v>
      </c>
    </row>
    <row r="84">
      <c r="A84" s="1" t="s">
        <v>85</v>
      </c>
      <c r="B84" s="2" t="s">
        <v>118</v>
      </c>
      <c r="C84" s="7">
        <v>45740.0</v>
      </c>
      <c r="D84" s="1" t="s">
        <v>120</v>
      </c>
    </row>
    <row r="85">
      <c r="A85" s="1" t="s">
        <v>85</v>
      </c>
      <c r="B85" s="2" t="s">
        <v>122</v>
      </c>
      <c r="C85" s="7">
        <v>45828.0</v>
      </c>
      <c r="D85" s="1" t="s">
        <v>123</v>
      </c>
    </row>
    <row r="86">
      <c r="A86" s="1" t="s">
        <v>85</v>
      </c>
      <c r="B86" s="2" t="s">
        <v>124</v>
      </c>
      <c r="C86" s="7">
        <v>45828.0</v>
      </c>
      <c r="D86" s="1" t="s">
        <v>125</v>
      </c>
    </row>
    <row r="87">
      <c r="A87" s="1" t="s">
        <v>85</v>
      </c>
      <c r="B87" s="2" t="s">
        <v>126</v>
      </c>
      <c r="C87" s="7">
        <v>45861.0</v>
      </c>
      <c r="D87" s="1" t="s">
        <v>87</v>
      </c>
    </row>
    <row r="88">
      <c r="A88" s="1" t="s">
        <v>85</v>
      </c>
      <c r="B88" s="2" t="s">
        <v>127</v>
      </c>
      <c r="C88" s="7">
        <v>45880.0</v>
      </c>
      <c r="D88" s="1" t="s">
        <v>128</v>
      </c>
    </row>
    <row r="89">
      <c r="A89" s="1" t="s">
        <v>85</v>
      </c>
      <c r="B89" s="2" t="s">
        <v>129</v>
      </c>
      <c r="C89" s="7">
        <v>45888.0</v>
      </c>
      <c r="D89" s="1" t="s">
        <v>130</v>
      </c>
    </row>
    <row r="90">
      <c r="A90" s="1" t="s">
        <v>85</v>
      </c>
      <c r="B90" s="2" t="s">
        <v>131</v>
      </c>
      <c r="C90" s="7">
        <v>45929.0</v>
      </c>
      <c r="D90" s="1" t="s">
        <v>132</v>
      </c>
    </row>
    <row r="91">
      <c r="A91" s="1" t="s">
        <v>85</v>
      </c>
      <c r="B91" s="2" t="s">
        <v>133</v>
      </c>
      <c r="C91" s="12">
        <v>45975.0</v>
      </c>
      <c r="D91" s="1" t="s">
        <v>100</v>
      </c>
    </row>
    <row r="92">
      <c r="A92" s="1" t="s">
        <v>85</v>
      </c>
      <c r="B92" s="2" t="s">
        <v>129</v>
      </c>
      <c r="C92" s="7">
        <v>45888.0</v>
      </c>
      <c r="D92" s="1" t="s">
        <v>130</v>
      </c>
    </row>
    <row r="93">
      <c r="A93" s="1" t="s">
        <v>85</v>
      </c>
      <c r="B93" s="2" t="s">
        <v>133</v>
      </c>
      <c r="C93" s="12">
        <v>45975.0</v>
      </c>
      <c r="D93" s="1" t="s">
        <v>100</v>
      </c>
    </row>
    <row r="94">
      <c r="A94" s="1" t="s">
        <v>85</v>
      </c>
      <c r="B94" s="2" t="s">
        <v>118</v>
      </c>
      <c r="C94" s="7">
        <v>45740.0</v>
      </c>
      <c r="D94" s="1" t="s">
        <v>120</v>
      </c>
    </row>
    <row r="95">
      <c r="A95" s="1" t="s">
        <v>85</v>
      </c>
      <c r="B95" s="2" t="s">
        <v>135</v>
      </c>
      <c r="C95" s="7">
        <v>46097.0</v>
      </c>
      <c r="D95" s="1" t="s">
        <v>136</v>
      </c>
    </row>
    <row r="96">
      <c r="A96" s="1" t="s">
        <v>85</v>
      </c>
      <c r="B96" s="2" t="s">
        <v>137</v>
      </c>
      <c r="C96" s="7">
        <v>46101.0</v>
      </c>
      <c r="D96" s="1" t="s">
        <v>138</v>
      </c>
    </row>
    <row r="97">
      <c r="A97" s="1" t="s">
        <v>85</v>
      </c>
      <c r="B97" s="2" t="s">
        <v>122</v>
      </c>
      <c r="C97" s="7">
        <v>45828.0</v>
      </c>
      <c r="D97" s="1" t="s">
        <v>123</v>
      </c>
    </row>
    <row r="98">
      <c r="A98" s="1" t="s">
        <v>85</v>
      </c>
      <c r="B98" s="2" t="s">
        <v>127</v>
      </c>
      <c r="C98" s="7">
        <v>45880.0</v>
      </c>
      <c r="D98" s="1" t="s">
        <v>128</v>
      </c>
    </row>
    <row r="99">
      <c r="A99" s="1" t="s">
        <v>85</v>
      </c>
      <c r="B99" s="2" t="s">
        <v>139</v>
      </c>
      <c r="C99" s="7">
        <v>46127.0</v>
      </c>
      <c r="D99" s="1" t="s">
        <v>128</v>
      </c>
    </row>
    <row r="100">
      <c r="A100" s="1" t="s">
        <v>85</v>
      </c>
      <c r="B100" s="2" t="s">
        <v>114</v>
      </c>
      <c r="C100" s="12">
        <v>45622.0</v>
      </c>
      <c r="D100" s="1" t="s">
        <v>140</v>
      </c>
    </row>
    <row r="101">
      <c r="B101" s="5"/>
    </row>
    <row r="102">
      <c r="A102" s="1" t="s">
        <v>142</v>
      </c>
      <c r="B102" s="2" t="s">
        <v>144</v>
      </c>
      <c r="C102" s="12">
        <v>46009.0</v>
      </c>
      <c r="D102" s="1" t="s">
        <v>146</v>
      </c>
    </row>
    <row r="103">
      <c r="A103" s="1" t="s">
        <v>142</v>
      </c>
      <c r="B103" s="2" t="s">
        <v>147</v>
      </c>
      <c r="C103" s="7">
        <v>46129.0</v>
      </c>
      <c r="D103" s="1" t="s">
        <v>146</v>
      </c>
    </row>
    <row r="104">
      <c r="B104" s="5"/>
    </row>
    <row r="105">
      <c r="A105" s="1" t="s">
        <v>148</v>
      </c>
      <c r="B105" s="2" t="s">
        <v>149</v>
      </c>
      <c r="C105" s="7">
        <v>45310.0</v>
      </c>
      <c r="D105" s="1" t="s">
        <v>150</v>
      </c>
    </row>
    <row r="106">
      <c r="A106" s="1" t="s">
        <v>148</v>
      </c>
      <c r="B106" s="2" t="s">
        <v>151</v>
      </c>
      <c r="C106" s="7">
        <v>45726.0</v>
      </c>
      <c r="D106" s="1" t="s">
        <v>152</v>
      </c>
    </row>
    <row r="107">
      <c r="A107" s="1" t="s">
        <v>148</v>
      </c>
      <c r="B107" s="2" t="s">
        <v>153</v>
      </c>
      <c r="C107" s="7">
        <v>45828.0</v>
      </c>
      <c r="D107" s="1" t="s">
        <v>152</v>
      </c>
    </row>
    <row r="108">
      <c r="A108" s="1" t="s">
        <v>148</v>
      </c>
      <c r="B108" s="2" t="s">
        <v>153</v>
      </c>
      <c r="C108" s="7">
        <v>45828.0</v>
      </c>
      <c r="D108" s="1" t="s">
        <v>152</v>
      </c>
    </row>
    <row r="109">
      <c r="A109" s="1" t="s">
        <v>148</v>
      </c>
      <c r="B109" s="2" t="s">
        <v>151</v>
      </c>
      <c r="C109" s="7">
        <v>45726.0</v>
      </c>
      <c r="D109" s="1" t="s">
        <v>152</v>
      </c>
    </row>
    <row r="110">
      <c r="B110" s="5"/>
    </row>
    <row r="111">
      <c r="A111" s="1" t="s">
        <v>155</v>
      </c>
      <c r="B111" s="2" t="s">
        <v>156</v>
      </c>
      <c r="C111" s="12">
        <v>45645.0</v>
      </c>
      <c r="D111" s="1" t="s">
        <v>157</v>
      </c>
    </row>
    <row r="112">
      <c r="A112" s="1" t="s">
        <v>158</v>
      </c>
      <c r="B112" s="2" t="s">
        <v>159</v>
      </c>
      <c r="C112" s="7">
        <v>45800.0</v>
      </c>
      <c r="D112" s="1" t="s">
        <v>45</v>
      </c>
    </row>
    <row r="113">
      <c r="A113" s="1" t="s">
        <v>158</v>
      </c>
      <c r="B113" s="2" t="s">
        <v>159</v>
      </c>
      <c r="C113" s="7">
        <v>45800.0</v>
      </c>
      <c r="D113" s="1" t="s">
        <v>45</v>
      </c>
    </row>
    <row r="114">
      <c r="A114" s="1" t="s">
        <v>158</v>
      </c>
      <c r="B114" s="2" t="s">
        <v>55</v>
      </c>
      <c r="C114" s="12">
        <v>45285.0</v>
      </c>
      <c r="D114" s="1" t="s">
        <v>45</v>
      </c>
    </row>
    <row r="115">
      <c r="A115" s="1" t="s">
        <v>158</v>
      </c>
      <c r="B115" s="2" t="s">
        <v>58</v>
      </c>
      <c r="C115" s="7">
        <v>45365.0</v>
      </c>
      <c r="D115" s="1" t="s">
        <v>45</v>
      </c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61.38"/>
  </cols>
  <sheetData>
    <row r="2" ht="46.5" customHeight="1">
      <c r="B2" s="13" t="s">
        <v>12</v>
      </c>
    </row>
    <row r="3" ht="46.5" customHeight="1">
      <c r="B3" s="13" t="s">
        <v>40</v>
      </c>
    </row>
    <row r="4" ht="46.5" customHeight="1">
      <c r="B4" s="13" t="s">
        <v>73</v>
      </c>
    </row>
    <row r="5" ht="46.5" customHeight="1">
      <c r="B5" s="13" t="s">
        <v>92</v>
      </c>
    </row>
  </sheetData>
  <hyperlinks>
    <hyperlink r:id="rId4" location="gid=0" ref="B2"/>
    <hyperlink r:id="rId5" location="gid=1803840000" ref="B3"/>
    <hyperlink r:id="rId6" location="gid=1419849141" ref="B4"/>
    <hyperlink r:id="rId7" location="gid=1202289261" ref="B5"/>
  </hyperlinks>
  <drawing r:id="rId8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5.75"/>
    <col customWidth="1" min="2" max="2" width="8.25"/>
    <col customWidth="1" min="3" max="3" width="27.63"/>
    <col customWidth="1" min="4" max="4" width="24.13"/>
    <col customWidth="1" min="5" max="5" width="14.25"/>
    <col customWidth="1" min="6" max="6" width="32.13"/>
    <col customWidth="1" hidden="1" min="7" max="7" width="72.88" outlineLevel="1"/>
    <col customWidth="1" hidden="1" min="8" max="8" width="34.75" outlineLevel="1"/>
    <col collapsed="1" customWidth="1" min="9" max="9" width="23.25"/>
    <col customWidth="1" min="10" max="11" width="22.38"/>
    <col customWidth="1" min="12" max="12" width="15.13"/>
    <col customWidth="1" min="13" max="13" width="15.75"/>
    <col customWidth="1" hidden="1" min="14" max="19" width="15.13" outlineLevel="1"/>
    <col customWidth="1" min="20" max="20" width="15.75"/>
    <col customWidth="1" min="21" max="28" width="14.5" outlineLevel="1"/>
    <col customWidth="1" min="29" max="30" width="37.0"/>
    <col customWidth="1" min="31" max="32" width="4.88"/>
    <col customWidth="1" min="33" max="33" width="3.38"/>
    <col customWidth="1" min="34" max="41" width="11.5"/>
    <col customWidth="1" hidden="1" min="42" max="42" width="36.75"/>
  </cols>
  <sheetData>
    <row r="1">
      <c r="A1" s="8"/>
      <c r="C1" s="10"/>
      <c r="D1" s="10"/>
      <c r="E1" s="10"/>
      <c r="F1" s="10"/>
      <c r="G1" s="10"/>
      <c r="H1" s="10"/>
      <c r="I1" s="10"/>
      <c r="J1" s="15" t="s">
        <v>38</v>
      </c>
      <c r="K1" s="10"/>
      <c r="L1" s="17"/>
      <c r="M1" s="10"/>
      <c r="N1" s="10"/>
      <c r="O1" s="10"/>
      <c r="P1" s="10"/>
      <c r="Q1" s="10"/>
      <c r="R1" s="19"/>
      <c r="S1" s="10"/>
      <c r="T1" s="10"/>
      <c r="U1" s="10"/>
      <c r="V1" s="21"/>
      <c r="W1" s="21"/>
      <c r="X1" s="21"/>
      <c r="Y1" s="21"/>
      <c r="Z1" s="21"/>
      <c r="AA1" s="21"/>
      <c r="AB1" s="10"/>
      <c r="AC1" s="24"/>
      <c r="AD1" s="25"/>
      <c r="AE1" s="27"/>
      <c r="AF1" s="27"/>
      <c r="AG1" s="27"/>
      <c r="AH1" s="10"/>
      <c r="AI1" s="10"/>
      <c r="AJ1" s="10"/>
      <c r="AK1" s="10"/>
      <c r="AL1" s="10"/>
      <c r="AM1" s="10"/>
      <c r="AN1" s="10"/>
      <c r="AO1" s="10"/>
      <c r="AP1" s="10"/>
    </row>
    <row r="2">
      <c r="A2" s="28"/>
      <c r="C2" s="29"/>
      <c r="D2" s="29"/>
      <c r="E2" s="29"/>
      <c r="F2" s="29"/>
      <c r="G2" s="29"/>
      <c r="H2" s="29"/>
      <c r="I2" s="29"/>
      <c r="J2" s="30" t="s">
        <v>97</v>
      </c>
      <c r="K2" s="29"/>
      <c r="L2" s="17"/>
      <c r="M2" s="29"/>
      <c r="N2" s="29"/>
      <c r="O2" s="29"/>
      <c r="P2" s="29"/>
      <c r="Q2" s="29"/>
      <c r="R2" s="31"/>
      <c r="S2" s="29"/>
      <c r="T2" s="29"/>
      <c r="U2" s="29"/>
      <c r="V2" s="35">
        <f>134682487.75-2901585.12-1019567.64</f>
        <v>130761335</v>
      </c>
      <c r="W2" s="35">
        <f>173621682.52-556937.98-1557100</f>
        <v>171507644.5</v>
      </c>
      <c r="X2" s="35">
        <f>122304460.57-390000</f>
        <v>121914460.6</v>
      </c>
      <c r="Y2" s="36">
        <f>124683109.69-1019567.64</f>
        <v>123663542.1</v>
      </c>
      <c r="Z2" s="35">
        <f>105211629.64-2621909.5</f>
        <v>102589720.1</v>
      </c>
      <c r="AA2" s="37">
        <v>1.0479147141E8</v>
      </c>
      <c r="AB2" s="29"/>
      <c r="AC2" s="38"/>
      <c r="AD2" s="39"/>
      <c r="AE2" s="40"/>
      <c r="AF2" s="40"/>
      <c r="AG2" s="40"/>
      <c r="AH2" s="29"/>
      <c r="AI2" s="29"/>
      <c r="AJ2" s="29"/>
      <c r="AK2" s="29"/>
      <c r="AL2" s="29"/>
      <c r="AM2" s="29"/>
      <c r="AN2" s="29"/>
      <c r="AO2" s="29"/>
      <c r="AP2" s="29"/>
    </row>
    <row r="3" ht="15.75" customHeight="1">
      <c r="A3" s="41"/>
      <c r="B3" s="42"/>
      <c r="C3" s="43"/>
      <c r="D3" s="43"/>
      <c r="E3" s="43"/>
      <c r="F3" s="44"/>
      <c r="G3" s="43"/>
      <c r="H3" s="43"/>
      <c r="I3" s="43"/>
      <c r="J3" s="45"/>
      <c r="K3" s="45"/>
      <c r="L3" s="46"/>
      <c r="M3" s="45"/>
      <c r="N3" s="47"/>
      <c r="O3" s="47"/>
      <c r="P3" s="47"/>
      <c r="Q3" s="47"/>
      <c r="R3" s="48"/>
      <c r="S3" s="47"/>
      <c r="T3" s="45"/>
      <c r="U3" s="49"/>
      <c r="V3" s="50" t="s">
        <v>166</v>
      </c>
      <c r="W3" s="11"/>
      <c r="X3" s="14"/>
      <c r="Y3" s="51" t="s">
        <v>168</v>
      </c>
      <c r="Z3" s="11"/>
      <c r="AA3" s="14"/>
      <c r="AB3" s="47"/>
      <c r="AC3" s="52"/>
      <c r="AD3" s="53"/>
      <c r="AE3" s="54"/>
      <c r="AF3" s="54"/>
      <c r="AG3" s="54"/>
      <c r="AH3" s="43"/>
      <c r="AI3" s="43"/>
      <c r="AJ3" s="43"/>
      <c r="AK3" s="43"/>
      <c r="AL3" s="43"/>
      <c r="AM3" s="43"/>
      <c r="AN3" s="43"/>
      <c r="AO3" s="43"/>
      <c r="AP3" s="45"/>
    </row>
    <row r="4" ht="55.5" customHeight="1">
      <c r="A4" s="55" t="s">
        <v>173</v>
      </c>
      <c r="B4" s="56" t="s">
        <v>175</v>
      </c>
      <c r="C4" s="53" t="s">
        <v>176</v>
      </c>
      <c r="D4" s="53" t="s">
        <v>26</v>
      </c>
      <c r="E4" s="53" t="s">
        <v>177</v>
      </c>
      <c r="F4" s="53" t="s">
        <v>178</v>
      </c>
      <c r="G4" s="53" t="s">
        <v>179</v>
      </c>
      <c r="H4" s="53" t="s">
        <v>180</v>
      </c>
      <c r="I4" s="53" t="s">
        <v>181</v>
      </c>
      <c r="J4" s="57" t="s">
        <v>182</v>
      </c>
      <c r="K4" s="14"/>
      <c r="L4" s="58"/>
      <c r="M4" s="59" t="s">
        <v>183</v>
      </c>
      <c r="N4" s="60" t="s">
        <v>184</v>
      </c>
      <c r="O4" s="60" t="s">
        <v>185</v>
      </c>
      <c r="P4" s="60" t="s">
        <v>187</v>
      </c>
      <c r="Q4" s="61" t="s">
        <v>188</v>
      </c>
      <c r="R4" s="62" t="s">
        <v>189</v>
      </c>
      <c r="S4" s="60" t="s">
        <v>190</v>
      </c>
      <c r="T4" s="59" t="s">
        <v>191</v>
      </c>
      <c r="U4" s="63" t="s">
        <v>192</v>
      </c>
      <c r="V4" s="64" t="s">
        <v>194</v>
      </c>
      <c r="W4" s="64" t="s">
        <v>195</v>
      </c>
      <c r="X4" s="64" t="s">
        <v>196</v>
      </c>
      <c r="Y4" s="65" t="s">
        <v>197</v>
      </c>
      <c r="Z4" s="65" t="s">
        <v>198</v>
      </c>
      <c r="AA4" s="65" t="s">
        <v>199</v>
      </c>
      <c r="AB4" s="60" t="s">
        <v>190</v>
      </c>
      <c r="AC4" s="66"/>
      <c r="AD4" s="53" t="s">
        <v>200</v>
      </c>
      <c r="AE4" s="54"/>
      <c r="AF4" s="54"/>
      <c r="AG4" s="54"/>
      <c r="AH4" s="67"/>
      <c r="AI4" s="53"/>
      <c r="AJ4" s="53"/>
      <c r="AK4" s="53"/>
      <c r="AL4" s="53"/>
      <c r="AM4" s="53"/>
      <c r="AN4" s="53"/>
      <c r="AO4" s="53"/>
      <c r="AP4" s="59" t="s">
        <v>202</v>
      </c>
    </row>
    <row r="5">
      <c r="A5" s="68"/>
      <c r="B5" s="69"/>
      <c r="C5" s="70"/>
      <c r="D5" s="70"/>
      <c r="E5" s="71"/>
      <c r="F5" s="70"/>
      <c r="G5" s="70"/>
      <c r="H5" s="70"/>
      <c r="I5" s="70"/>
      <c r="J5" s="71" t="s">
        <v>205</v>
      </c>
      <c r="K5" s="72"/>
      <c r="L5" s="73"/>
      <c r="M5" s="74">
        <f t="shared" ref="M5:S5" si="1">M7+M155</f>
        <v>3338915348</v>
      </c>
      <c r="N5" s="75">
        <f t="shared" si="1"/>
        <v>3003467463</v>
      </c>
      <c r="O5" s="75">
        <f t="shared" si="1"/>
        <v>580963771.4</v>
      </c>
      <c r="P5" s="75">
        <f t="shared" si="1"/>
        <v>289400284.1</v>
      </c>
      <c r="Q5" s="76">
        <f t="shared" si="1"/>
        <v>140699440.5</v>
      </c>
      <c r="R5" s="77">
        <f t="shared" si="1"/>
        <v>199250490.4</v>
      </c>
      <c r="S5" s="75">
        <f t="shared" si="1"/>
        <v>0</v>
      </c>
      <c r="T5" s="74">
        <f>SUM(U5:AA5)</f>
        <v>2330678249</v>
      </c>
      <c r="U5" s="75">
        <f t="shared" ref="U5:AB5" si="2">U7+U155</f>
        <v>1563409969</v>
      </c>
      <c r="V5" s="78">
        <f t="shared" si="2"/>
        <v>122005213.4</v>
      </c>
      <c r="W5" s="78">
        <f t="shared" si="2"/>
        <v>170488076.9</v>
      </c>
      <c r="X5" s="78">
        <f t="shared" si="2"/>
        <v>121914460.6</v>
      </c>
      <c r="Y5" s="79">
        <f t="shared" si="2"/>
        <v>123663542.1</v>
      </c>
      <c r="Z5" s="79">
        <f t="shared" si="2"/>
        <v>102589720.1</v>
      </c>
      <c r="AA5" s="79">
        <f t="shared" si="2"/>
        <v>126607267.2</v>
      </c>
      <c r="AB5" s="75">
        <f t="shared" si="2"/>
        <v>0</v>
      </c>
      <c r="AC5" s="81"/>
      <c r="AD5" s="82"/>
      <c r="AE5" s="27"/>
      <c r="AF5" s="27"/>
      <c r="AG5" s="27"/>
      <c r="AH5" s="83"/>
      <c r="AI5" s="82"/>
      <c r="AJ5" s="82"/>
      <c r="AK5" s="82"/>
      <c r="AL5" s="82"/>
      <c r="AM5" s="82"/>
      <c r="AN5" s="82"/>
      <c r="AO5" s="82"/>
      <c r="AP5" s="84"/>
    </row>
    <row r="6">
      <c r="A6" s="85"/>
      <c r="C6" s="86"/>
      <c r="D6" s="86"/>
      <c r="E6" s="86"/>
      <c r="F6" s="86"/>
      <c r="G6" s="86"/>
      <c r="H6" s="86"/>
      <c r="I6" s="86"/>
      <c r="J6" s="87" t="s">
        <v>221</v>
      </c>
      <c r="K6" s="86"/>
      <c r="L6" s="88"/>
      <c r="M6" s="86"/>
      <c r="N6" s="86"/>
      <c r="O6" s="86"/>
      <c r="P6" s="86"/>
      <c r="Q6" s="86"/>
      <c r="R6" s="89"/>
      <c r="S6" s="86"/>
      <c r="T6" s="86"/>
      <c r="U6" s="86"/>
      <c r="V6" s="90">
        <f>SUM(V5:X5)</f>
        <v>414407750.8</v>
      </c>
      <c r="W6" s="11"/>
      <c r="X6" s="14"/>
      <c r="Y6" s="91">
        <f>SUM(Y5:AA5)</f>
        <v>352860529.4</v>
      </c>
      <c r="Z6" s="11"/>
      <c r="AA6" s="14"/>
      <c r="AB6" s="86"/>
      <c r="AC6" s="92"/>
      <c r="AD6" s="82"/>
      <c r="AE6" s="27"/>
      <c r="AF6" s="27"/>
      <c r="AG6" s="27"/>
      <c r="AH6" s="83"/>
      <c r="AI6" s="83"/>
      <c r="AJ6" s="83"/>
      <c r="AK6" s="83"/>
      <c r="AL6" s="83"/>
      <c r="AM6" s="83"/>
      <c r="AN6" s="83"/>
      <c r="AO6" s="83"/>
      <c r="AP6" s="84"/>
    </row>
    <row r="7">
      <c r="A7" s="93"/>
      <c r="B7" s="94"/>
      <c r="C7" s="93"/>
      <c r="D7" s="93"/>
      <c r="E7" s="95"/>
      <c r="F7" s="96"/>
      <c r="G7" s="96"/>
      <c r="H7" s="96"/>
      <c r="I7" s="96"/>
      <c r="J7" s="98" t="s">
        <v>230</v>
      </c>
      <c r="K7" s="99"/>
      <c r="L7" s="100"/>
      <c r="M7" s="101">
        <f t="shared" ref="M7:S7" si="3">M8+M15+M20+M35+M37+M57+M82+M86+M95+M108+M111+M114+M117+M122+M125+M129+M132+M54+M137+M148</f>
        <v>2529356221</v>
      </c>
      <c r="N7" s="102">
        <f t="shared" si="3"/>
        <v>2169570623</v>
      </c>
      <c r="O7" s="102">
        <f t="shared" si="3"/>
        <v>580963771.4</v>
      </c>
      <c r="P7" s="102">
        <f t="shared" si="3"/>
        <v>261503377.1</v>
      </c>
      <c r="Q7" s="103">
        <f t="shared" si="3"/>
        <v>140699440.5</v>
      </c>
      <c r="R7" s="104">
        <f t="shared" si="3"/>
        <v>199250490.4</v>
      </c>
      <c r="S7" s="102">
        <f t="shared" si="3"/>
        <v>0</v>
      </c>
      <c r="T7" s="101">
        <f t="shared" ref="T7:T19" si="6">SUM(U7:AA7)</f>
        <v>1877906095</v>
      </c>
      <c r="U7" s="102">
        <f>U8+U15+U20+U35+U37+U57+U82+U86+U95+U108+U111+U114+U117+U122+U125+U129+U132+U54+U137+U148</f>
        <v>1252888812</v>
      </c>
      <c r="V7" s="109">
        <f t="shared" ref="V7:AA7" si="4">V8+V15+V20+V35+V37+V57+V82+V86+V95+V108+V111+V114+V117+V122+V125+V129+V132+V54+V137+V148+V89+V151</f>
        <v>101193352.5</v>
      </c>
      <c r="W7" s="109">
        <f t="shared" si="4"/>
        <v>155261384.1</v>
      </c>
      <c r="X7" s="109">
        <f t="shared" si="4"/>
        <v>85071983.78</v>
      </c>
      <c r="Y7" s="110">
        <f t="shared" si="4"/>
        <v>110085444.8</v>
      </c>
      <c r="Z7" s="110">
        <f t="shared" si="4"/>
        <v>84131515.01</v>
      </c>
      <c r="AA7" s="110">
        <f t="shared" si="4"/>
        <v>89273603</v>
      </c>
      <c r="AB7" s="102">
        <f>AB8+AB15+AB20+AB35+AB37+AB57+AB82+AB86+AB95+AB108+AB111+AB114+AB117+AB122+AB125+AB129+AB132+AB54+AB137+AB148</f>
        <v>0</v>
      </c>
      <c r="AC7" s="113"/>
      <c r="AD7" s="114"/>
      <c r="AE7" s="115"/>
      <c r="AF7" s="115"/>
      <c r="AG7" s="115"/>
      <c r="AH7" s="116"/>
      <c r="AI7" s="116"/>
      <c r="AJ7" s="116"/>
      <c r="AK7" s="116"/>
      <c r="AL7" s="116"/>
      <c r="AM7" s="116"/>
      <c r="AN7" s="116"/>
      <c r="AO7" s="116"/>
      <c r="AP7" s="117"/>
    </row>
    <row r="8">
      <c r="A8" s="118" t="s">
        <v>260</v>
      </c>
      <c r="B8" s="119" t="s">
        <v>149</v>
      </c>
      <c r="C8" s="6" t="s">
        <v>0</v>
      </c>
      <c r="D8" s="6" t="s">
        <v>161</v>
      </c>
      <c r="E8" s="121"/>
      <c r="F8" s="122"/>
      <c r="G8" s="122"/>
      <c r="H8" s="122"/>
      <c r="I8" s="123"/>
      <c r="J8" s="124"/>
      <c r="K8" s="125"/>
      <c r="L8" s="129">
        <f t="shared" ref="L8:L51" si="8">T8/M8</f>
        <v>0.8289761253</v>
      </c>
      <c r="M8" s="132">
        <f t="shared" ref="M8:S8" si="5">SUM(M9:M14)</f>
        <v>89525473.7</v>
      </c>
      <c r="N8" s="133">
        <f t="shared" si="5"/>
        <v>78450355.24</v>
      </c>
      <c r="O8" s="133">
        <f t="shared" si="5"/>
        <v>0</v>
      </c>
      <c r="P8" s="133">
        <f t="shared" si="5"/>
        <v>57242875.6</v>
      </c>
      <c r="Q8" s="134">
        <f t="shared" si="5"/>
        <v>0</v>
      </c>
      <c r="R8" s="135">
        <f t="shared" si="5"/>
        <v>0</v>
      </c>
      <c r="S8" s="133">
        <f t="shared" si="5"/>
        <v>0</v>
      </c>
      <c r="T8" s="132">
        <f t="shared" si="6"/>
        <v>74214480.3</v>
      </c>
      <c r="U8" s="133">
        <f t="shared" ref="U8:AB8" si="7">SUM(U9:U14)</f>
        <v>44432755.24</v>
      </c>
      <c r="V8" s="139">
        <f t="shared" si="7"/>
        <v>9312566.61</v>
      </c>
      <c r="W8" s="139">
        <f t="shared" si="7"/>
        <v>11430277.38</v>
      </c>
      <c r="X8" s="139">
        <f t="shared" si="7"/>
        <v>3918363.71</v>
      </c>
      <c r="Y8" s="140">
        <f t="shared" si="7"/>
        <v>1259122.43</v>
      </c>
      <c r="Z8" s="140">
        <f t="shared" si="7"/>
        <v>2602272.5</v>
      </c>
      <c r="AA8" s="140">
        <f t="shared" si="7"/>
        <v>1259122.43</v>
      </c>
      <c r="AB8" s="133">
        <f t="shared" si="7"/>
        <v>0</v>
      </c>
      <c r="AC8" s="141"/>
      <c r="AD8" s="142" t="s">
        <v>282</v>
      </c>
      <c r="AE8" s="143"/>
      <c r="AF8" s="143"/>
      <c r="AG8" s="143"/>
      <c r="AH8" s="145"/>
      <c r="AI8" s="142"/>
      <c r="AJ8" s="142"/>
      <c r="AK8" s="142"/>
      <c r="AL8" s="142"/>
      <c r="AM8" s="142"/>
      <c r="AN8" s="142"/>
      <c r="AO8" s="142"/>
      <c r="AP8" s="146"/>
    </row>
    <row r="9" ht="18.75" customHeight="1">
      <c r="A9" s="118" t="s">
        <v>260</v>
      </c>
      <c r="B9" s="148" t="s">
        <v>283</v>
      </c>
      <c r="C9" s="151" t="s">
        <v>284</v>
      </c>
      <c r="D9" s="154"/>
      <c r="E9" s="158" t="s">
        <v>291</v>
      </c>
      <c r="F9" s="159" t="s">
        <v>292</v>
      </c>
      <c r="G9" s="159" t="s">
        <v>294</v>
      </c>
      <c r="H9" s="159" t="s">
        <v>10</v>
      </c>
      <c r="I9" s="161" t="s">
        <v>296</v>
      </c>
      <c r="J9" s="162">
        <v>45611.0</v>
      </c>
      <c r="K9" s="163">
        <v>46203.0</v>
      </c>
      <c r="L9" s="166">
        <f t="shared" si="8"/>
        <v>0.6714079681</v>
      </c>
      <c r="M9" s="168">
        <f t="shared" ref="M9:M10" si="9">MAX(N9:R9)</f>
        <v>21032009.69</v>
      </c>
      <c r="N9" s="169">
        <v>1.904434344E7</v>
      </c>
      <c r="O9" s="169"/>
      <c r="P9" s="169">
        <v>2.103200969E7</v>
      </c>
      <c r="Q9" s="171"/>
      <c r="R9" s="172"/>
      <c r="S9" s="169"/>
      <c r="T9" s="168">
        <f t="shared" si="6"/>
        <v>14121058.89</v>
      </c>
      <c r="U9" s="175">
        <v>6367680.44</v>
      </c>
      <c r="V9" s="175">
        <v>2082960.0</v>
      </c>
      <c r="W9" s="175">
        <v>3682752.2</v>
      </c>
      <c r="X9" s="175">
        <v>1987666.25</v>
      </c>
      <c r="Y9" s="175">
        <f>SUMIF('07.26'!$J$4:$J$1000,$F9,'07.26'!$M$4:$M$1000)</f>
        <v>0</v>
      </c>
      <c r="Z9" s="175">
        <f>SUMIF('08.26'!$J$4:$J$1000,$F9,'08.26'!$M$4:$M$1000)</f>
        <v>0</v>
      </c>
      <c r="AA9" s="175">
        <f>SUMIF('09.26'!$J$4:$J$1429,$F9,'09.26'!$M$4:$M$1429)</f>
        <v>0</v>
      </c>
      <c r="AB9" s="175"/>
      <c r="AC9" s="181"/>
      <c r="AD9" s="182"/>
      <c r="AE9" s="184"/>
      <c r="AF9" s="184"/>
      <c r="AG9" s="184"/>
      <c r="AH9" s="185"/>
      <c r="AI9" s="182"/>
      <c r="AJ9" s="182"/>
      <c r="AK9" s="182"/>
      <c r="AL9" s="182"/>
      <c r="AM9" s="182"/>
      <c r="AN9" s="182"/>
      <c r="AO9" s="182"/>
      <c r="AP9" s="186"/>
    </row>
    <row r="10" ht="18.75" customHeight="1">
      <c r="A10" s="118" t="s">
        <v>260</v>
      </c>
      <c r="B10" s="26"/>
      <c r="C10" s="187"/>
      <c r="D10" s="107"/>
      <c r="E10" s="158" t="s">
        <v>291</v>
      </c>
      <c r="F10" s="159" t="s">
        <v>320</v>
      </c>
      <c r="G10" s="159" t="s">
        <v>294</v>
      </c>
      <c r="H10" s="159" t="s">
        <v>8</v>
      </c>
      <c r="I10" s="161" t="s">
        <v>322</v>
      </c>
      <c r="J10" s="163">
        <v>46023.0</v>
      </c>
      <c r="K10" s="163">
        <v>46112.0</v>
      </c>
      <c r="L10" s="166">
        <f t="shared" si="8"/>
        <v>0.8877584618</v>
      </c>
      <c r="M10" s="168">
        <f t="shared" si="9"/>
        <v>36210865.91</v>
      </c>
      <c r="N10" s="169">
        <v>2.959176804E7</v>
      </c>
      <c r="O10" s="169"/>
      <c r="P10" s="169">
        <v>3.621086591E7</v>
      </c>
      <c r="Q10" s="171"/>
      <c r="R10" s="172"/>
      <c r="S10" s="169"/>
      <c r="T10" s="168">
        <f t="shared" si="6"/>
        <v>32146502.62</v>
      </c>
      <c r="U10" s="175">
        <f>24591768.04-V10</f>
        <v>17834208.95</v>
      </c>
      <c r="V10" s="175">
        <v>6757559.09</v>
      </c>
      <c r="W10" s="175">
        <v>2518244.86</v>
      </c>
      <c r="X10" s="175">
        <v>1259122.43</v>
      </c>
      <c r="Y10" s="175">
        <f>SUMIF('07.26'!$J$4:$J$1000,$F10,'07.26'!$M$4:$M$1000)</f>
        <v>1259122.43</v>
      </c>
      <c r="Z10" s="175">
        <f>SUMIF('08.26'!$J$4:$J$1000,$F10,'08.26'!$M$4:$M$1000)</f>
        <v>1259122.43</v>
      </c>
      <c r="AA10" s="175">
        <f>SUMIF('09.26'!$J$4:$J$1429,$F10,'09.26'!$M$4:$M$1429)</f>
        <v>1259122.43</v>
      </c>
      <c r="AB10" s="175"/>
      <c r="AC10" s="191"/>
      <c r="AD10" s="183"/>
      <c r="AE10" s="192"/>
      <c r="AF10" s="192"/>
      <c r="AG10" s="192"/>
      <c r="AH10" s="193"/>
      <c r="AI10" s="183"/>
      <c r="AJ10" s="183"/>
      <c r="AK10" s="183"/>
      <c r="AL10" s="183"/>
      <c r="AM10" s="183"/>
      <c r="AN10" s="183"/>
      <c r="AO10" s="183"/>
      <c r="AP10" s="190" t="s">
        <v>326</v>
      </c>
    </row>
    <row r="11" ht="18.75" customHeight="1">
      <c r="A11" s="118" t="s">
        <v>260</v>
      </c>
      <c r="B11" s="148" t="s">
        <v>327</v>
      </c>
      <c r="C11" s="151" t="s">
        <v>328</v>
      </c>
      <c r="D11" s="154"/>
      <c r="E11" s="158" t="s">
        <v>337</v>
      </c>
      <c r="F11" s="159" t="s">
        <v>338</v>
      </c>
      <c r="G11" s="159" t="s">
        <v>330</v>
      </c>
      <c r="H11" s="159" t="s">
        <v>4</v>
      </c>
      <c r="I11" s="161" t="s">
        <v>296</v>
      </c>
      <c r="J11" s="163">
        <v>45789.0</v>
      </c>
      <c r="K11" s="162">
        <v>46387.0</v>
      </c>
      <c r="L11" s="166">
        <f t="shared" si="8"/>
        <v>1</v>
      </c>
      <c r="M11" s="168">
        <v>1242897.72</v>
      </c>
      <c r="N11" s="169">
        <v>1292350.92</v>
      </c>
      <c r="O11" s="169"/>
      <c r="P11" s="169"/>
      <c r="Q11" s="171"/>
      <c r="R11" s="172"/>
      <c r="S11" s="169"/>
      <c r="T11" s="168">
        <f t="shared" si="6"/>
        <v>1242897.72</v>
      </c>
      <c r="U11" s="175">
        <v>1242897.72</v>
      </c>
      <c r="V11" s="175"/>
      <c r="W11" s="175"/>
      <c r="X11" s="175"/>
      <c r="Y11" s="175">
        <f>SUMIF('07.26'!$J$4:$J$1000,$F11,'07.26'!$M$4:$M$1000)</f>
        <v>0</v>
      </c>
      <c r="Z11" s="175">
        <f>SUMIF('08.26'!$J$4:$J$1000,$F11,'08.26'!$M$4:$M$1000)</f>
        <v>0</v>
      </c>
      <c r="AA11" s="175">
        <f>SUMIF('09.26'!$J$4:$J$1429,$F11,'09.26'!$M$4:$M$1429)</f>
        <v>0</v>
      </c>
      <c r="AB11" s="175"/>
      <c r="AC11" s="191"/>
      <c r="AD11" s="183"/>
      <c r="AE11" s="192"/>
      <c r="AF11" s="192"/>
      <c r="AG11" s="192"/>
      <c r="AH11" s="193"/>
      <c r="AI11" s="183"/>
      <c r="AJ11" s="183"/>
      <c r="AK11" s="183"/>
      <c r="AL11" s="183"/>
      <c r="AM11" s="183"/>
      <c r="AN11" s="183"/>
      <c r="AO11" s="183"/>
      <c r="AP11" s="190" t="s">
        <v>332</v>
      </c>
    </row>
    <row r="12" ht="18.75" customHeight="1">
      <c r="A12" s="118" t="s">
        <v>260</v>
      </c>
      <c r="B12" s="197"/>
      <c r="C12" s="198"/>
      <c r="D12" s="199"/>
      <c r="E12" s="158" t="s">
        <v>337</v>
      </c>
      <c r="F12" s="159" t="s">
        <v>345</v>
      </c>
      <c r="G12" s="159" t="s">
        <v>334</v>
      </c>
      <c r="H12" s="159" t="s">
        <v>4</v>
      </c>
      <c r="I12" s="161" t="s">
        <v>322</v>
      </c>
      <c r="J12" s="163">
        <v>46023.0</v>
      </c>
      <c r="K12" s="163">
        <v>46112.0</v>
      </c>
      <c r="L12" s="166">
        <f t="shared" si="8"/>
        <v>1</v>
      </c>
      <c r="M12" s="168">
        <f>MAX(N12:R12)</f>
        <v>4436583.12</v>
      </c>
      <c r="N12" s="169">
        <v>4436583.12</v>
      </c>
      <c r="O12" s="169"/>
      <c r="P12" s="169"/>
      <c r="Q12" s="171"/>
      <c r="R12" s="172"/>
      <c r="S12" s="169"/>
      <c r="T12" s="168">
        <f t="shared" si="6"/>
        <v>4436583.12</v>
      </c>
      <c r="U12" s="175">
        <v>0.0</v>
      </c>
      <c r="V12" s="175"/>
      <c r="W12" s="175">
        <v>4436583.12</v>
      </c>
      <c r="X12" s="175"/>
      <c r="Y12" s="175">
        <f>SUMIF('07.26'!$J$4:$J$1000,$F12,'07.26'!$M$4:$M$1000)</f>
        <v>0</v>
      </c>
      <c r="Z12" s="175">
        <f>SUMIF('08.26'!$J$4:$J$1000,$F12,'08.26'!$M$4:$M$1000)</f>
        <v>0</v>
      </c>
      <c r="AA12" s="175">
        <f>SUMIF('09.26'!$J$4:$J$1429,$F12,'09.26'!$M$4:$M$1429)</f>
        <v>0</v>
      </c>
      <c r="AB12" s="175"/>
      <c r="AC12" s="191"/>
      <c r="AD12" s="183"/>
      <c r="AE12" s="192"/>
      <c r="AF12" s="192"/>
      <c r="AG12" s="192"/>
      <c r="AH12" s="193"/>
      <c r="AI12" s="183"/>
      <c r="AJ12" s="183"/>
      <c r="AK12" s="183"/>
      <c r="AL12" s="183"/>
      <c r="AM12" s="183"/>
      <c r="AN12" s="183"/>
      <c r="AO12" s="183"/>
      <c r="AP12" s="190" t="s">
        <v>335</v>
      </c>
    </row>
    <row r="13" ht="18.75" customHeight="1">
      <c r="A13" s="118" t="s">
        <v>260</v>
      </c>
      <c r="B13" s="26"/>
      <c r="C13" s="187"/>
      <c r="D13" s="107"/>
      <c r="E13" s="158" t="s">
        <v>337</v>
      </c>
      <c r="F13" s="159" t="s">
        <v>348</v>
      </c>
      <c r="G13" s="159" t="s">
        <v>330</v>
      </c>
      <c r="H13" s="159" t="s">
        <v>4</v>
      </c>
      <c r="I13" s="161" t="s">
        <v>296</v>
      </c>
      <c r="J13" s="163">
        <v>45040.0</v>
      </c>
      <c r="K13" s="163">
        <v>46113.0</v>
      </c>
      <c r="L13" s="166">
        <f t="shared" si="8"/>
        <v>1</v>
      </c>
      <c r="M13" s="168">
        <v>2517807.54</v>
      </c>
      <c r="N13" s="169"/>
      <c r="O13" s="169"/>
      <c r="P13" s="169"/>
      <c r="Q13" s="171"/>
      <c r="R13" s="172"/>
      <c r="S13" s="169"/>
      <c r="T13" s="168">
        <f t="shared" si="6"/>
        <v>2517807.54</v>
      </c>
      <c r="U13" s="175">
        <f>2517807.54-V13</f>
        <v>2381547.54</v>
      </c>
      <c r="V13" s="175">
        <v>136260.0</v>
      </c>
      <c r="W13" s="175"/>
      <c r="X13" s="175"/>
      <c r="Y13" s="175"/>
      <c r="Z13" s="175"/>
      <c r="AA13" s="175"/>
      <c r="AB13" s="175"/>
      <c r="AC13" s="191"/>
      <c r="AD13" s="183"/>
      <c r="AE13" s="192"/>
      <c r="AF13" s="192"/>
      <c r="AG13" s="192"/>
      <c r="AH13" s="193"/>
      <c r="AI13" s="183"/>
      <c r="AJ13" s="183"/>
      <c r="AK13" s="183"/>
      <c r="AL13" s="183"/>
      <c r="AM13" s="183"/>
      <c r="AN13" s="183"/>
      <c r="AO13" s="183"/>
      <c r="AP13" s="190"/>
    </row>
    <row r="14" ht="18.75" customHeight="1">
      <c r="A14" s="118" t="s">
        <v>260</v>
      </c>
      <c r="B14" s="201" t="s">
        <v>336</v>
      </c>
      <c r="C14" s="202" t="s">
        <v>339</v>
      </c>
      <c r="D14" s="14"/>
      <c r="E14" s="158" t="s">
        <v>291</v>
      </c>
      <c r="F14" s="159" t="s">
        <v>357</v>
      </c>
      <c r="G14" s="159" t="s">
        <v>341</v>
      </c>
      <c r="H14" s="159" t="s">
        <v>2</v>
      </c>
      <c r="I14" s="161" t="s">
        <v>296</v>
      </c>
      <c r="J14" s="163">
        <v>44805.0</v>
      </c>
      <c r="K14" s="162">
        <v>46387.0</v>
      </c>
      <c r="L14" s="166">
        <f t="shared" si="8"/>
        <v>0.8199865661</v>
      </c>
      <c r="M14" s="168">
        <f>MAX(N14:R14)</f>
        <v>24085309.72</v>
      </c>
      <c r="N14" s="169">
        <v>2.408530972E7</v>
      </c>
      <c r="O14" s="169"/>
      <c r="P14" s="169"/>
      <c r="Q14" s="171"/>
      <c r="R14" s="172"/>
      <c r="S14" s="169"/>
      <c r="T14" s="168">
        <f t="shared" si="6"/>
        <v>19749630.41</v>
      </c>
      <c r="U14" s="175">
        <v>1.660642059E7</v>
      </c>
      <c r="V14" s="175">
        <v>335787.52</v>
      </c>
      <c r="W14" s="175">
        <v>792697.2</v>
      </c>
      <c r="X14" s="175">
        <v>671575.03</v>
      </c>
      <c r="Y14" s="175">
        <f>SUMIF('07.26'!$J$4:$J$1000,$F14,'07.26'!$M$4:$M$1000)</f>
        <v>0</v>
      </c>
      <c r="Z14" s="175">
        <f>SUMIF('08.26'!$J$4:$J$1000,$F14,'08.26'!$M$4:$M$1000)</f>
        <v>1343150.07</v>
      </c>
      <c r="AA14" s="175">
        <f>SUMIF('09.26'!$J$4:$J$1429,$F14,'09.26'!$M$4:$M$1429)</f>
        <v>0</v>
      </c>
      <c r="AB14" s="175"/>
      <c r="AC14" s="191"/>
      <c r="AD14" s="183"/>
      <c r="AE14" s="192"/>
      <c r="AF14" s="192"/>
      <c r="AG14" s="192"/>
      <c r="AH14" s="193"/>
      <c r="AI14" s="183"/>
      <c r="AJ14" s="183"/>
      <c r="AK14" s="183"/>
      <c r="AL14" s="183"/>
      <c r="AM14" s="183"/>
      <c r="AN14" s="183"/>
      <c r="AO14" s="183"/>
      <c r="AP14" s="190" t="s">
        <v>343</v>
      </c>
    </row>
    <row r="15">
      <c r="A15" s="118" t="s">
        <v>260</v>
      </c>
      <c r="B15" s="119" t="s">
        <v>344</v>
      </c>
      <c r="C15" s="6" t="s">
        <v>366</v>
      </c>
      <c r="D15" s="6" t="s">
        <v>71</v>
      </c>
      <c r="E15" s="121"/>
      <c r="F15" s="122"/>
      <c r="G15" s="122"/>
      <c r="H15" s="122"/>
      <c r="I15" s="123"/>
      <c r="J15" s="124"/>
      <c r="K15" s="125"/>
      <c r="L15" s="129">
        <f t="shared" si="8"/>
        <v>0.9162293073</v>
      </c>
      <c r="M15" s="132">
        <f t="shared" ref="M15:S15" si="10">SUM(M16:M19)</f>
        <v>44943646.24</v>
      </c>
      <c r="N15" s="133">
        <f t="shared" si="10"/>
        <v>32476099.41</v>
      </c>
      <c r="O15" s="133">
        <f t="shared" si="10"/>
        <v>0</v>
      </c>
      <c r="P15" s="133">
        <f t="shared" si="10"/>
        <v>0</v>
      </c>
      <c r="Q15" s="134">
        <f t="shared" si="10"/>
        <v>0</v>
      </c>
      <c r="R15" s="135">
        <f t="shared" si="10"/>
        <v>0</v>
      </c>
      <c r="S15" s="133">
        <f t="shared" si="10"/>
        <v>0</v>
      </c>
      <c r="T15" s="132">
        <f t="shared" si="6"/>
        <v>41178685.86</v>
      </c>
      <c r="U15" s="133">
        <f t="shared" ref="U15:AB15" si="11">SUM(U16:U19)</f>
        <v>36572445.86</v>
      </c>
      <c r="V15" s="109">
        <f t="shared" si="11"/>
        <v>2576090</v>
      </c>
      <c r="W15" s="109">
        <f t="shared" si="11"/>
        <v>340150</v>
      </c>
      <c r="X15" s="109">
        <f t="shared" si="11"/>
        <v>0</v>
      </c>
      <c r="Y15" s="140">
        <f t="shared" si="11"/>
        <v>600000</v>
      </c>
      <c r="Z15" s="140">
        <f t="shared" si="11"/>
        <v>1090000</v>
      </c>
      <c r="AA15" s="140">
        <f t="shared" si="11"/>
        <v>0</v>
      </c>
      <c r="AB15" s="133">
        <f t="shared" si="11"/>
        <v>0</v>
      </c>
      <c r="AC15" s="141"/>
      <c r="AD15" s="142" t="s">
        <v>346</v>
      </c>
      <c r="AE15" s="143"/>
      <c r="AF15" s="143"/>
      <c r="AG15" s="143"/>
      <c r="AH15" s="145"/>
      <c r="AI15" s="142"/>
      <c r="AJ15" s="142"/>
      <c r="AK15" s="142"/>
      <c r="AL15" s="142"/>
      <c r="AM15" s="142"/>
      <c r="AN15" s="142"/>
      <c r="AO15" s="142"/>
      <c r="AP15" s="200"/>
    </row>
    <row r="16" ht="18.75" customHeight="1">
      <c r="A16" s="118" t="s">
        <v>260</v>
      </c>
      <c r="B16" s="148" t="s">
        <v>347</v>
      </c>
      <c r="C16" s="151" t="s">
        <v>328</v>
      </c>
      <c r="D16" s="154"/>
      <c r="E16" s="158" t="s">
        <v>372</v>
      </c>
      <c r="F16" s="159" t="s">
        <v>373</v>
      </c>
      <c r="G16" s="159" t="s">
        <v>350</v>
      </c>
      <c r="H16" s="159" t="s">
        <v>35</v>
      </c>
      <c r="I16" s="161" t="s">
        <v>351</v>
      </c>
      <c r="J16" s="163">
        <v>45551.0</v>
      </c>
      <c r="K16" s="203" t="s">
        <v>374</v>
      </c>
      <c r="L16" s="166">
        <f t="shared" si="8"/>
        <v>0.7375861554</v>
      </c>
      <c r="M16" s="168">
        <f t="shared" ref="M16:M17" si="12">MAX(N16:R16)</f>
        <v>2612967.7</v>
      </c>
      <c r="N16" s="169">
        <v>2612967.7</v>
      </c>
      <c r="O16" s="169"/>
      <c r="P16" s="169"/>
      <c r="Q16" s="171"/>
      <c r="R16" s="172"/>
      <c r="S16" s="169"/>
      <c r="T16" s="168">
        <f t="shared" si="6"/>
        <v>1927288.8</v>
      </c>
      <c r="U16" s="175">
        <v>1927288.8</v>
      </c>
      <c r="V16" s="175"/>
      <c r="W16" s="175"/>
      <c r="X16" s="175"/>
      <c r="Y16" s="175">
        <f>SUMIF('07.26'!$J$4:$J$1000,$F16,'07.26'!$M$4:$M$1000)</f>
        <v>0</v>
      </c>
      <c r="Z16" s="175">
        <f>SUMIF('08.26'!$J$4:$J$1000,$F16,'08.26'!$M$4:$M$1000)</f>
        <v>0</v>
      </c>
      <c r="AA16" s="175">
        <f>SUMIF('09.26'!$J$4:$J$1429,$F16,'09.26'!$M$4:$M$1429)</f>
        <v>0</v>
      </c>
      <c r="AB16" s="175"/>
      <c r="AC16" s="181"/>
      <c r="AD16" s="182"/>
      <c r="AE16" s="184"/>
      <c r="AF16" s="184"/>
      <c r="AG16" s="184"/>
      <c r="AH16" s="185"/>
      <c r="AI16" s="182"/>
      <c r="AJ16" s="182"/>
      <c r="AK16" s="182"/>
      <c r="AL16" s="182"/>
      <c r="AM16" s="182"/>
      <c r="AN16" s="182"/>
      <c r="AO16" s="182"/>
      <c r="AP16" s="186"/>
    </row>
    <row r="17">
      <c r="A17" s="118" t="s">
        <v>260</v>
      </c>
      <c r="B17" s="197"/>
      <c r="C17" s="198"/>
      <c r="D17" s="199"/>
      <c r="E17" s="158" t="s">
        <v>337</v>
      </c>
      <c r="F17" s="159" t="s">
        <v>389</v>
      </c>
      <c r="G17" s="159" t="s">
        <v>354</v>
      </c>
      <c r="H17" s="159" t="s">
        <v>32</v>
      </c>
      <c r="I17" s="161" t="s">
        <v>355</v>
      </c>
      <c r="J17" s="163">
        <v>45537.0</v>
      </c>
      <c r="K17" s="203" t="s">
        <v>374</v>
      </c>
      <c r="L17" s="166">
        <f t="shared" si="8"/>
        <v>1</v>
      </c>
      <c r="M17" s="168">
        <f t="shared" si="12"/>
        <v>893700</v>
      </c>
      <c r="N17" s="169">
        <v>893700.0</v>
      </c>
      <c r="O17" s="169"/>
      <c r="P17" s="169" t="s">
        <v>391</v>
      </c>
      <c r="Q17" s="171"/>
      <c r="R17" s="172"/>
      <c r="S17" s="169"/>
      <c r="T17" s="168">
        <f t="shared" si="6"/>
        <v>893700</v>
      </c>
      <c r="U17" s="175">
        <v>766200.0</v>
      </c>
      <c r="V17" s="175"/>
      <c r="W17" s="175">
        <v>127500.0</v>
      </c>
      <c r="X17" s="175"/>
      <c r="Y17" s="175">
        <f>SUMIF('07.26'!$J$4:$J$1000,$F17,'07.26'!$M$4:$M$1000)</f>
        <v>0</v>
      </c>
      <c r="Z17" s="175">
        <f>SUMIF('08.26'!$J$4:$J$1000,$F17,'08.26'!$M$4:$M$1000)</f>
        <v>0</v>
      </c>
      <c r="AA17" s="175">
        <f>SUMIF('09.26'!$J$4:$J$1429,$F17,'09.26'!$M$4:$M$1429)</f>
        <v>0</v>
      </c>
      <c r="AB17" s="175"/>
      <c r="AC17" s="191"/>
      <c r="AD17" s="183"/>
      <c r="AE17" s="192"/>
      <c r="AF17" s="192"/>
      <c r="AG17" s="192"/>
      <c r="AH17" s="193"/>
      <c r="AI17" s="183"/>
      <c r="AJ17" s="183"/>
      <c r="AK17" s="183"/>
      <c r="AL17" s="183"/>
      <c r="AM17" s="183"/>
      <c r="AN17" s="183"/>
      <c r="AO17" s="183"/>
      <c r="AP17" s="190" t="s">
        <v>358</v>
      </c>
    </row>
    <row r="18" ht="18.75" customHeight="1">
      <c r="A18" s="118" t="s">
        <v>260</v>
      </c>
      <c r="B18" s="26"/>
      <c r="C18" s="187"/>
      <c r="D18" s="107"/>
      <c r="E18" s="158" t="s">
        <v>372</v>
      </c>
      <c r="F18" s="159" t="s">
        <v>400</v>
      </c>
      <c r="G18" s="159"/>
      <c r="H18" s="159"/>
      <c r="I18" s="161" t="s">
        <v>296</v>
      </c>
      <c r="J18" s="163">
        <v>45139.0</v>
      </c>
      <c r="K18" s="163">
        <v>45900.0</v>
      </c>
      <c r="L18" s="166">
        <f t="shared" si="8"/>
        <v>0.7441230678</v>
      </c>
      <c r="M18" s="168">
        <v>1.203422854E7</v>
      </c>
      <c r="N18" s="169"/>
      <c r="O18" s="169"/>
      <c r="P18" s="169"/>
      <c r="Q18" s="171"/>
      <c r="R18" s="172"/>
      <c r="S18" s="169"/>
      <c r="T18" s="168">
        <f t="shared" si="6"/>
        <v>8954947.06</v>
      </c>
      <c r="U18" s="175">
        <v>8742297.06</v>
      </c>
      <c r="V18" s="175"/>
      <c r="W18" s="175">
        <v>212650.0</v>
      </c>
      <c r="X18" s="175"/>
      <c r="Y18" s="175">
        <f>SUMIF('07.26'!$J$4:$J$1000,$F18,'07.26'!$M$4:$M$1000)</f>
        <v>0</v>
      </c>
      <c r="Z18" s="175">
        <f>SUMIF('08.26'!$J$4:$J$1000,$F18,'08.26'!$M$4:$M$1000)</f>
        <v>0</v>
      </c>
      <c r="AA18" s="175">
        <f>SUMIF('09.26'!$J$4:$J$1429,$F18,'09.26'!$M$4:$M$1429)</f>
        <v>0</v>
      </c>
      <c r="AB18" s="175"/>
      <c r="AC18" s="191"/>
      <c r="AD18" s="183"/>
      <c r="AE18" s="192"/>
      <c r="AF18" s="192"/>
      <c r="AG18" s="192"/>
      <c r="AH18" s="193"/>
      <c r="AI18" s="183"/>
      <c r="AJ18" s="183"/>
      <c r="AK18" s="183"/>
      <c r="AL18" s="183"/>
      <c r="AM18" s="183"/>
      <c r="AN18" s="183"/>
      <c r="AO18" s="183"/>
      <c r="AP18" s="190"/>
    </row>
    <row r="19" ht="18.75" customHeight="1">
      <c r="A19" s="118" t="s">
        <v>260</v>
      </c>
      <c r="B19" s="201" t="s">
        <v>359</v>
      </c>
      <c r="C19" s="202" t="s">
        <v>360</v>
      </c>
      <c r="D19" s="14"/>
      <c r="E19" s="158" t="s">
        <v>410</v>
      </c>
      <c r="F19" s="159" t="s">
        <v>411</v>
      </c>
      <c r="G19" s="159" t="s">
        <v>362</v>
      </c>
      <c r="H19" s="159" t="s">
        <v>28</v>
      </c>
      <c r="I19" s="161" t="s">
        <v>322</v>
      </c>
      <c r="J19" s="163">
        <v>45870.0</v>
      </c>
      <c r="K19" s="163">
        <v>46173.0</v>
      </c>
      <c r="L19" s="166">
        <f t="shared" si="8"/>
        <v>1</v>
      </c>
      <c r="M19" s="168">
        <v>2.940275E7</v>
      </c>
      <c r="N19" s="169">
        <v>2.896943171E7</v>
      </c>
      <c r="O19" s="169"/>
      <c r="P19" s="169"/>
      <c r="Q19" s="171"/>
      <c r="R19" s="172"/>
      <c r="S19" s="169"/>
      <c r="T19" s="168">
        <f t="shared" si="6"/>
        <v>29402750</v>
      </c>
      <c r="U19" s="175">
        <v>2.513666E7</v>
      </c>
      <c r="V19" s="175">
        <v>2576090.0</v>
      </c>
      <c r="W19" s="175"/>
      <c r="X19" s="175"/>
      <c r="Y19" s="175">
        <f>SUMIF('07.26'!$J$4:$J$1000,$F19,'07.26'!$M$4:$M$1000)</f>
        <v>600000</v>
      </c>
      <c r="Z19" s="175">
        <f>SUMIF('08.26'!$J$4:$J$1000,$F19,'08.26'!$M$4:$M$1000)</f>
        <v>1090000</v>
      </c>
      <c r="AA19" s="175">
        <f>SUMIF('09.26'!$J$4:$J$1429,$F19,'09.26'!$M$4:$M$1429)</f>
        <v>0</v>
      </c>
      <c r="AB19" s="175"/>
      <c r="AC19" s="181"/>
      <c r="AD19" s="182"/>
      <c r="AE19" s="184"/>
      <c r="AF19" s="184"/>
      <c r="AG19" s="184"/>
      <c r="AH19" s="185"/>
      <c r="AI19" s="182"/>
      <c r="AJ19" s="182"/>
      <c r="AK19" s="182"/>
      <c r="AL19" s="182"/>
      <c r="AM19" s="182"/>
      <c r="AN19" s="182"/>
      <c r="AO19" s="182"/>
      <c r="AP19" s="190" t="s">
        <v>364</v>
      </c>
    </row>
    <row r="20" ht="31.5" customHeight="1">
      <c r="A20" s="118" t="s">
        <v>260</v>
      </c>
      <c r="B20" s="119" t="s">
        <v>365</v>
      </c>
      <c r="C20" s="6" t="s">
        <v>419</v>
      </c>
      <c r="D20" s="6" t="s">
        <v>71</v>
      </c>
      <c r="E20" s="121"/>
      <c r="F20" s="122"/>
      <c r="G20" s="122"/>
      <c r="H20" s="122"/>
      <c r="I20" s="123"/>
      <c r="J20" s="124"/>
      <c r="K20" s="125"/>
      <c r="L20" s="129">
        <f t="shared" si="8"/>
        <v>0.7547097024</v>
      </c>
      <c r="M20" s="132">
        <f t="shared" ref="M20:AB20" si="13">SUM(M21:M34)</f>
        <v>396900276.8</v>
      </c>
      <c r="N20" s="133">
        <f t="shared" si="13"/>
        <v>340640676.7</v>
      </c>
      <c r="O20" s="133">
        <f t="shared" si="13"/>
        <v>51161864.44</v>
      </c>
      <c r="P20" s="133">
        <f t="shared" si="13"/>
        <v>161265594.5</v>
      </c>
      <c r="Q20" s="134">
        <f t="shared" si="13"/>
        <v>89921646.4</v>
      </c>
      <c r="R20" s="135">
        <f t="shared" si="13"/>
        <v>95922807.03</v>
      </c>
      <c r="S20" s="133">
        <f t="shared" si="13"/>
        <v>0</v>
      </c>
      <c r="T20" s="132">
        <f t="shared" si="13"/>
        <v>299544489.8</v>
      </c>
      <c r="U20" s="133">
        <f t="shared" si="13"/>
        <v>176644394.3</v>
      </c>
      <c r="V20" s="109">
        <f t="shared" si="13"/>
        <v>10238464.09</v>
      </c>
      <c r="W20" s="109">
        <f t="shared" si="13"/>
        <v>59857144.66</v>
      </c>
      <c r="X20" s="109">
        <f t="shared" si="13"/>
        <v>10960935.12</v>
      </c>
      <c r="Y20" s="140">
        <f t="shared" si="13"/>
        <v>17294131.44</v>
      </c>
      <c r="Z20" s="140">
        <f t="shared" si="13"/>
        <v>10242240.98</v>
      </c>
      <c r="AA20" s="140">
        <f t="shared" si="13"/>
        <v>14307179.18</v>
      </c>
      <c r="AB20" s="133">
        <f t="shared" si="13"/>
        <v>0</v>
      </c>
      <c r="AC20" s="141"/>
      <c r="AD20" s="142" t="s">
        <v>429</v>
      </c>
      <c r="AE20" s="143"/>
      <c r="AF20" s="143"/>
      <c r="AG20" s="143"/>
      <c r="AH20" s="145"/>
      <c r="AI20" s="142"/>
      <c r="AJ20" s="142"/>
      <c r="AK20" s="142"/>
      <c r="AL20" s="142"/>
      <c r="AM20" s="142"/>
      <c r="AN20" s="142"/>
      <c r="AO20" s="142"/>
      <c r="AP20" s="146"/>
    </row>
    <row r="21" ht="18.75" customHeight="1">
      <c r="A21" s="118" t="s">
        <v>260</v>
      </c>
      <c r="B21" s="148" t="s">
        <v>368</v>
      </c>
      <c r="C21" s="151" t="s">
        <v>328</v>
      </c>
      <c r="D21" s="154"/>
      <c r="E21" s="158" t="s">
        <v>291</v>
      </c>
      <c r="F21" s="159" t="s">
        <v>431</v>
      </c>
      <c r="G21" s="159" t="s">
        <v>370</v>
      </c>
      <c r="H21" s="159" t="s">
        <v>45</v>
      </c>
      <c r="I21" s="161" t="s">
        <v>296</v>
      </c>
      <c r="J21" s="163">
        <v>45768.0</v>
      </c>
      <c r="K21" s="163">
        <v>46326.0</v>
      </c>
      <c r="L21" s="166">
        <f t="shared" si="8"/>
        <v>0.6322939121</v>
      </c>
      <c r="M21" s="168">
        <f t="shared" ref="M21:M34" si="14">MAX(N21:R21)</f>
        <v>32060691.51</v>
      </c>
      <c r="N21" s="169">
        <v>1.683790377E7</v>
      </c>
      <c r="O21" s="169"/>
      <c r="P21" s="169"/>
      <c r="Q21" s="171">
        <v>1.980547875E7</v>
      </c>
      <c r="R21" s="172">
        <v>3.206069151E7</v>
      </c>
      <c r="S21" s="169"/>
      <c r="T21" s="168">
        <f t="shared" ref="T21:T36" si="15">SUM(U21:AA21)</f>
        <v>20271780.06</v>
      </c>
      <c r="U21" s="175">
        <v>9159594.36</v>
      </c>
      <c r="V21" s="175">
        <v>5763418.93</v>
      </c>
      <c r="W21" s="175">
        <v>1208634.0</v>
      </c>
      <c r="X21" s="175">
        <v>498320.0</v>
      </c>
      <c r="Y21" s="175">
        <f>SUMIF('07.26'!$J$4:$J$1000,$F21,'07.26'!$M$4:$M$1000)</f>
        <v>2742907.31</v>
      </c>
      <c r="Z21" s="175">
        <f>SUMIF('08.26'!$J$4:$J$1000,$F21,'08.26'!$M$4:$M$1000)</f>
        <v>0</v>
      </c>
      <c r="AA21" s="175">
        <f>SUMIF('09.26'!$J$4:$J$1429,$F21,'09.26'!$M$4:$M$1429)</f>
        <v>898905.46</v>
      </c>
      <c r="AB21" s="175"/>
      <c r="AC21" s="191"/>
      <c r="AD21" s="183"/>
      <c r="AE21" s="192"/>
      <c r="AF21" s="192"/>
      <c r="AG21" s="192"/>
      <c r="AH21" s="193"/>
      <c r="AI21" s="183"/>
      <c r="AJ21" s="183"/>
      <c r="AK21" s="183"/>
      <c r="AL21" s="183"/>
      <c r="AM21" s="183"/>
      <c r="AN21" s="183"/>
      <c r="AO21" s="183"/>
      <c r="AP21" s="190"/>
    </row>
    <row r="22" ht="18.75" customHeight="1">
      <c r="A22" s="118" t="s">
        <v>260</v>
      </c>
      <c r="B22" s="26"/>
      <c r="C22" s="187"/>
      <c r="D22" s="107"/>
      <c r="E22" s="158" t="s">
        <v>291</v>
      </c>
      <c r="F22" s="159" t="s">
        <v>439</v>
      </c>
      <c r="G22" s="159" t="s">
        <v>376</v>
      </c>
      <c r="H22" s="159" t="s">
        <v>45</v>
      </c>
      <c r="I22" s="161" t="s">
        <v>377</v>
      </c>
      <c r="J22" s="163">
        <v>45929.0</v>
      </c>
      <c r="K22" s="163">
        <v>46326.0</v>
      </c>
      <c r="L22" s="166">
        <f t="shared" si="8"/>
        <v>0.856057999</v>
      </c>
      <c r="M22" s="168">
        <f t="shared" si="14"/>
        <v>1562090.97</v>
      </c>
      <c r="N22" s="169">
        <v>898226.71</v>
      </c>
      <c r="O22" s="169"/>
      <c r="P22" s="169"/>
      <c r="Q22" s="171">
        <v>1479646.02</v>
      </c>
      <c r="R22" s="172">
        <v>1562090.97</v>
      </c>
      <c r="S22" s="169"/>
      <c r="T22" s="168">
        <f t="shared" si="15"/>
        <v>1337240.47</v>
      </c>
      <c r="U22" s="175">
        <v>578276.21</v>
      </c>
      <c r="V22" s="175">
        <v>47550.0</v>
      </c>
      <c r="W22" s="175"/>
      <c r="X22" s="175"/>
      <c r="Y22" s="175">
        <f>SUMIF('07.26'!$J$4:$J$1000,$F22,'07.26'!$M$4:$M$1000)</f>
        <v>628969.31</v>
      </c>
      <c r="Z22" s="175">
        <f>SUMIF('08.26'!$J$4:$J$1000,$F22,'08.26'!$M$4:$M$1000)</f>
        <v>0</v>
      </c>
      <c r="AA22" s="175">
        <f>SUMIF('09.26'!$J$4:$J$1429,$F22,'09.26'!$M$4:$M$1429)</f>
        <v>82444.95</v>
      </c>
      <c r="AB22" s="175"/>
      <c r="AC22" s="191"/>
      <c r="AD22" s="183"/>
      <c r="AE22" s="192"/>
      <c r="AF22" s="192"/>
      <c r="AG22" s="192"/>
      <c r="AH22" s="193"/>
      <c r="AI22" s="183"/>
      <c r="AJ22" s="183"/>
      <c r="AK22" s="183"/>
      <c r="AL22" s="183"/>
      <c r="AM22" s="183"/>
      <c r="AN22" s="183"/>
      <c r="AO22" s="183"/>
      <c r="AP22" s="190"/>
    </row>
    <row r="23" ht="18.75" customHeight="1">
      <c r="A23" s="118" t="s">
        <v>260</v>
      </c>
      <c r="B23" s="201" t="s">
        <v>379</v>
      </c>
      <c r="C23" s="202" t="s">
        <v>380</v>
      </c>
      <c r="D23" s="14"/>
      <c r="E23" s="158" t="s">
        <v>291</v>
      </c>
      <c r="F23" s="159" t="s">
        <v>447</v>
      </c>
      <c r="G23" s="159" t="s">
        <v>382</v>
      </c>
      <c r="H23" s="159" t="s">
        <v>45</v>
      </c>
      <c r="I23" s="161" t="s">
        <v>322</v>
      </c>
      <c r="J23" s="163">
        <v>45809.0</v>
      </c>
      <c r="K23" s="203" t="s">
        <v>374</v>
      </c>
      <c r="L23" s="166">
        <f t="shared" si="8"/>
        <v>0.8332497618</v>
      </c>
      <c r="M23" s="168">
        <f t="shared" si="14"/>
        <v>81516997.43</v>
      </c>
      <c r="N23" s="169">
        <v>6.055277729E7</v>
      </c>
      <c r="O23" s="169"/>
      <c r="P23" s="169">
        <v>8.151699743E7</v>
      </c>
      <c r="Q23" s="171"/>
      <c r="R23" s="172"/>
      <c r="S23" s="169"/>
      <c r="T23" s="168">
        <f t="shared" si="15"/>
        <v>67924018.69</v>
      </c>
      <c r="U23" s="175">
        <v>2.955277729E7</v>
      </c>
      <c r="V23" s="175"/>
      <c r="W23" s="175">
        <v>2.238744292E7</v>
      </c>
      <c r="X23" s="175">
        <v>3995949.62</v>
      </c>
      <c r="Y23" s="175">
        <f>SUMIF('07.26'!$J$4:$J$1000,$F23,'07.26'!$M$4:$M$1000)</f>
        <v>3995949.62</v>
      </c>
      <c r="Z23" s="175">
        <f>SUMIF('08.26'!$J$4:$J$1000,$F23,'08.26'!$M$4:$M$1000)</f>
        <v>3995949.62</v>
      </c>
      <c r="AA23" s="175">
        <f>SUMIF('09.26'!$J$4:$J$1429,$F23,'09.26'!$M$4:$M$1429)</f>
        <v>3995949.62</v>
      </c>
      <c r="AB23" s="175"/>
      <c r="AC23" s="191"/>
      <c r="AD23" s="183"/>
      <c r="AE23" s="192"/>
      <c r="AF23" s="192"/>
      <c r="AG23" s="192"/>
      <c r="AH23" s="193"/>
      <c r="AI23" s="183"/>
      <c r="AJ23" s="183"/>
      <c r="AK23" s="183"/>
      <c r="AL23" s="183"/>
      <c r="AM23" s="183"/>
      <c r="AN23" s="183"/>
      <c r="AO23" s="183"/>
      <c r="AP23" s="190" t="s">
        <v>384</v>
      </c>
    </row>
    <row r="24" ht="18.75" customHeight="1">
      <c r="A24" s="118" t="s">
        <v>260</v>
      </c>
      <c r="B24" s="201" t="s">
        <v>385</v>
      </c>
      <c r="C24" s="202" t="s">
        <v>386</v>
      </c>
      <c r="D24" s="14"/>
      <c r="E24" s="158" t="s">
        <v>291</v>
      </c>
      <c r="F24" s="159" t="s">
        <v>454</v>
      </c>
      <c r="G24" s="159" t="s">
        <v>388</v>
      </c>
      <c r="H24" s="159" t="s">
        <v>45</v>
      </c>
      <c r="I24" s="161" t="s">
        <v>322</v>
      </c>
      <c r="J24" s="163">
        <v>45778.0</v>
      </c>
      <c r="K24" s="162">
        <v>46387.0</v>
      </c>
      <c r="L24" s="166">
        <f t="shared" si="8"/>
        <v>0.8457353784</v>
      </c>
      <c r="M24" s="168">
        <f t="shared" si="14"/>
        <v>32050455.64</v>
      </c>
      <c r="N24" s="169">
        <v>3.205045564E7</v>
      </c>
      <c r="O24" s="169"/>
      <c r="P24" s="169"/>
      <c r="Q24" s="171"/>
      <c r="R24" s="172"/>
      <c r="S24" s="169"/>
      <c r="T24" s="168">
        <f t="shared" si="15"/>
        <v>27106204.23</v>
      </c>
      <c r="U24" s="175">
        <v>1.779169341E7</v>
      </c>
      <c r="V24" s="175">
        <v>1552418.47</v>
      </c>
      <c r="W24" s="175">
        <v>1552418.47</v>
      </c>
      <c r="X24" s="175">
        <v>1552418.47</v>
      </c>
      <c r="Y24" s="175">
        <f>SUMIF('07.26'!$J$4:$J$1000,$F24,'07.26'!$M$4:$M$1000)</f>
        <v>1552418.47</v>
      </c>
      <c r="Z24" s="175">
        <f>SUMIF('08.26'!$J$4:$J$1000,$F24,'08.26'!$M$4:$M$1000)</f>
        <v>1552418.47</v>
      </c>
      <c r="AA24" s="175">
        <f>SUMIF('09.26'!$J$4:$J$1429,$F24,'09.26'!$M$4:$M$1429)</f>
        <v>1552418.47</v>
      </c>
      <c r="AB24" s="175"/>
      <c r="AC24" s="191"/>
      <c r="AD24" s="183"/>
      <c r="AE24" s="192"/>
      <c r="AF24" s="192"/>
      <c r="AG24" s="192"/>
      <c r="AH24" s="193"/>
      <c r="AI24" s="183"/>
      <c r="AJ24" s="183"/>
      <c r="AK24" s="183"/>
      <c r="AL24" s="183"/>
      <c r="AM24" s="183"/>
      <c r="AN24" s="183"/>
      <c r="AO24" s="183"/>
      <c r="AP24" s="190"/>
    </row>
    <row r="25" ht="18.75" customHeight="1">
      <c r="A25" s="118" t="s">
        <v>260</v>
      </c>
      <c r="B25" s="201" t="s">
        <v>392</v>
      </c>
      <c r="C25" s="202" t="s">
        <v>393</v>
      </c>
      <c r="D25" s="14"/>
      <c r="E25" s="158" t="s">
        <v>291</v>
      </c>
      <c r="F25" s="207" t="s">
        <v>459</v>
      </c>
      <c r="G25" s="159" t="s">
        <v>395</v>
      </c>
      <c r="H25" s="159" t="s">
        <v>45</v>
      </c>
      <c r="I25" s="161" t="s">
        <v>322</v>
      </c>
      <c r="J25" s="163">
        <v>46082.0</v>
      </c>
      <c r="K25" s="163">
        <v>46326.0</v>
      </c>
      <c r="L25" s="166">
        <f t="shared" si="8"/>
        <v>0.8778135733</v>
      </c>
      <c r="M25" s="168">
        <f t="shared" si="14"/>
        <v>9847079.11</v>
      </c>
      <c r="N25" s="169">
        <v>3609538.23</v>
      </c>
      <c r="O25" s="169"/>
      <c r="P25" s="169"/>
      <c r="Q25" s="171">
        <v>9847079.11</v>
      </c>
      <c r="R25" s="172"/>
      <c r="S25" s="169"/>
      <c r="T25" s="168">
        <f t="shared" si="15"/>
        <v>8643899.7</v>
      </c>
      <c r="U25" s="175">
        <v>1424823.24</v>
      </c>
      <c r="V25" s="175">
        <v>1203179.41</v>
      </c>
      <c r="W25" s="175">
        <v>1203179.41</v>
      </c>
      <c r="X25" s="175">
        <v>1203179.41</v>
      </c>
      <c r="Y25" s="175">
        <f>SUMIF('07.26'!$J$4:$J$1000,$F25,'07.26'!$M$4:$M$1000)</f>
        <v>1203179.41</v>
      </c>
      <c r="Z25" s="175">
        <f>SUMIF('08.26'!$J$4:$J$1000,$F25,'08.26'!$M$4:$M$1000)</f>
        <v>1203179.41</v>
      </c>
      <c r="AA25" s="175">
        <f>SUMIF('09.26'!$J$4:$J$1429,$F25,'09.26'!$M$4:$M$1429)</f>
        <v>1203179.41</v>
      </c>
      <c r="AB25" s="175"/>
      <c r="AC25" s="191"/>
      <c r="AD25" s="183"/>
      <c r="AE25" s="192"/>
      <c r="AF25" s="192"/>
      <c r="AG25" s="192"/>
      <c r="AH25" s="193"/>
      <c r="AI25" s="183"/>
      <c r="AJ25" s="183"/>
      <c r="AK25" s="183"/>
      <c r="AL25" s="183"/>
      <c r="AM25" s="183"/>
      <c r="AN25" s="183"/>
      <c r="AO25" s="183"/>
      <c r="AP25" s="190"/>
    </row>
    <row r="26" ht="18.75" customHeight="1">
      <c r="A26" s="118" t="s">
        <v>260</v>
      </c>
      <c r="B26" s="148" t="s">
        <v>397</v>
      </c>
      <c r="C26" s="151" t="s">
        <v>398</v>
      </c>
      <c r="D26" s="154"/>
      <c r="E26" s="158" t="s">
        <v>291</v>
      </c>
      <c r="F26" s="159" t="s">
        <v>471</v>
      </c>
      <c r="G26" s="159" t="s">
        <v>401</v>
      </c>
      <c r="H26" s="159" t="s">
        <v>45</v>
      </c>
      <c r="I26" s="161" t="s">
        <v>322</v>
      </c>
      <c r="J26" s="163">
        <v>45474.0</v>
      </c>
      <c r="K26" s="162">
        <v>46387.0</v>
      </c>
      <c r="L26" s="166">
        <f t="shared" si="8"/>
        <v>0.8910771159</v>
      </c>
      <c r="M26" s="168">
        <f t="shared" si="14"/>
        <v>63374747.19</v>
      </c>
      <c r="N26" s="169">
        <v>6.337474719E7</v>
      </c>
      <c r="O26" s="169"/>
      <c r="P26" s="169">
        <v>6.337474719E7</v>
      </c>
      <c r="Q26" s="171"/>
      <c r="R26" s="172"/>
      <c r="S26" s="169"/>
      <c r="T26" s="168">
        <f t="shared" si="15"/>
        <v>56471786.95</v>
      </c>
      <c r="U26" s="175">
        <v>1.9781197E7</v>
      </c>
      <c r="V26" s="175"/>
      <c r="W26" s="175">
        <v>2.736674123E7</v>
      </c>
      <c r="X26" s="175">
        <v>1747994.2</v>
      </c>
      <c r="Y26" s="175">
        <f>SUMIF('07.26'!$J$4:$J$1000,$F26,'07.26'!$M$4:$M$1000)</f>
        <v>2797454.16</v>
      </c>
      <c r="Z26" s="175">
        <f>SUMIF('08.26'!$J$4:$J$1000,$F26,'08.26'!$M$4:$M$1000)</f>
        <v>2389200.18</v>
      </c>
      <c r="AA26" s="175">
        <f>SUMIF('09.26'!$J$4:$J$1429,$F26,'09.26'!$M$4:$M$1429)</f>
        <v>2389200.18</v>
      </c>
      <c r="AB26" s="175"/>
      <c r="AC26" s="191"/>
      <c r="AD26" s="183"/>
      <c r="AE26" s="192"/>
      <c r="AF26" s="192"/>
      <c r="AG26" s="192"/>
      <c r="AH26" s="193"/>
      <c r="AI26" s="183"/>
      <c r="AJ26" s="183"/>
      <c r="AK26" s="183"/>
      <c r="AL26" s="183"/>
      <c r="AM26" s="183"/>
      <c r="AN26" s="183"/>
      <c r="AO26" s="183"/>
      <c r="AP26" s="190" t="s">
        <v>403</v>
      </c>
    </row>
    <row r="27" ht="18.75" customHeight="1">
      <c r="A27" s="118" t="s">
        <v>260</v>
      </c>
      <c r="B27" s="197"/>
      <c r="C27" s="198"/>
      <c r="D27" s="199"/>
      <c r="E27" s="158" t="s">
        <v>291</v>
      </c>
      <c r="F27" s="159" t="s">
        <v>480</v>
      </c>
      <c r="G27" s="159" t="s">
        <v>405</v>
      </c>
      <c r="H27" s="159" t="s">
        <v>45</v>
      </c>
      <c r="I27" s="161" t="s">
        <v>296</v>
      </c>
      <c r="J27" s="163">
        <v>45404.0</v>
      </c>
      <c r="K27" s="163">
        <v>46326.0</v>
      </c>
      <c r="L27" s="166">
        <f t="shared" si="8"/>
        <v>0.7528010482</v>
      </c>
      <c r="M27" s="168">
        <f t="shared" si="14"/>
        <v>53251243.35</v>
      </c>
      <c r="N27" s="169">
        <v>4.888548045E7</v>
      </c>
      <c r="O27" s="169">
        <v>5.116186444E7</v>
      </c>
      <c r="P27" s="169"/>
      <c r="Q27" s="171">
        <v>5.255115288E7</v>
      </c>
      <c r="R27" s="172">
        <v>5.325124335E7</v>
      </c>
      <c r="S27" s="169"/>
      <c r="T27" s="168">
        <f t="shared" si="15"/>
        <v>40087591.81</v>
      </c>
      <c r="U27" s="175">
        <v>3.393456192E7</v>
      </c>
      <c r="V27" s="175">
        <v>848148.69</v>
      </c>
      <c r="W27" s="175">
        <v>779785.49</v>
      </c>
      <c r="X27" s="175">
        <v>1182655.12</v>
      </c>
      <c r="Y27" s="175">
        <f>SUMIF('07.26'!$J$4:$J$1000,$F27,'07.26'!$M$4:$M$1000)</f>
        <v>1117361.24</v>
      </c>
      <c r="Z27" s="175">
        <f>SUMIF('08.26'!$J$4:$J$1000,$F27,'08.26'!$M$4:$M$1000)</f>
        <v>321075</v>
      </c>
      <c r="AA27" s="175">
        <f>SUMIF('09.26'!$J$4:$J$1429,$F27,'09.26'!$M$4:$M$1429)</f>
        <v>1904004.35</v>
      </c>
      <c r="AB27" s="175"/>
      <c r="AC27" s="191"/>
      <c r="AD27" s="183"/>
      <c r="AE27" s="192"/>
      <c r="AF27" s="192"/>
      <c r="AG27" s="192"/>
      <c r="AH27" s="193"/>
      <c r="AI27" s="183"/>
      <c r="AJ27" s="183"/>
      <c r="AK27" s="183"/>
      <c r="AL27" s="183"/>
      <c r="AM27" s="183"/>
      <c r="AN27" s="183"/>
      <c r="AO27" s="183"/>
      <c r="AP27" s="190"/>
    </row>
    <row r="28" ht="18.75" customHeight="1">
      <c r="A28" s="118" t="s">
        <v>260</v>
      </c>
      <c r="B28" s="26"/>
      <c r="C28" s="187"/>
      <c r="D28" s="107"/>
      <c r="E28" s="158" t="s">
        <v>291</v>
      </c>
      <c r="F28" s="208" t="s">
        <v>491</v>
      </c>
      <c r="G28" s="208" t="s">
        <v>408</v>
      </c>
      <c r="H28" s="159" t="s">
        <v>45</v>
      </c>
      <c r="I28" s="161" t="s">
        <v>377</v>
      </c>
      <c r="J28" s="163">
        <v>45537.0</v>
      </c>
      <c r="K28" s="163">
        <v>46234.0</v>
      </c>
      <c r="L28" s="166">
        <f t="shared" si="8"/>
        <v>0.945854239</v>
      </c>
      <c r="M28" s="168">
        <f t="shared" si="14"/>
        <v>6238289.64</v>
      </c>
      <c r="N28" s="169">
        <v>6133744.19</v>
      </c>
      <c r="O28" s="169"/>
      <c r="P28" s="169"/>
      <c r="Q28" s="171">
        <v>6238289.64</v>
      </c>
      <c r="R28" s="172"/>
      <c r="S28" s="169"/>
      <c r="T28" s="168">
        <f t="shared" si="15"/>
        <v>5900512.7</v>
      </c>
      <c r="U28" s="175">
        <v>5399130.12</v>
      </c>
      <c r="V28" s="175">
        <v>396837.13</v>
      </c>
      <c r="W28" s="175"/>
      <c r="X28" s="175"/>
      <c r="Y28" s="175">
        <f>SUMIF('07.26'!$J$4:$J$1000,$F28,'07.26'!$M$4:$M$1000)</f>
        <v>104545.45</v>
      </c>
      <c r="Z28" s="175">
        <f>SUMIF('08.26'!$J$4:$J$1000,$F28,'08.26'!$M$4:$M$1000)</f>
        <v>0</v>
      </c>
      <c r="AA28" s="175">
        <f>SUMIF('09.26'!$J$4:$J$1429,$F28,'09.26'!$M$4:$M$1429)</f>
        <v>0</v>
      </c>
      <c r="AB28" s="175"/>
      <c r="AC28" s="191"/>
      <c r="AD28" s="183"/>
      <c r="AE28" s="192"/>
      <c r="AF28" s="192"/>
      <c r="AG28" s="192"/>
      <c r="AH28" s="193"/>
      <c r="AI28" s="183"/>
      <c r="AJ28" s="183"/>
      <c r="AK28" s="183"/>
      <c r="AL28" s="183"/>
      <c r="AM28" s="183"/>
      <c r="AN28" s="183"/>
      <c r="AO28" s="183"/>
      <c r="AP28" s="190"/>
    </row>
    <row r="29" ht="18.75" customHeight="1">
      <c r="A29" s="118" t="s">
        <v>260</v>
      </c>
      <c r="B29" s="148" t="s">
        <v>412</v>
      </c>
      <c r="C29" s="151" t="s">
        <v>413</v>
      </c>
      <c r="D29" s="154"/>
      <c r="E29" s="158" t="s">
        <v>372</v>
      </c>
      <c r="F29" s="159" t="s">
        <v>498</v>
      </c>
      <c r="G29" s="159" t="s">
        <v>415</v>
      </c>
      <c r="H29" s="159" t="s">
        <v>45</v>
      </c>
      <c r="I29" s="161" t="s">
        <v>322</v>
      </c>
      <c r="J29" s="163">
        <v>45292.0</v>
      </c>
      <c r="K29" s="203" t="s">
        <v>499</v>
      </c>
      <c r="L29" s="166">
        <f t="shared" si="8"/>
        <v>0.6479299678</v>
      </c>
      <c r="M29" s="168">
        <f t="shared" si="14"/>
        <v>27959055.3</v>
      </c>
      <c r="N29" s="169">
        <v>2.79590553E7</v>
      </c>
      <c r="O29" s="169"/>
      <c r="P29" s="169"/>
      <c r="Q29" s="171"/>
      <c r="R29" s="172"/>
      <c r="S29" s="169"/>
      <c r="T29" s="168">
        <f t="shared" si="15"/>
        <v>18115509.8</v>
      </c>
      <c r="U29" s="175">
        <v>1.81155098E7</v>
      </c>
      <c r="V29" s="175"/>
      <c r="W29" s="175"/>
      <c r="X29" s="175"/>
      <c r="Y29" s="175">
        <f>SUMIF('07.26'!$J$4:$J$1000,$F29,'07.26'!$M$4:$M$1000)</f>
        <v>0</v>
      </c>
      <c r="Z29" s="175">
        <f>SUMIF('08.26'!$J$4:$J$1000,$F29,'08.26'!$M$4:$M$1000)</f>
        <v>0</v>
      </c>
      <c r="AA29" s="175">
        <f>SUMIF('09.26'!$J$4:$J$1429,$F29,'09.26'!$M$4:$M$1429)</f>
        <v>0</v>
      </c>
      <c r="AB29" s="175"/>
      <c r="AC29" s="191"/>
      <c r="AD29" s="183"/>
      <c r="AE29" s="192"/>
      <c r="AF29" s="192"/>
      <c r="AG29" s="192"/>
      <c r="AH29" s="193"/>
      <c r="AI29" s="183"/>
      <c r="AJ29" s="183"/>
      <c r="AK29" s="183"/>
      <c r="AL29" s="183"/>
      <c r="AM29" s="183"/>
      <c r="AN29" s="183"/>
      <c r="AO29" s="183"/>
      <c r="AP29" s="190" t="s">
        <v>417</v>
      </c>
    </row>
    <row r="30" ht="18.75" customHeight="1">
      <c r="A30" s="118" t="s">
        <v>260</v>
      </c>
      <c r="B30" s="197"/>
      <c r="C30" s="198"/>
      <c r="D30" s="199"/>
      <c r="E30" s="158" t="s">
        <v>291</v>
      </c>
      <c r="F30" s="159" t="s">
        <v>504</v>
      </c>
      <c r="G30" s="159"/>
      <c r="H30" s="209" t="s">
        <v>146</v>
      </c>
      <c r="I30" s="161" t="s">
        <v>322</v>
      </c>
      <c r="J30" s="163">
        <v>46023.0</v>
      </c>
      <c r="K30" s="162">
        <v>46387.0</v>
      </c>
      <c r="L30" s="166">
        <f t="shared" si="8"/>
        <v>0.739325723</v>
      </c>
      <c r="M30" s="168">
        <f t="shared" si="14"/>
        <v>10082509.6</v>
      </c>
      <c r="N30" s="169">
        <v>1.00825096E7</v>
      </c>
      <c r="O30" s="169"/>
      <c r="P30" s="169">
        <v>1.00825096E7</v>
      </c>
      <c r="Q30" s="171"/>
      <c r="R30" s="172"/>
      <c r="S30" s="169"/>
      <c r="T30" s="168">
        <f t="shared" si="15"/>
        <v>7454258.7</v>
      </c>
      <c r="U30" s="175">
        <v>0.0</v>
      </c>
      <c r="V30" s="175"/>
      <c r="W30" s="175">
        <v>4332585.5</v>
      </c>
      <c r="X30" s="175">
        <v>780418.3</v>
      </c>
      <c r="Y30" s="175">
        <f>SUMIF('07.26'!$J$4:$J$1000,$F30,'07.26'!$M$4:$M$1000)</f>
        <v>780418.3</v>
      </c>
      <c r="Z30" s="175">
        <f>SUMIF('08.26'!$J$4:$J$1000,$F30,'08.26'!$M$4:$M$1000)</f>
        <v>780418.3</v>
      </c>
      <c r="AA30" s="175">
        <f>SUMIF('09.26'!$J$4:$J$1429,$F30,'09.26'!$M$4:$M$1429)</f>
        <v>780418.3</v>
      </c>
      <c r="AB30" s="175"/>
      <c r="AC30" s="191"/>
      <c r="AD30" s="183"/>
      <c r="AE30" s="192"/>
      <c r="AF30" s="192"/>
      <c r="AG30" s="192"/>
      <c r="AH30" s="193"/>
      <c r="AI30" s="183"/>
      <c r="AJ30" s="183"/>
      <c r="AK30" s="183"/>
      <c r="AL30" s="183"/>
      <c r="AM30" s="183"/>
      <c r="AN30" s="183"/>
      <c r="AO30" s="183"/>
      <c r="AP30" s="190" t="s">
        <v>421</v>
      </c>
    </row>
    <row r="31" ht="18.75" customHeight="1">
      <c r="A31" s="118" t="s">
        <v>260</v>
      </c>
      <c r="B31" s="197"/>
      <c r="C31" s="198"/>
      <c r="D31" s="199"/>
      <c r="E31" s="158" t="s">
        <v>291</v>
      </c>
      <c r="F31" s="159" t="s">
        <v>510</v>
      </c>
      <c r="G31" s="159" t="s">
        <v>423</v>
      </c>
      <c r="H31" s="159" t="s">
        <v>45</v>
      </c>
      <c r="I31" s="161" t="s">
        <v>296</v>
      </c>
      <c r="J31" s="163">
        <v>45292.0</v>
      </c>
      <c r="K31" s="203" t="s">
        <v>374</v>
      </c>
      <c r="L31" s="166">
        <f t="shared" si="8"/>
        <v>0.9123222299</v>
      </c>
      <c r="M31" s="168">
        <f t="shared" si="14"/>
        <v>44924741.1</v>
      </c>
      <c r="N31" s="169">
        <v>4.49247411E7</v>
      </c>
      <c r="O31" s="169"/>
      <c r="P31" s="169"/>
      <c r="Q31" s="171"/>
      <c r="R31" s="172"/>
      <c r="S31" s="169"/>
      <c r="T31" s="168">
        <f t="shared" si="15"/>
        <v>40985839.98</v>
      </c>
      <c r="U31" s="175">
        <v>4.090683098E7</v>
      </c>
      <c r="V31" s="175">
        <v>79009.0</v>
      </c>
      <c r="W31" s="175"/>
      <c r="X31" s="175"/>
      <c r="Y31" s="175">
        <f>SUMIF('07.26'!$J$4:$J$1000,$F31,'07.26'!$M$4:$M$1000)</f>
        <v>0</v>
      </c>
      <c r="Z31" s="175">
        <f>SUMIF('08.26'!$J$4:$J$1000,$F31,'08.26'!$M$4:$M$1000)</f>
        <v>0</v>
      </c>
      <c r="AA31" s="175">
        <f>SUMIF('09.26'!$J$4:$J$1429,$F31,'09.26'!$M$4:$M$1429)</f>
        <v>0</v>
      </c>
      <c r="AB31" s="175"/>
      <c r="AC31" s="191"/>
      <c r="AD31" s="183"/>
      <c r="AE31" s="192"/>
      <c r="AF31" s="192"/>
      <c r="AG31" s="192"/>
      <c r="AH31" s="193"/>
      <c r="AI31" s="183"/>
      <c r="AJ31" s="183"/>
      <c r="AK31" s="183"/>
      <c r="AL31" s="183"/>
      <c r="AM31" s="183"/>
      <c r="AN31" s="183"/>
      <c r="AO31" s="183"/>
      <c r="AP31" s="190" t="s">
        <v>425</v>
      </c>
    </row>
    <row r="32" ht="18.75" customHeight="1">
      <c r="A32" s="118" t="s">
        <v>260</v>
      </c>
      <c r="B32" s="26"/>
      <c r="C32" s="187"/>
      <c r="D32" s="107"/>
      <c r="E32" s="158" t="s">
        <v>291</v>
      </c>
      <c r="F32" s="159" t="s">
        <v>517</v>
      </c>
      <c r="G32" s="159" t="s">
        <v>427</v>
      </c>
      <c r="H32" s="209" t="s">
        <v>146</v>
      </c>
      <c r="I32" s="161" t="s">
        <v>296</v>
      </c>
      <c r="J32" s="163">
        <v>46108.0</v>
      </c>
      <c r="K32" s="163">
        <v>46173.0</v>
      </c>
      <c r="L32" s="166">
        <f t="shared" si="8"/>
        <v>0.6124139974</v>
      </c>
      <c r="M32" s="168">
        <f t="shared" si="14"/>
        <v>7656436.25</v>
      </c>
      <c r="N32" s="169">
        <v>347902.46</v>
      </c>
      <c r="O32" s="169"/>
      <c r="P32" s="169">
        <v>6291340.27</v>
      </c>
      <c r="Q32" s="171"/>
      <c r="R32" s="172">
        <v>7656436.25</v>
      </c>
      <c r="S32" s="169"/>
      <c r="T32" s="168">
        <f t="shared" si="15"/>
        <v>4688908.73</v>
      </c>
      <c r="U32" s="175">
        <v>0.0</v>
      </c>
      <c r="V32" s="175">
        <v>347902.46</v>
      </c>
      <c r="W32" s="175">
        <v>1026357.64</v>
      </c>
      <c r="X32" s="175"/>
      <c r="Y32" s="175">
        <f>SUMIF('07.26'!$J$4:$J$1000,$F32,'07.26'!$M$4:$M$1000)</f>
        <v>2370928.17</v>
      </c>
      <c r="Z32" s="175">
        <f>SUMIF('08.26'!$J$4:$J$1000,$F32,'08.26'!$M$4:$M$1000)</f>
        <v>0</v>
      </c>
      <c r="AA32" s="175">
        <f>SUMIF('09.26'!$J$4:$J$1429,$F32,'09.26'!$M$4:$M$1429)</f>
        <v>943720.46</v>
      </c>
      <c r="AB32" s="175"/>
      <c r="AC32" s="191"/>
      <c r="AD32" s="183"/>
      <c r="AE32" s="192"/>
      <c r="AF32" s="192"/>
      <c r="AG32" s="192"/>
      <c r="AH32" s="193"/>
      <c r="AI32" s="183"/>
      <c r="AJ32" s="183"/>
      <c r="AK32" s="183"/>
      <c r="AL32" s="183"/>
      <c r="AM32" s="183"/>
      <c r="AN32" s="183"/>
      <c r="AO32" s="183"/>
      <c r="AP32" s="190" t="s">
        <v>430</v>
      </c>
    </row>
    <row r="33" ht="18.75" customHeight="1">
      <c r="A33" s="118" t="s">
        <v>260</v>
      </c>
      <c r="B33" s="201" t="s">
        <v>432</v>
      </c>
      <c r="C33" s="202" t="s">
        <v>433</v>
      </c>
      <c r="D33" s="14"/>
      <c r="E33" s="158" t="s">
        <v>372</v>
      </c>
      <c r="F33" s="159" t="s">
        <v>525</v>
      </c>
      <c r="G33" s="159" t="s">
        <v>435</v>
      </c>
      <c r="H33" s="159" t="s">
        <v>146</v>
      </c>
      <c r="I33" s="161" t="s">
        <v>296</v>
      </c>
      <c r="J33" s="162">
        <v>46002.0</v>
      </c>
      <c r="K33" s="163">
        <v>46173.0</v>
      </c>
      <c r="L33" s="166">
        <f t="shared" si="8"/>
        <v>0</v>
      </c>
      <c r="M33" s="168">
        <f t="shared" si="14"/>
        <v>24983594.79</v>
      </c>
      <c r="N33" s="169">
        <v>2.498359479E7</v>
      </c>
      <c r="O33" s="169"/>
      <c r="P33" s="169"/>
      <c r="Q33" s="171"/>
      <c r="R33" s="172"/>
      <c r="S33" s="169"/>
      <c r="T33" s="168">
        <f t="shared" si="15"/>
        <v>0</v>
      </c>
      <c r="U33" s="175">
        <v>0.0</v>
      </c>
      <c r="V33" s="175"/>
      <c r="W33" s="175"/>
      <c r="X33" s="175"/>
      <c r="Y33" s="175">
        <f>SUMIF('07.26'!$J$4:$J$1000,$F33,'07.26'!$M$4:$M$1000)</f>
        <v>0</v>
      </c>
      <c r="Z33" s="175">
        <f>SUMIF('08.26'!$J$4:$J$1000,$F33,'08.26'!$M$4:$M$1000)</f>
        <v>0</v>
      </c>
      <c r="AA33" s="175">
        <f>SUMIF('09.26'!$J$4:$J$1429,$F33,'09.26'!$M$4:$M$1429)</f>
        <v>0</v>
      </c>
      <c r="AB33" s="175"/>
      <c r="AC33" s="191"/>
      <c r="AD33" s="183"/>
      <c r="AE33" s="192"/>
      <c r="AF33" s="192"/>
      <c r="AG33" s="192"/>
      <c r="AH33" s="193"/>
      <c r="AI33" s="183"/>
      <c r="AJ33" s="183"/>
      <c r="AK33" s="183"/>
      <c r="AL33" s="183"/>
      <c r="AM33" s="183"/>
      <c r="AN33" s="183"/>
      <c r="AO33" s="183"/>
      <c r="AP33" s="190" t="s">
        <v>437</v>
      </c>
    </row>
    <row r="34" ht="18.75" customHeight="1">
      <c r="A34" s="118" t="s">
        <v>260</v>
      </c>
      <c r="B34" s="201" t="s">
        <v>533</v>
      </c>
      <c r="C34" s="202" t="s">
        <v>534</v>
      </c>
      <c r="D34" s="14"/>
      <c r="E34" s="158" t="s">
        <v>291</v>
      </c>
      <c r="F34" s="159" t="s">
        <v>537</v>
      </c>
      <c r="G34" s="159" t="s">
        <v>538</v>
      </c>
      <c r="H34" s="159" t="s">
        <v>539</v>
      </c>
      <c r="I34" s="161" t="s">
        <v>322</v>
      </c>
      <c r="J34" s="214">
        <v>46235.0</v>
      </c>
      <c r="K34" s="163">
        <v>46387.0</v>
      </c>
      <c r="L34" s="166">
        <f t="shared" si="8"/>
        <v>0.4</v>
      </c>
      <c r="M34" s="168">
        <f t="shared" si="14"/>
        <v>1392344.95</v>
      </c>
      <c r="N34" s="169"/>
      <c r="O34" s="169"/>
      <c r="P34" s="169"/>
      <c r="Q34" s="171"/>
      <c r="R34" s="172">
        <v>1392344.95</v>
      </c>
      <c r="S34" s="169"/>
      <c r="T34" s="168">
        <f t="shared" si="15"/>
        <v>556937.98</v>
      </c>
      <c r="U34" s="175">
        <v>0.0</v>
      </c>
      <c r="V34" s="175"/>
      <c r="W34" s="175"/>
      <c r="X34" s="175"/>
      <c r="Y34" s="175">
        <f>SUMIF('07.26'!$J$4:$J$1000,$F34,'07.26'!$M$4:$M$1000)</f>
        <v>0</v>
      </c>
      <c r="Z34" s="175">
        <f>SUMIF('08.26'!$J$4:$J$1000,$F34,'08.26'!$M$4:$M$1000)</f>
        <v>0</v>
      </c>
      <c r="AA34" s="175">
        <f>SUMIF('09.26'!$J$4:$J$1429,$F34,'09.26'!$M$4:$M$1429)</f>
        <v>556937.98</v>
      </c>
      <c r="AB34" s="175"/>
      <c r="AC34" s="191"/>
      <c r="AD34" s="183"/>
      <c r="AE34" s="192"/>
      <c r="AF34" s="192"/>
      <c r="AG34" s="192"/>
      <c r="AH34" s="193"/>
      <c r="AI34" s="183"/>
      <c r="AJ34" s="183"/>
      <c r="AK34" s="183"/>
      <c r="AL34" s="183"/>
      <c r="AM34" s="183"/>
      <c r="AN34" s="183"/>
      <c r="AO34" s="183"/>
      <c r="AP34" s="190"/>
    </row>
    <row r="35">
      <c r="A35" s="118" t="s">
        <v>260</v>
      </c>
      <c r="B35" s="119" t="s">
        <v>438</v>
      </c>
      <c r="C35" s="6" t="s">
        <v>74</v>
      </c>
      <c r="D35" s="6" t="s">
        <v>71</v>
      </c>
      <c r="E35" s="121"/>
      <c r="F35" s="122"/>
      <c r="G35" s="122"/>
      <c r="H35" s="122"/>
      <c r="I35" s="123"/>
      <c r="J35" s="124"/>
      <c r="K35" s="125"/>
      <c r="L35" s="129">
        <f t="shared" si="8"/>
        <v>0.9655617063</v>
      </c>
      <c r="M35" s="132">
        <f t="shared" ref="M35:S35" si="16">SUM(M36)</f>
        <v>50777794.13</v>
      </c>
      <c r="N35" s="133">
        <f t="shared" si="16"/>
        <v>47432904.15</v>
      </c>
      <c r="O35" s="133">
        <f t="shared" si="16"/>
        <v>0</v>
      </c>
      <c r="P35" s="133">
        <f t="shared" si="16"/>
        <v>0</v>
      </c>
      <c r="Q35" s="134">
        <f t="shared" si="16"/>
        <v>50777794.13</v>
      </c>
      <c r="R35" s="135">
        <f t="shared" si="16"/>
        <v>0</v>
      </c>
      <c r="S35" s="133">
        <f t="shared" si="16"/>
        <v>0</v>
      </c>
      <c r="T35" s="132">
        <f t="shared" si="15"/>
        <v>49029093.54</v>
      </c>
      <c r="U35" s="133">
        <f t="shared" ref="U35:AB35" si="17">SUM(U36)</f>
        <v>45684203.56</v>
      </c>
      <c r="V35" s="109">
        <f t="shared" si="17"/>
        <v>0</v>
      </c>
      <c r="W35" s="109">
        <f t="shared" si="17"/>
        <v>0</v>
      </c>
      <c r="X35" s="109">
        <f t="shared" si="17"/>
        <v>0</v>
      </c>
      <c r="Y35" s="140">
        <f t="shared" si="17"/>
        <v>3344889.98</v>
      </c>
      <c r="Z35" s="140">
        <f t="shared" si="17"/>
        <v>0</v>
      </c>
      <c r="AA35" s="140">
        <f t="shared" si="17"/>
        <v>0</v>
      </c>
      <c r="AB35" s="133">
        <f t="shared" si="17"/>
        <v>0</v>
      </c>
      <c r="AC35" s="215"/>
      <c r="AD35" s="206" t="s">
        <v>440</v>
      </c>
      <c r="AE35" s="216"/>
      <c r="AF35" s="216"/>
      <c r="AG35" s="216"/>
      <c r="AH35" s="217"/>
      <c r="AI35" s="206"/>
      <c r="AJ35" s="206"/>
      <c r="AK35" s="206"/>
      <c r="AL35" s="206"/>
      <c r="AM35" s="206"/>
      <c r="AN35" s="206"/>
      <c r="AO35" s="206"/>
      <c r="AP35" s="146"/>
    </row>
    <row r="36" ht="18.75" customHeight="1">
      <c r="A36" s="118" t="s">
        <v>260</v>
      </c>
      <c r="B36" s="201" t="s">
        <v>441</v>
      </c>
      <c r="C36" s="202" t="s">
        <v>328</v>
      </c>
      <c r="D36" s="14"/>
      <c r="E36" s="158" t="s">
        <v>410</v>
      </c>
      <c r="F36" s="159" t="s">
        <v>557</v>
      </c>
      <c r="G36" s="159" t="s">
        <v>443</v>
      </c>
      <c r="H36" s="159" t="s">
        <v>76</v>
      </c>
      <c r="I36" s="161" t="s">
        <v>322</v>
      </c>
      <c r="J36" s="163">
        <v>44986.0</v>
      </c>
      <c r="K36" s="163">
        <v>46173.0</v>
      </c>
      <c r="L36" s="166">
        <f t="shared" si="8"/>
        <v>0.9655617063</v>
      </c>
      <c r="M36" s="168">
        <f>MAX(N36:R36)</f>
        <v>50777794.13</v>
      </c>
      <c r="N36" s="169">
        <v>4.743290415E7</v>
      </c>
      <c r="O36" s="169"/>
      <c r="P36" s="169"/>
      <c r="Q36" s="171">
        <v>5.077779413E7</v>
      </c>
      <c r="R36" s="172"/>
      <c r="S36" s="169"/>
      <c r="T36" s="168">
        <f t="shared" si="15"/>
        <v>49029093.54</v>
      </c>
      <c r="U36" s="175">
        <v>4.568420356E7</v>
      </c>
      <c r="V36" s="175"/>
      <c r="W36" s="175"/>
      <c r="X36" s="175"/>
      <c r="Y36" s="175">
        <f>SUMIF('07.26'!$J$4:$J$1000,$F36,'07.26'!$M$4:$M$1000)</f>
        <v>3344889.98</v>
      </c>
      <c r="Z36" s="175">
        <f>SUMIF('08.26'!$J$4:$J$1000,$F36,'08.26'!$M$4:$M$1000)</f>
        <v>0</v>
      </c>
      <c r="AA36" s="175">
        <f>SUMIF('09.26'!$J$4:$J$1429,$F36,'09.26'!$M$4:$M$1429)</f>
        <v>0</v>
      </c>
      <c r="AB36" s="175"/>
      <c r="AC36" s="181"/>
      <c r="AD36" s="182"/>
      <c r="AE36" s="184"/>
      <c r="AF36" s="184"/>
      <c r="AG36" s="184"/>
      <c r="AH36" s="185"/>
      <c r="AI36" s="182"/>
      <c r="AJ36" s="182"/>
      <c r="AK36" s="182"/>
      <c r="AL36" s="182"/>
      <c r="AM36" s="182"/>
      <c r="AN36" s="182"/>
      <c r="AO36" s="182"/>
      <c r="AP36" s="190" t="s">
        <v>445</v>
      </c>
    </row>
    <row r="37" ht="18.75" customHeight="1">
      <c r="A37" s="118" t="s">
        <v>260</v>
      </c>
      <c r="B37" s="119" t="s">
        <v>446</v>
      </c>
      <c r="C37" s="219" t="s">
        <v>237</v>
      </c>
      <c r="D37" s="219" t="s">
        <v>161</v>
      </c>
      <c r="E37" s="121"/>
      <c r="F37" s="122"/>
      <c r="G37" s="122"/>
      <c r="H37" s="122"/>
      <c r="I37" s="123"/>
      <c r="J37" s="124"/>
      <c r="K37" s="125"/>
      <c r="L37" s="129">
        <f t="shared" si="8"/>
        <v>0.7428946249</v>
      </c>
      <c r="M37" s="132">
        <f t="shared" ref="M37:AB37" si="18">SUM(M38:M53)</f>
        <v>271974971</v>
      </c>
      <c r="N37" s="133">
        <f t="shared" si="18"/>
        <v>228941234.2</v>
      </c>
      <c r="O37" s="133">
        <f t="shared" si="18"/>
        <v>55222907.31</v>
      </c>
      <c r="P37" s="133">
        <f t="shared" si="18"/>
        <v>17453540.06</v>
      </c>
      <c r="Q37" s="134">
        <f t="shared" si="18"/>
        <v>0</v>
      </c>
      <c r="R37" s="135">
        <f t="shared" si="18"/>
        <v>103327683.3</v>
      </c>
      <c r="S37" s="133">
        <f t="shared" si="18"/>
        <v>0</v>
      </c>
      <c r="T37" s="132">
        <f t="shared" si="18"/>
        <v>202048744.1</v>
      </c>
      <c r="U37" s="133">
        <f t="shared" si="18"/>
        <v>128438014.4</v>
      </c>
      <c r="V37" s="109">
        <f t="shared" si="18"/>
        <v>8007197.72</v>
      </c>
      <c r="W37" s="109">
        <f t="shared" si="18"/>
        <v>18289322.44</v>
      </c>
      <c r="X37" s="109">
        <f t="shared" si="18"/>
        <v>14152013.23</v>
      </c>
      <c r="Y37" s="140">
        <f t="shared" si="18"/>
        <v>8891791.01</v>
      </c>
      <c r="Z37" s="140">
        <f t="shared" si="18"/>
        <v>13901015.07</v>
      </c>
      <c r="AA37" s="140">
        <f t="shared" si="18"/>
        <v>10369390.22</v>
      </c>
      <c r="AB37" s="133">
        <f t="shared" si="18"/>
        <v>0</v>
      </c>
      <c r="AC37" s="141"/>
      <c r="AD37" s="142" t="s">
        <v>448</v>
      </c>
      <c r="AE37" s="143"/>
      <c r="AF37" s="143"/>
      <c r="AG37" s="143"/>
      <c r="AH37" s="145"/>
      <c r="AI37" s="142"/>
      <c r="AJ37" s="142"/>
      <c r="AK37" s="142"/>
      <c r="AL37" s="142"/>
      <c r="AM37" s="142"/>
      <c r="AN37" s="142"/>
      <c r="AO37" s="142"/>
      <c r="AP37" s="146"/>
    </row>
    <row r="38" ht="18.75" customHeight="1">
      <c r="A38" s="118" t="s">
        <v>260</v>
      </c>
      <c r="B38" s="148" t="s">
        <v>449</v>
      </c>
      <c r="C38" s="151" t="s">
        <v>450</v>
      </c>
      <c r="D38" s="154"/>
      <c r="E38" s="158" t="s">
        <v>291</v>
      </c>
      <c r="F38" s="159" t="s">
        <v>580</v>
      </c>
      <c r="G38" s="159" t="s">
        <v>452</v>
      </c>
      <c r="H38" s="159" t="s">
        <v>140</v>
      </c>
      <c r="I38" s="161" t="s">
        <v>296</v>
      </c>
      <c r="J38" s="163">
        <v>45573.0</v>
      </c>
      <c r="K38" s="163">
        <v>46326.0</v>
      </c>
      <c r="L38" s="166">
        <f t="shared" si="8"/>
        <v>0.9868751598</v>
      </c>
      <c r="M38" s="168">
        <f t="shared" ref="M38:M51" si="19">MAX(N38:R38)</f>
        <v>27115819.72</v>
      </c>
      <c r="N38" s="169">
        <v>2.516140379E7</v>
      </c>
      <c r="O38" s="169">
        <v>2.558277579E7</v>
      </c>
      <c r="P38" s="169"/>
      <c r="Q38" s="171"/>
      <c r="R38" s="172">
        <v>2.711581972E7</v>
      </c>
      <c r="S38" s="169"/>
      <c r="T38" s="168">
        <f t="shared" ref="T38:T51" si="20">SUM(U38:AA38)</f>
        <v>26759928.92</v>
      </c>
      <c r="U38" s="175">
        <v>2.305812438E7</v>
      </c>
      <c r="V38" s="175"/>
      <c r="W38" s="175">
        <v>1751918.61</v>
      </c>
      <c r="X38" s="175"/>
      <c r="Y38" s="175">
        <f>SUMIF('07.26'!$J$4:$J$1000,$F38,'07.26'!$M$4:$M$1000)</f>
        <v>430432</v>
      </c>
      <c r="Z38" s="175">
        <f>SUMIF('08.26'!$J$4:$J$1000,$F38,'08.26'!$M$4:$M$1000)</f>
        <v>1519453.93</v>
      </c>
      <c r="AA38" s="175">
        <f>SUMIF('09.26'!$J$4:$J$1429,$F38,'09.26'!$M$4:$M$1429)</f>
        <v>0</v>
      </c>
      <c r="AB38" s="175"/>
      <c r="AC38" s="181"/>
      <c r="AD38" s="182"/>
      <c r="AE38" s="184"/>
      <c r="AF38" s="184"/>
      <c r="AG38" s="184"/>
      <c r="AH38" s="185"/>
      <c r="AI38" s="182"/>
      <c r="AJ38" s="182"/>
      <c r="AK38" s="182"/>
      <c r="AL38" s="182"/>
      <c r="AM38" s="182"/>
      <c r="AN38" s="182"/>
      <c r="AO38" s="182"/>
      <c r="AP38" s="186"/>
    </row>
    <row r="39" ht="18.75" customHeight="1">
      <c r="A39" s="118" t="s">
        <v>260</v>
      </c>
      <c r="B39" s="26"/>
      <c r="C39" s="187"/>
      <c r="D39" s="107"/>
      <c r="E39" s="158" t="s">
        <v>291</v>
      </c>
      <c r="F39" s="159" t="s">
        <v>596</v>
      </c>
      <c r="G39" s="159" t="s">
        <v>452</v>
      </c>
      <c r="H39" s="159" t="s">
        <v>120</v>
      </c>
      <c r="I39" s="161" t="s">
        <v>322</v>
      </c>
      <c r="J39" s="163">
        <v>46023.0</v>
      </c>
      <c r="K39" s="162">
        <v>46387.0</v>
      </c>
      <c r="L39" s="166">
        <f t="shared" si="8"/>
        <v>0.8648085522</v>
      </c>
      <c r="M39" s="168">
        <f t="shared" si="19"/>
        <v>30729117.31</v>
      </c>
      <c r="N39" s="169">
        <v>3.072911731E7</v>
      </c>
      <c r="O39" s="169"/>
      <c r="P39" s="169"/>
      <c r="Q39" s="171"/>
      <c r="R39" s="172"/>
      <c r="S39" s="169"/>
      <c r="T39" s="168">
        <f t="shared" si="20"/>
        <v>26574803.45</v>
      </c>
      <c r="U39" s="175">
        <v>1.843020401E7</v>
      </c>
      <c r="V39" s="175">
        <v>1357433.24</v>
      </c>
      <c r="W39" s="175">
        <v>1357433.24</v>
      </c>
      <c r="X39" s="175">
        <v>1357433.24</v>
      </c>
      <c r="Y39" s="175">
        <f>SUMIF('07.26'!$J$4:$J$1000,$F39,'07.26'!$M$4:$M$1000)</f>
        <v>1357433.24</v>
      </c>
      <c r="Z39" s="175">
        <f>SUMIF('08.26'!$J$4:$J$1000,$F39,'08.26'!$M$4:$M$1000)</f>
        <v>1357433.24</v>
      </c>
      <c r="AA39" s="175">
        <f>SUMIF('09.26'!$J$4:$J$1429,$F39,'09.26'!$M$4:$M$1429)</f>
        <v>1357433.24</v>
      </c>
      <c r="AB39" s="175"/>
      <c r="AC39" s="181"/>
      <c r="AD39" s="182"/>
      <c r="AE39" s="184"/>
      <c r="AF39" s="184"/>
      <c r="AG39" s="184"/>
      <c r="AH39" s="185"/>
      <c r="AI39" s="182"/>
      <c r="AJ39" s="182"/>
      <c r="AK39" s="182"/>
      <c r="AL39" s="182"/>
      <c r="AM39" s="182"/>
      <c r="AN39" s="182"/>
      <c r="AO39" s="182"/>
      <c r="AP39" s="186"/>
    </row>
    <row r="40" ht="18.75" customHeight="1">
      <c r="A40" s="118" t="s">
        <v>260</v>
      </c>
      <c r="B40" s="148" t="s">
        <v>456</v>
      </c>
      <c r="C40" s="151" t="s">
        <v>457</v>
      </c>
      <c r="D40" s="154"/>
      <c r="E40" s="158" t="s">
        <v>291</v>
      </c>
      <c r="F40" s="159" t="s">
        <v>610</v>
      </c>
      <c r="G40" s="159" t="s">
        <v>460</v>
      </c>
      <c r="H40" s="159" t="s">
        <v>128</v>
      </c>
      <c r="I40" s="161" t="s">
        <v>296</v>
      </c>
      <c r="J40" s="163">
        <v>45819.0</v>
      </c>
      <c r="K40" s="163">
        <v>46326.0</v>
      </c>
      <c r="L40" s="166">
        <f t="shared" si="8"/>
        <v>0.500035511</v>
      </c>
      <c r="M40" s="168">
        <f t="shared" si="19"/>
        <v>14665025.22</v>
      </c>
      <c r="N40" s="169">
        <v>1.406066861E7</v>
      </c>
      <c r="O40" s="169"/>
      <c r="P40" s="169"/>
      <c r="Q40" s="171"/>
      <c r="R40" s="172">
        <v>1.466502522E7</v>
      </c>
      <c r="S40" s="169"/>
      <c r="T40" s="168">
        <f t="shared" si="20"/>
        <v>7333033.38</v>
      </c>
      <c r="U40" s="175">
        <v>2491884.78</v>
      </c>
      <c r="V40" s="175">
        <v>923026.17</v>
      </c>
      <c r="W40" s="175">
        <v>2729875.91</v>
      </c>
      <c r="X40" s="175">
        <v>417568.11</v>
      </c>
      <c r="Y40" s="175">
        <f>SUMIF('07.26'!$J$4:$J$1000,$F40,'07.26'!$M$4:$M$1000)</f>
        <v>136719.09</v>
      </c>
      <c r="Z40" s="175">
        <f>SUMIF('08.26'!$J$4:$J$1000,$F40,'08.26'!$M$4:$M$1000)</f>
        <v>589137.52</v>
      </c>
      <c r="AA40" s="175">
        <f>SUMIF('09.26'!$J$4:$J$1429,$F40,'09.26'!$M$4:$M$1429)</f>
        <v>44821.8</v>
      </c>
      <c r="AB40" s="175"/>
      <c r="AC40" s="181"/>
      <c r="AD40" s="182"/>
      <c r="AE40" s="184"/>
      <c r="AF40" s="184"/>
      <c r="AG40" s="184"/>
      <c r="AH40" s="185"/>
      <c r="AI40" s="182"/>
      <c r="AJ40" s="182"/>
      <c r="AK40" s="182"/>
      <c r="AL40" s="182"/>
      <c r="AM40" s="182"/>
      <c r="AN40" s="182"/>
      <c r="AO40" s="182"/>
      <c r="AP40" s="190" t="s">
        <v>462</v>
      </c>
    </row>
    <row r="41" ht="18.75" customHeight="1">
      <c r="A41" s="118" t="s">
        <v>260</v>
      </c>
      <c r="B41" s="26"/>
      <c r="C41" s="187"/>
      <c r="D41" s="107"/>
      <c r="E41" s="158" t="s">
        <v>291</v>
      </c>
      <c r="F41" s="159" t="s">
        <v>613</v>
      </c>
      <c r="G41" s="159" t="s">
        <v>464</v>
      </c>
      <c r="H41" s="159" t="s">
        <v>130</v>
      </c>
      <c r="I41" s="161" t="s">
        <v>322</v>
      </c>
      <c r="J41" s="163">
        <v>45809.0</v>
      </c>
      <c r="K41" s="162">
        <v>46387.0</v>
      </c>
      <c r="L41" s="166">
        <f t="shared" si="8"/>
        <v>0.7768748828</v>
      </c>
      <c r="M41" s="168">
        <f t="shared" si="19"/>
        <v>29506539.53</v>
      </c>
      <c r="N41" s="169">
        <v>2.950653953E7</v>
      </c>
      <c r="O41" s="169"/>
      <c r="P41" s="169"/>
      <c r="Q41" s="171"/>
      <c r="R41" s="172"/>
      <c r="S41" s="169"/>
      <c r="T41" s="168">
        <f t="shared" si="20"/>
        <v>22922889.44</v>
      </c>
      <c r="U41" s="175">
        <v>1.400086316E7</v>
      </c>
      <c r="V41" s="175">
        <v>1487004.38</v>
      </c>
      <c r="W41" s="175">
        <v>1487004.38</v>
      </c>
      <c r="X41" s="175">
        <v>1487004.38</v>
      </c>
      <c r="Y41" s="175">
        <f>SUMIF('07.26'!$J$4:$J$1000,$F41,'07.26'!$M$4:$M$1000)</f>
        <v>1487004.38</v>
      </c>
      <c r="Z41" s="175">
        <f>SUMIF('08.26'!$J$4:$J$1000,$F41,'08.26'!$M$4:$M$1000)</f>
        <v>1487004.38</v>
      </c>
      <c r="AA41" s="175">
        <f>SUMIF('09.26'!$J$4:$J$1429,$F41,'09.26'!$M$4:$M$1429)</f>
        <v>1487004.38</v>
      </c>
      <c r="AB41" s="175"/>
      <c r="AC41" s="181"/>
      <c r="AD41" s="182"/>
      <c r="AE41" s="184"/>
      <c r="AF41" s="184"/>
      <c r="AG41" s="184"/>
      <c r="AH41" s="185"/>
      <c r="AI41" s="182"/>
      <c r="AJ41" s="182"/>
      <c r="AK41" s="182"/>
      <c r="AL41" s="182"/>
      <c r="AM41" s="182"/>
      <c r="AN41" s="182"/>
      <c r="AO41" s="182"/>
      <c r="AP41" s="186"/>
    </row>
    <row r="42" ht="18.75" customHeight="1">
      <c r="A42" s="118" t="s">
        <v>260</v>
      </c>
      <c r="B42" s="148" t="s">
        <v>466</v>
      </c>
      <c r="C42" s="151" t="s">
        <v>467</v>
      </c>
      <c r="D42" s="154"/>
      <c r="E42" s="158" t="s">
        <v>291</v>
      </c>
      <c r="F42" s="223" t="s">
        <v>624</v>
      </c>
      <c r="G42" s="159" t="s">
        <v>469</v>
      </c>
      <c r="H42" s="159" t="s">
        <v>123</v>
      </c>
      <c r="I42" s="161" t="s">
        <v>296</v>
      </c>
      <c r="J42" s="163">
        <v>45806.0</v>
      </c>
      <c r="K42" s="163">
        <v>46326.0</v>
      </c>
      <c r="L42" s="166">
        <f t="shared" si="8"/>
        <v>0.7605721876</v>
      </c>
      <c r="M42" s="168">
        <f t="shared" si="19"/>
        <v>29918166.72</v>
      </c>
      <c r="N42" s="169">
        <v>2.60747631E7</v>
      </c>
      <c r="O42" s="169">
        <v>2.964013152E7</v>
      </c>
      <c r="P42" s="169"/>
      <c r="Q42" s="171"/>
      <c r="R42" s="172">
        <v>2.991816672E7</v>
      </c>
      <c r="S42" s="169"/>
      <c r="T42" s="168">
        <f t="shared" si="20"/>
        <v>22754925.51</v>
      </c>
      <c r="U42" s="175">
        <v>1.928742989E7</v>
      </c>
      <c r="V42" s="175">
        <v>1385087.42</v>
      </c>
      <c r="W42" s="175">
        <v>1285285.0</v>
      </c>
      <c r="X42" s="175"/>
      <c r="Y42" s="175">
        <f>SUMIF('07.26'!$J$4:$J$1000,$F42,'07.26'!$M$4:$M$1000)</f>
        <v>55685</v>
      </c>
      <c r="Z42" s="175">
        <f>SUMIF('08.26'!$J$4:$J$1000,$F42,'08.26'!$M$4:$M$1000)</f>
        <v>0</v>
      </c>
      <c r="AA42" s="175">
        <f>SUMIF('09.26'!$J$4:$J$1429,$F42,'09.26'!$M$4:$M$1429)</f>
        <v>741438.2</v>
      </c>
      <c r="AB42" s="175"/>
      <c r="AC42" s="181"/>
      <c r="AD42" s="182"/>
      <c r="AE42" s="184"/>
      <c r="AF42" s="184"/>
      <c r="AG42" s="184"/>
      <c r="AH42" s="185"/>
      <c r="AI42" s="182"/>
      <c r="AJ42" s="182"/>
      <c r="AK42" s="182"/>
      <c r="AL42" s="182"/>
      <c r="AM42" s="182"/>
      <c r="AN42" s="182"/>
      <c r="AO42" s="182"/>
      <c r="AP42" s="186"/>
    </row>
    <row r="43" ht="18.75" customHeight="1">
      <c r="A43" s="118" t="s">
        <v>260</v>
      </c>
      <c r="B43" s="26"/>
      <c r="C43" s="187"/>
      <c r="D43" s="107"/>
      <c r="E43" s="158" t="s">
        <v>291</v>
      </c>
      <c r="F43" s="159" t="s">
        <v>638</v>
      </c>
      <c r="G43" s="159" t="s">
        <v>473</v>
      </c>
      <c r="H43" s="159" t="s">
        <v>100</v>
      </c>
      <c r="I43" s="161" t="s">
        <v>322</v>
      </c>
      <c r="J43" s="163">
        <v>45839.0</v>
      </c>
      <c r="K43" s="162">
        <v>46387.0</v>
      </c>
      <c r="L43" s="166">
        <f t="shared" si="8"/>
        <v>0.8262793958</v>
      </c>
      <c r="M43" s="168">
        <f t="shared" si="19"/>
        <v>31238625.34</v>
      </c>
      <c r="N43" s="169">
        <v>3.123862534E7</v>
      </c>
      <c r="O43" s="169"/>
      <c r="P43" s="169"/>
      <c r="Q43" s="171"/>
      <c r="R43" s="172"/>
      <c r="S43" s="169"/>
      <c r="T43" s="168">
        <f t="shared" si="20"/>
        <v>25811832.47</v>
      </c>
      <c r="U43" s="175">
        <v>1.529724425E7</v>
      </c>
      <c r="V43" s="175">
        <v>1752431.37</v>
      </c>
      <c r="W43" s="175">
        <v>1752431.37</v>
      </c>
      <c r="X43" s="175">
        <v>1752431.37</v>
      </c>
      <c r="Y43" s="175">
        <f>SUMIF('07.26'!$J$4:$J$1000,$F43,'07.26'!$M$4:$M$1000)</f>
        <v>1752431.37</v>
      </c>
      <c r="Z43" s="175">
        <f>SUMIF('08.26'!$J$4:$J$1000,$F43,'08.26'!$M$4:$M$1000)</f>
        <v>1752431.37</v>
      </c>
      <c r="AA43" s="175">
        <f>SUMIF('09.26'!$J$4:$J$1429,$F43,'09.26'!$M$4:$M$1429)</f>
        <v>1752431.37</v>
      </c>
      <c r="AB43" s="175"/>
      <c r="AC43" s="181"/>
      <c r="AD43" s="182"/>
      <c r="AE43" s="184"/>
      <c r="AF43" s="184"/>
      <c r="AG43" s="184"/>
      <c r="AH43" s="185"/>
      <c r="AI43" s="182"/>
      <c r="AJ43" s="182"/>
      <c r="AK43" s="182"/>
      <c r="AL43" s="182"/>
      <c r="AM43" s="182"/>
      <c r="AN43" s="182"/>
      <c r="AO43" s="182"/>
      <c r="AP43" s="186"/>
    </row>
    <row r="44" ht="18.75" customHeight="1">
      <c r="A44" s="118" t="s">
        <v>260</v>
      </c>
      <c r="B44" s="148" t="s">
        <v>475</v>
      </c>
      <c r="C44" s="151" t="s">
        <v>476</v>
      </c>
      <c r="D44" s="154"/>
      <c r="E44" s="158" t="s">
        <v>291</v>
      </c>
      <c r="F44" s="159" t="s">
        <v>646</v>
      </c>
      <c r="G44" s="159" t="s">
        <v>478</v>
      </c>
      <c r="H44" s="159" t="s">
        <v>132</v>
      </c>
      <c r="I44" s="161" t="s">
        <v>296</v>
      </c>
      <c r="J44" s="163">
        <v>45908.0</v>
      </c>
      <c r="K44" s="203" t="s">
        <v>374</v>
      </c>
      <c r="L44" s="166">
        <f t="shared" si="8"/>
        <v>0.7603414705</v>
      </c>
      <c r="M44" s="168">
        <f t="shared" si="19"/>
        <v>37903821.53</v>
      </c>
      <c r="N44" s="169">
        <v>3.790382153E7</v>
      </c>
      <c r="O44" s="169"/>
      <c r="P44" s="169"/>
      <c r="Q44" s="171"/>
      <c r="R44" s="172"/>
      <c r="S44" s="169"/>
      <c r="T44" s="168">
        <f t="shared" si="20"/>
        <v>28819847.4</v>
      </c>
      <c r="U44" s="175">
        <v>2.04146124E7</v>
      </c>
      <c r="V44" s="175"/>
      <c r="W44" s="175">
        <v>2521235.73</v>
      </c>
      <c r="X44" s="175">
        <v>3853006.65</v>
      </c>
      <c r="Y44" s="175">
        <f>SUMIF('07.26'!$J$4:$J$1000,$F44,'07.26'!$M$4:$M$1000)</f>
        <v>478693.62</v>
      </c>
      <c r="Z44" s="175">
        <f>SUMIF('08.26'!$J$4:$J$1000,$F44,'08.26'!$M$4:$M$1000)</f>
        <v>1530828</v>
      </c>
      <c r="AA44" s="175">
        <f>SUMIF('09.26'!$J$4:$J$1429,$F44,'09.26'!$M$4:$M$1429)</f>
        <v>21471</v>
      </c>
      <c r="AB44" s="175"/>
      <c r="AC44" s="181"/>
      <c r="AD44" s="182"/>
      <c r="AE44" s="184"/>
      <c r="AF44" s="184"/>
      <c r="AG44" s="184"/>
      <c r="AH44" s="185"/>
      <c r="AI44" s="182"/>
      <c r="AJ44" s="182"/>
      <c r="AK44" s="182"/>
      <c r="AL44" s="182"/>
      <c r="AM44" s="182"/>
      <c r="AN44" s="182"/>
      <c r="AO44" s="182"/>
      <c r="AP44" s="186"/>
    </row>
    <row r="45" ht="18.75" customHeight="1">
      <c r="A45" s="118" t="s">
        <v>260</v>
      </c>
      <c r="B45" s="26"/>
      <c r="C45" s="187"/>
      <c r="D45" s="107"/>
      <c r="E45" s="158" t="s">
        <v>291</v>
      </c>
      <c r="F45" s="159" t="s">
        <v>655</v>
      </c>
      <c r="G45" s="159" t="s">
        <v>482</v>
      </c>
      <c r="H45" s="159" t="s">
        <v>136</v>
      </c>
      <c r="I45" s="161" t="s">
        <v>322</v>
      </c>
      <c r="J45" s="163">
        <v>46023.0</v>
      </c>
      <c r="K45" s="162">
        <v>46387.0</v>
      </c>
      <c r="L45" s="166">
        <f t="shared" si="8"/>
        <v>0.6962976455</v>
      </c>
      <c r="M45" s="168">
        <f t="shared" si="19"/>
        <v>13944071.68</v>
      </c>
      <c r="N45" s="169">
        <v>1.394407168E7</v>
      </c>
      <c r="O45" s="169"/>
      <c r="P45" s="169"/>
      <c r="Q45" s="171"/>
      <c r="R45" s="172"/>
      <c r="S45" s="169"/>
      <c r="T45" s="168">
        <f t="shared" si="20"/>
        <v>9709224.28</v>
      </c>
      <c r="U45" s="175">
        <v>3095933.44</v>
      </c>
      <c r="V45" s="175">
        <v>1102215.14</v>
      </c>
      <c r="W45" s="175">
        <v>1102215.14</v>
      </c>
      <c r="X45" s="175">
        <v>1102215.14</v>
      </c>
      <c r="Y45" s="175">
        <f>SUMIF('07.26'!$J$4:$J$1000,$F45,'07.26'!$M$4:$M$1000)</f>
        <v>1102215.14</v>
      </c>
      <c r="Z45" s="175">
        <f>SUMIF('08.26'!$J$4:$J$1000,$F45,'08.26'!$M$4:$M$1000)</f>
        <v>1102215.14</v>
      </c>
      <c r="AA45" s="175">
        <f>SUMIF('09.26'!$J$4:$J$1429,$F45,'09.26'!$M$4:$M$1429)</f>
        <v>1102215.14</v>
      </c>
      <c r="AB45" s="175"/>
      <c r="AC45" s="181"/>
      <c r="AD45" s="182"/>
      <c r="AE45" s="184"/>
      <c r="AF45" s="184"/>
      <c r="AG45" s="184"/>
      <c r="AH45" s="185"/>
      <c r="AI45" s="182"/>
      <c r="AJ45" s="182"/>
      <c r="AK45" s="182"/>
      <c r="AL45" s="182"/>
      <c r="AM45" s="182"/>
      <c r="AN45" s="182"/>
      <c r="AO45" s="182"/>
      <c r="AP45" s="186"/>
    </row>
    <row r="46" ht="18.75" customHeight="1">
      <c r="A46" s="118" t="s">
        <v>260</v>
      </c>
      <c r="B46" s="148" t="s">
        <v>484</v>
      </c>
      <c r="C46" s="151" t="s">
        <v>485</v>
      </c>
      <c r="D46" s="154"/>
      <c r="E46" s="158" t="s">
        <v>291</v>
      </c>
      <c r="F46" s="159" t="s">
        <v>670</v>
      </c>
      <c r="G46" s="159" t="s">
        <v>487</v>
      </c>
      <c r="H46" s="159" t="s">
        <v>138</v>
      </c>
      <c r="I46" s="161" t="s">
        <v>296</v>
      </c>
      <c r="J46" s="163">
        <v>46091.0</v>
      </c>
      <c r="K46" s="163">
        <v>46173.0</v>
      </c>
      <c r="L46" s="166">
        <f t="shared" si="8"/>
        <v>0.4203827346</v>
      </c>
      <c r="M46" s="168">
        <f t="shared" si="19"/>
        <v>7871572.23</v>
      </c>
      <c r="N46" s="169">
        <v>7871572.23</v>
      </c>
      <c r="O46" s="169"/>
      <c r="P46" s="169"/>
      <c r="Q46" s="171"/>
      <c r="R46" s="172"/>
      <c r="S46" s="169"/>
      <c r="T46" s="168">
        <f t="shared" si="20"/>
        <v>3309073.06</v>
      </c>
      <c r="U46" s="175">
        <v>0.0</v>
      </c>
      <c r="V46" s="175"/>
      <c r="W46" s="175">
        <v>3309073.06</v>
      </c>
      <c r="X46" s="175"/>
      <c r="Y46" s="175">
        <f>SUMIF('07.26'!$J$4:$J$1000,$F46,'07.26'!$M$4:$M$1000)</f>
        <v>0</v>
      </c>
      <c r="Z46" s="175">
        <f>SUMIF('08.26'!$J$4:$J$1000,$F46,'08.26'!$M$4:$M$1000)</f>
        <v>0</v>
      </c>
      <c r="AA46" s="175">
        <f>SUMIF('09.26'!$J$4:$J$1429,$F46,'09.26'!$M$4:$M$1429)</f>
        <v>0</v>
      </c>
      <c r="AB46" s="175"/>
      <c r="AC46" s="181"/>
      <c r="AD46" s="182"/>
      <c r="AE46" s="184"/>
      <c r="AF46" s="184"/>
      <c r="AG46" s="184"/>
      <c r="AH46" s="185"/>
      <c r="AI46" s="182"/>
      <c r="AJ46" s="182"/>
      <c r="AK46" s="182"/>
      <c r="AL46" s="182"/>
      <c r="AM46" s="182"/>
      <c r="AN46" s="182"/>
      <c r="AO46" s="182"/>
      <c r="AP46" s="190" t="s">
        <v>489</v>
      </c>
    </row>
    <row r="47" ht="18.75" customHeight="1">
      <c r="A47" s="118" t="s">
        <v>260</v>
      </c>
      <c r="B47" s="26"/>
      <c r="C47" s="187"/>
      <c r="D47" s="107"/>
      <c r="E47" s="158" t="s">
        <v>291</v>
      </c>
      <c r="F47" s="159" t="s">
        <v>679</v>
      </c>
      <c r="G47" s="159" t="s">
        <v>487</v>
      </c>
      <c r="H47" s="159" t="s">
        <v>138</v>
      </c>
      <c r="I47" s="161" t="s">
        <v>322</v>
      </c>
      <c r="J47" s="163">
        <v>46143.0</v>
      </c>
      <c r="K47" s="163">
        <v>46387.0</v>
      </c>
      <c r="L47" s="166">
        <f t="shared" si="8"/>
        <v>0.4822582899</v>
      </c>
      <c r="M47" s="168">
        <f t="shared" si="19"/>
        <v>8088171.84</v>
      </c>
      <c r="N47" s="169"/>
      <c r="O47" s="169"/>
      <c r="P47" s="169">
        <v>8088171.84</v>
      </c>
      <c r="Q47" s="171"/>
      <c r="R47" s="172"/>
      <c r="S47" s="169"/>
      <c r="T47" s="168">
        <f t="shared" si="20"/>
        <v>3900587.92</v>
      </c>
      <c r="U47" s="175">
        <v>0.0</v>
      </c>
      <c r="V47" s="175"/>
      <c r="W47" s="175"/>
      <c r="X47" s="175">
        <v>1950293.96</v>
      </c>
      <c r="Y47" s="175">
        <f>SUMIF('07.26'!$J$4:$J$1000,$F47,'07.26'!$M$4:$M$1000)</f>
        <v>975146.98</v>
      </c>
      <c r="Z47" s="175">
        <f>SUMIF('08.26'!$J$4:$J$1000,$F47,'08.26'!$M$4:$M$1000)</f>
        <v>975146.98</v>
      </c>
      <c r="AA47" s="175">
        <f>SUMIF('09.26'!$J$4:$J$1429,$F47,'09.26'!$M$4:$M$1429)</f>
        <v>0</v>
      </c>
      <c r="AB47" s="175"/>
      <c r="AC47" s="181"/>
      <c r="AD47" s="182"/>
      <c r="AE47" s="184"/>
      <c r="AF47" s="184"/>
      <c r="AG47" s="184"/>
      <c r="AH47" s="185"/>
      <c r="AI47" s="182"/>
      <c r="AJ47" s="182"/>
      <c r="AK47" s="182"/>
      <c r="AL47" s="182"/>
      <c r="AM47" s="182"/>
      <c r="AN47" s="182"/>
      <c r="AO47" s="182"/>
      <c r="AP47" s="190"/>
    </row>
    <row r="48" ht="18.75" customHeight="1">
      <c r="A48" s="118" t="s">
        <v>260</v>
      </c>
      <c r="B48" s="201" t="s">
        <v>490</v>
      </c>
      <c r="C48" s="202" t="s">
        <v>492</v>
      </c>
      <c r="D48" s="14"/>
      <c r="E48" s="158" t="s">
        <v>291</v>
      </c>
      <c r="F48" s="159" t="s">
        <v>690</v>
      </c>
      <c r="G48" s="159" t="s">
        <v>494</v>
      </c>
      <c r="H48" s="159" t="s">
        <v>107</v>
      </c>
      <c r="I48" s="161" t="s">
        <v>296</v>
      </c>
      <c r="J48" s="162">
        <v>45243.0</v>
      </c>
      <c r="K48" s="163">
        <v>46326.0</v>
      </c>
      <c r="L48" s="166">
        <f t="shared" si="8"/>
        <v>0.8268952551</v>
      </c>
      <c r="M48" s="168">
        <f t="shared" si="19"/>
        <v>13486587.74</v>
      </c>
      <c r="N48" s="169">
        <v>1.245065109E7</v>
      </c>
      <c r="O48" s="169"/>
      <c r="P48" s="169"/>
      <c r="Q48" s="171"/>
      <c r="R48" s="172">
        <v>1.348658774E7</v>
      </c>
      <c r="S48" s="169"/>
      <c r="T48" s="168">
        <f t="shared" si="20"/>
        <v>11151995.41</v>
      </c>
      <c r="U48" s="175">
        <v>8807935.5</v>
      </c>
      <c r="V48" s="175"/>
      <c r="W48" s="175">
        <v>992850.0</v>
      </c>
      <c r="X48" s="175"/>
      <c r="Y48" s="175">
        <f>SUMIF('07.26'!$J$4:$J$1000,$F48,'07.26'!$M$4:$M$1000)</f>
        <v>0</v>
      </c>
      <c r="Z48" s="175">
        <f>SUMIF('08.26'!$J$4:$J$1000,$F48,'08.26'!$M$4:$M$1000)</f>
        <v>1351209.91</v>
      </c>
      <c r="AA48" s="175">
        <f>SUMIF('09.26'!$J$4:$J$1429,$F48,'09.26'!$M$4:$M$1429)</f>
        <v>0</v>
      </c>
      <c r="AB48" s="175"/>
      <c r="AC48" s="181"/>
      <c r="AD48" s="182"/>
      <c r="AE48" s="184"/>
      <c r="AF48" s="184"/>
      <c r="AG48" s="184"/>
      <c r="AH48" s="185"/>
      <c r="AI48" s="182"/>
      <c r="AJ48" s="182"/>
      <c r="AK48" s="182"/>
      <c r="AL48" s="182"/>
      <c r="AM48" s="182"/>
      <c r="AN48" s="182"/>
      <c r="AO48" s="182"/>
      <c r="AP48" s="190" t="s">
        <v>496</v>
      </c>
    </row>
    <row r="49" ht="18.75" customHeight="1">
      <c r="A49" s="118" t="s">
        <v>260</v>
      </c>
      <c r="B49" s="201" t="s">
        <v>703</v>
      </c>
      <c r="C49" s="202" t="s">
        <v>705</v>
      </c>
      <c r="D49" s="14"/>
      <c r="E49" s="158" t="s">
        <v>291</v>
      </c>
      <c r="F49" s="159" t="s">
        <v>709</v>
      </c>
      <c r="G49" s="159" t="s">
        <v>710</v>
      </c>
      <c r="H49" s="159" t="s">
        <v>90</v>
      </c>
      <c r="I49" s="161" t="s">
        <v>296</v>
      </c>
      <c r="J49" s="163">
        <v>45806.0</v>
      </c>
      <c r="K49" s="163">
        <v>46326.0</v>
      </c>
      <c r="L49" s="166">
        <f t="shared" si="8"/>
        <v>0.8268499598</v>
      </c>
      <c r="M49" s="168">
        <f t="shared" si="19"/>
        <v>2536884.02</v>
      </c>
      <c r="N49" s="169"/>
      <c r="O49" s="169"/>
      <c r="P49" s="169"/>
      <c r="Q49" s="171"/>
      <c r="R49" s="172">
        <v>2536884.02</v>
      </c>
      <c r="S49" s="169"/>
      <c r="T49" s="168">
        <f t="shared" si="20"/>
        <v>2097622.45</v>
      </c>
      <c r="U49" s="175">
        <f>2097622.45-608921.96</f>
        <v>1488700.49</v>
      </c>
      <c r="V49" s="175"/>
      <c r="W49" s="175"/>
      <c r="X49" s="175"/>
      <c r="Y49" s="175">
        <f>SUMIF('07.26'!$J$4:$J$1000,$F49,'07.26'!$M$4:$M$1000)</f>
        <v>0</v>
      </c>
      <c r="Z49" s="175">
        <f>SUMIF('08.26'!$J$4:$J$1000,$F49,'08.26'!$M$4:$M$1000)</f>
        <v>608921.96</v>
      </c>
      <c r="AA49" s="175">
        <f>SUMIF('09.26'!$J$4:$J$1429,$F49,'09.26'!$M$4:$M$1429)</f>
        <v>0</v>
      </c>
      <c r="AB49" s="175"/>
      <c r="AC49" s="181"/>
      <c r="AD49" s="182"/>
      <c r="AE49" s="184"/>
      <c r="AF49" s="184"/>
      <c r="AG49" s="184"/>
      <c r="AH49" s="185"/>
      <c r="AI49" s="182"/>
      <c r="AJ49" s="182"/>
      <c r="AK49" s="182"/>
      <c r="AL49" s="182"/>
      <c r="AM49" s="182"/>
      <c r="AN49" s="182"/>
      <c r="AO49" s="182"/>
      <c r="AP49" s="190"/>
    </row>
    <row r="50" ht="18.75" customHeight="1">
      <c r="A50" s="118" t="s">
        <v>260</v>
      </c>
      <c r="B50" s="201" t="s">
        <v>722</v>
      </c>
      <c r="C50" s="202" t="s">
        <v>723</v>
      </c>
      <c r="D50" s="14"/>
      <c r="E50" s="158" t="s">
        <v>291</v>
      </c>
      <c r="F50" s="159" t="s">
        <v>725</v>
      </c>
      <c r="G50" s="159" t="s">
        <v>727</v>
      </c>
      <c r="H50" s="159" t="s">
        <v>729</v>
      </c>
      <c r="I50" s="161" t="s">
        <v>296</v>
      </c>
      <c r="J50" s="163">
        <v>46143.0</v>
      </c>
      <c r="K50" s="163">
        <v>46387.0</v>
      </c>
      <c r="L50" s="166">
        <f t="shared" si="8"/>
        <v>0.2114713802</v>
      </c>
      <c r="M50" s="168">
        <f t="shared" si="19"/>
        <v>12987785.38</v>
      </c>
      <c r="N50" s="169"/>
      <c r="O50" s="169"/>
      <c r="P50" s="169"/>
      <c r="Q50" s="171"/>
      <c r="R50" s="172">
        <v>1.298778538E7</v>
      </c>
      <c r="S50" s="169"/>
      <c r="T50" s="168">
        <f t="shared" si="20"/>
        <v>2746544.9</v>
      </c>
      <c r="U50" s="175"/>
      <c r="V50" s="175"/>
      <c r="W50" s="175"/>
      <c r="X50" s="175"/>
      <c r="Y50" s="175">
        <f>SUMIF('07.26'!$J$4:$J$1000,$F50,'07.26'!$M$4:$M$1000)</f>
        <v>0</v>
      </c>
      <c r="Z50" s="175">
        <f>SUMIF('08.26'!$J$4:$J$1000,$F50,'08.26'!$M$4:$M$1000)</f>
        <v>0</v>
      </c>
      <c r="AA50" s="175">
        <f>SUMIF('09.26'!$J$4:$J$1429,$F50,'09.26'!$M$4:$M$1429)</f>
        <v>2746544.9</v>
      </c>
      <c r="AB50" s="175"/>
      <c r="AC50" s="181"/>
      <c r="AD50" s="182"/>
      <c r="AE50" s="184"/>
      <c r="AF50" s="184"/>
      <c r="AG50" s="184"/>
      <c r="AH50" s="185"/>
      <c r="AI50" s="182"/>
      <c r="AJ50" s="182"/>
      <c r="AK50" s="182"/>
      <c r="AL50" s="182"/>
      <c r="AM50" s="182"/>
      <c r="AN50" s="182"/>
      <c r="AO50" s="182"/>
      <c r="AP50" s="190"/>
    </row>
    <row r="51" ht="18.75" customHeight="1">
      <c r="A51" s="118" t="s">
        <v>260</v>
      </c>
      <c r="B51" s="201" t="s">
        <v>739</v>
      </c>
      <c r="C51" s="202" t="s">
        <v>740</v>
      </c>
      <c r="D51" s="14"/>
      <c r="E51" s="158" t="s">
        <v>291</v>
      </c>
      <c r="F51" s="159" t="s">
        <v>744</v>
      </c>
      <c r="G51" s="159" t="s">
        <v>745</v>
      </c>
      <c r="H51" s="159" t="s">
        <v>746</v>
      </c>
      <c r="I51" s="161" t="s">
        <v>322</v>
      </c>
      <c r="J51" s="163">
        <v>46143.0</v>
      </c>
      <c r="K51" s="163">
        <v>46387.0</v>
      </c>
      <c r="L51" s="166">
        <f t="shared" si="8"/>
        <v>0.5958282492</v>
      </c>
      <c r="M51" s="168">
        <f t="shared" si="19"/>
        <v>9365368.22</v>
      </c>
      <c r="N51" s="169"/>
      <c r="O51" s="169"/>
      <c r="P51" s="169">
        <v>9365368.22</v>
      </c>
      <c r="Q51" s="171"/>
      <c r="R51" s="172"/>
      <c r="S51" s="169"/>
      <c r="T51" s="168">
        <f t="shared" si="20"/>
        <v>5580150.95</v>
      </c>
      <c r="U51" s="175"/>
      <c r="V51" s="175"/>
      <c r="W51" s="175"/>
      <c r="X51" s="175">
        <v>2232060.38</v>
      </c>
      <c r="Y51" s="175">
        <f>SUMIF('07.26'!$J$4:$J$1000,$F51,'07.26'!$M$4:$M$1000)</f>
        <v>1116030.19</v>
      </c>
      <c r="Z51" s="175">
        <f>SUMIF('08.26'!$J$4:$J$1000,$F51,'08.26'!$M$4:$M$1000)</f>
        <v>1116030.19</v>
      </c>
      <c r="AA51" s="175">
        <f>SUMIF('09.26'!$J$4:$J$1429,$F51,'09.26'!$M$4:$M$1429)</f>
        <v>1116030.19</v>
      </c>
      <c r="AB51" s="175"/>
      <c r="AC51" s="181"/>
      <c r="AD51" s="182"/>
      <c r="AE51" s="184"/>
      <c r="AF51" s="184"/>
      <c r="AG51" s="184"/>
      <c r="AH51" s="185"/>
      <c r="AI51" s="182"/>
      <c r="AJ51" s="182"/>
      <c r="AK51" s="182"/>
      <c r="AL51" s="182"/>
      <c r="AM51" s="182"/>
      <c r="AN51" s="182"/>
      <c r="AO51" s="182"/>
      <c r="AP51" s="190"/>
    </row>
    <row r="52" ht="18.75" customHeight="1">
      <c r="A52" s="118" t="s">
        <v>260</v>
      </c>
      <c r="B52" s="201" t="s">
        <v>757</v>
      </c>
      <c r="C52" s="202" t="s">
        <v>758</v>
      </c>
      <c r="D52" s="14"/>
      <c r="E52" s="158" t="s">
        <v>291</v>
      </c>
      <c r="F52" s="159"/>
      <c r="G52" s="159"/>
      <c r="H52" s="159"/>
      <c r="I52" s="161"/>
      <c r="J52" s="163"/>
      <c r="K52" s="163"/>
      <c r="L52" s="166"/>
      <c r="M52" s="168"/>
      <c r="N52" s="169"/>
      <c r="O52" s="169"/>
      <c r="P52" s="169"/>
      <c r="Q52" s="171"/>
      <c r="R52" s="172"/>
      <c r="S52" s="169"/>
      <c r="T52" s="168"/>
      <c r="U52" s="175"/>
      <c r="V52" s="175"/>
      <c r="W52" s="175"/>
      <c r="X52" s="175"/>
      <c r="Y52" s="175"/>
      <c r="Z52" s="175"/>
      <c r="AA52" s="175"/>
      <c r="AB52" s="175"/>
      <c r="AC52" s="181"/>
      <c r="AD52" s="182"/>
      <c r="AE52" s="184"/>
      <c r="AF52" s="184"/>
      <c r="AG52" s="184"/>
      <c r="AH52" s="185"/>
      <c r="AI52" s="182"/>
      <c r="AJ52" s="182"/>
      <c r="AK52" s="182"/>
      <c r="AL52" s="182"/>
      <c r="AM52" s="182"/>
      <c r="AN52" s="182"/>
      <c r="AO52" s="182"/>
      <c r="AP52" s="190"/>
    </row>
    <row r="53" ht="18.75" customHeight="1">
      <c r="A53" s="118" t="s">
        <v>260</v>
      </c>
      <c r="B53" s="201" t="s">
        <v>760</v>
      </c>
      <c r="C53" s="202" t="s">
        <v>328</v>
      </c>
      <c r="D53" s="14"/>
      <c r="E53" s="158" t="s">
        <v>291</v>
      </c>
      <c r="F53" s="159" t="s">
        <v>762</v>
      </c>
      <c r="G53" s="159" t="s">
        <v>763</v>
      </c>
      <c r="H53" s="159" t="s">
        <v>100</v>
      </c>
      <c r="I53" s="161" t="s">
        <v>296</v>
      </c>
      <c r="J53" s="163">
        <v>45841.0</v>
      </c>
      <c r="K53" s="163">
        <v>46326.0</v>
      </c>
      <c r="L53" s="166">
        <f t="shared" ref="L53:L57" si="21">T53/M53</f>
        <v>0.9842860161</v>
      </c>
      <c r="M53" s="168">
        <f>MAX(N53:R53)</f>
        <v>2617414.54</v>
      </c>
      <c r="N53" s="169"/>
      <c r="O53" s="169"/>
      <c r="P53" s="169"/>
      <c r="Q53" s="171"/>
      <c r="R53" s="172">
        <v>2617414.54</v>
      </c>
      <c r="S53" s="169"/>
      <c r="T53" s="168">
        <f t="shared" ref="T53:T56" si="23">SUM(U53:AA53)</f>
        <v>2576284.53</v>
      </c>
      <c r="U53" s="175">
        <v>2065082.08</v>
      </c>
      <c r="V53" s="175"/>
      <c r="W53" s="175"/>
      <c r="X53" s="175"/>
      <c r="Y53" s="175">
        <f>SUMIF('07.26'!$J$4:$J$1000,$F53,'07.26'!$M$4:$M$1000)</f>
        <v>0</v>
      </c>
      <c r="Z53" s="175">
        <f>SUMIF('08.26'!$J$4:$J$1000,$F53,'08.26'!$M$4:$M$1000)</f>
        <v>511202.45</v>
      </c>
      <c r="AA53" s="175">
        <f>SUMIF('09.26'!$J$4:$J$1429,$F53,'09.26'!$M$4:$M$1429)</f>
        <v>0</v>
      </c>
      <c r="AB53" s="175"/>
      <c r="AC53" s="181"/>
      <c r="AD53" s="182"/>
      <c r="AE53" s="184"/>
      <c r="AF53" s="184"/>
      <c r="AG53" s="184"/>
      <c r="AH53" s="185"/>
      <c r="AI53" s="182"/>
      <c r="AJ53" s="182"/>
      <c r="AK53" s="182"/>
      <c r="AL53" s="182"/>
      <c r="AM53" s="182"/>
      <c r="AN53" s="182"/>
      <c r="AO53" s="182"/>
      <c r="AP53" s="190"/>
    </row>
    <row r="54" ht="18.75" customHeight="1">
      <c r="A54" s="118" t="s">
        <v>260</v>
      </c>
      <c r="B54" s="119" t="s">
        <v>497</v>
      </c>
      <c r="C54" s="6" t="s">
        <v>148</v>
      </c>
      <c r="D54" s="219" t="s">
        <v>71</v>
      </c>
      <c r="E54" s="121"/>
      <c r="F54" s="122"/>
      <c r="G54" s="122"/>
      <c r="H54" s="122"/>
      <c r="I54" s="123"/>
      <c r="J54" s="124"/>
      <c r="K54" s="125"/>
      <c r="L54" s="129">
        <f t="shared" si="21"/>
        <v>0.7725521794</v>
      </c>
      <c r="M54" s="132">
        <f t="shared" ref="M54:S54" si="22">SUM(M55:M56)</f>
        <v>78252366.54</v>
      </c>
      <c r="N54" s="133">
        <f t="shared" si="22"/>
        <v>73781115.74</v>
      </c>
      <c r="O54" s="133">
        <f t="shared" si="22"/>
        <v>0</v>
      </c>
      <c r="P54" s="133">
        <f t="shared" si="22"/>
        <v>13543692.9</v>
      </c>
      <c r="Q54" s="134">
        <f t="shared" si="22"/>
        <v>0</v>
      </c>
      <c r="R54" s="135">
        <f t="shared" si="22"/>
        <v>0</v>
      </c>
      <c r="S54" s="133">
        <f t="shared" si="22"/>
        <v>0</v>
      </c>
      <c r="T54" s="132">
        <f t="shared" si="23"/>
        <v>60454036.31</v>
      </c>
      <c r="U54" s="133">
        <f t="shared" ref="U54:AB54" si="24">SUM(U55:U56)</f>
        <v>34871402.81</v>
      </c>
      <c r="V54" s="109">
        <f t="shared" si="24"/>
        <v>6264956.22</v>
      </c>
      <c r="W54" s="109">
        <f t="shared" si="24"/>
        <v>2178113.72</v>
      </c>
      <c r="X54" s="109">
        <f t="shared" si="24"/>
        <v>5090545.97</v>
      </c>
      <c r="Y54" s="140">
        <f t="shared" si="24"/>
        <v>6426003.23</v>
      </c>
      <c r="Z54" s="140">
        <f t="shared" si="24"/>
        <v>3444900.64</v>
      </c>
      <c r="AA54" s="140">
        <f t="shared" si="24"/>
        <v>2178113.72</v>
      </c>
      <c r="AB54" s="133">
        <f t="shared" si="24"/>
        <v>0</v>
      </c>
      <c r="AC54" s="215"/>
      <c r="AD54" s="206" t="s">
        <v>440</v>
      </c>
      <c r="AE54" s="216"/>
      <c r="AF54" s="216"/>
      <c r="AG54" s="216"/>
      <c r="AH54" s="217"/>
      <c r="AI54" s="206"/>
      <c r="AJ54" s="206"/>
      <c r="AK54" s="206"/>
      <c r="AL54" s="206"/>
      <c r="AM54" s="206"/>
      <c r="AN54" s="206"/>
      <c r="AO54" s="206"/>
      <c r="AP54" s="146"/>
    </row>
    <row r="55" ht="18.75" customHeight="1">
      <c r="A55" s="118" t="s">
        <v>260</v>
      </c>
      <c r="B55" s="148" t="s">
        <v>500</v>
      </c>
      <c r="C55" s="151" t="s">
        <v>328</v>
      </c>
      <c r="D55" s="154"/>
      <c r="E55" s="158" t="s">
        <v>291</v>
      </c>
      <c r="F55" s="159" t="s">
        <v>777</v>
      </c>
      <c r="G55" s="159" t="s">
        <v>502</v>
      </c>
      <c r="H55" s="209" t="s">
        <v>152</v>
      </c>
      <c r="I55" s="161" t="s">
        <v>296</v>
      </c>
      <c r="J55" s="163">
        <v>45769.0</v>
      </c>
      <c r="K55" s="203" t="s">
        <v>778</v>
      </c>
      <c r="L55" s="166">
        <f t="shared" si="21"/>
        <v>0.8617433758</v>
      </c>
      <c r="M55" s="168">
        <v>1.35436929E7</v>
      </c>
      <c r="N55" s="169">
        <v>9072442.1</v>
      </c>
      <c r="O55" s="169"/>
      <c r="P55" s="169">
        <v>1.35436929E7</v>
      </c>
      <c r="Q55" s="171"/>
      <c r="R55" s="172" t="s">
        <v>778</v>
      </c>
      <c r="S55" s="169"/>
      <c r="T55" s="168">
        <f t="shared" si="23"/>
        <v>11671187.64</v>
      </c>
      <c r="U55" s="175">
        <v>2069668.71</v>
      </c>
      <c r="V55" s="175">
        <v>4086842.5</v>
      </c>
      <c r="W55" s="175"/>
      <c r="X55" s="175"/>
      <c r="Y55" s="175">
        <f>SUMIF('07.26'!$J$4:$J$1000,$F55,'07.26'!$M$4:$M$1000)</f>
        <v>4247889.51</v>
      </c>
      <c r="Z55" s="175">
        <f>SUMIF('08.26'!$J$4:$J$1000,$F55,'08.26'!$M$4:$M$1000)</f>
        <v>1266786.92</v>
      </c>
      <c r="AA55" s="175">
        <f>SUMIF('09.26'!$J$4:$J$1429,$F55,'09.26'!$M$4:$M$1429)</f>
        <v>0</v>
      </c>
      <c r="AB55" s="175"/>
      <c r="AC55" s="181"/>
      <c r="AD55" s="182"/>
      <c r="AE55" s="184"/>
      <c r="AF55" s="184"/>
      <c r="AG55" s="184"/>
      <c r="AH55" s="185"/>
      <c r="AI55" s="182"/>
      <c r="AJ55" s="182"/>
      <c r="AK55" s="182"/>
      <c r="AL55" s="182"/>
      <c r="AM55" s="182"/>
      <c r="AN55" s="182"/>
      <c r="AO55" s="182"/>
      <c r="AP55" s="190" t="s">
        <v>505</v>
      </c>
    </row>
    <row r="56" ht="18.75" customHeight="1">
      <c r="A56" s="118" t="s">
        <v>260</v>
      </c>
      <c r="B56" s="26"/>
      <c r="C56" s="187"/>
      <c r="D56" s="107"/>
      <c r="E56" s="158" t="s">
        <v>291</v>
      </c>
      <c r="F56" s="159" t="s">
        <v>788</v>
      </c>
      <c r="G56" s="159" t="s">
        <v>507</v>
      </c>
      <c r="H56" s="209" t="s">
        <v>152</v>
      </c>
      <c r="I56" s="161" t="s">
        <v>322</v>
      </c>
      <c r="J56" s="163">
        <v>45658.0</v>
      </c>
      <c r="K56" s="162">
        <v>46387.0</v>
      </c>
      <c r="L56" s="166">
        <f t="shared" si="21"/>
        <v>0.7538842311</v>
      </c>
      <c r="M56" s="168">
        <v>6.470867364E7</v>
      </c>
      <c r="N56" s="169">
        <v>6.470867364E7</v>
      </c>
      <c r="O56" s="169"/>
      <c r="P56" s="169"/>
      <c r="Q56" s="171"/>
      <c r="R56" s="172"/>
      <c r="S56" s="169"/>
      <c r="T56" s="168">
        <f t="shared" si="23"/>
        <v>48782848.67</v>
      </c>
      <c r="U56" s="175">
        <v>3.28017341E7</v>
      </c>
      <c r="V56" s="175">
        <v>2178113.72</v>
      </c>
      <c r="W56" s="175">
        <v>2178113.72</v>
      </c>
      <c r="X56" s="175">
        <v>5090545.97</v>
      </c>
      <c r="Y56" s="175">
        <f>SUMIF('07.26'!$J$4:$J$1000,$F56,'07.26'!$M$4:$M$1000)</f>
        <v>2178113.72</v>
      </c>
      <c r="Z56" s="175">
        <f>SUMIF('08.26'!$J$4:$J$1000,$F56,'08.26'!$M$4:$M$1000)</f>
        <v>2178113.72</v>
      </c>
      <c r="AA56" s="175">
        <f>SUMIF('09.26'!$J$4:$J$1429,$F56,'09.26'!$M$4:$M$1429)</f>
        <v>2178113.72</v>
      </c>
      <c r="AB56" s="175"/>
      <c r="AC56" s="181"/>
      <c r="AD56" s="182"/>
      <c r="AE56" s="184"/>
      <c r="AF56" s="184"/>
      <c r="AG56" s="184"/>
      <c r="AH56" s="185"/>
      <c r="AI56" s="182"/>
      <c r="AJ56" s="182"/>
      <c r="AK56" s="182"/>
      <c r="AL56" s="182"/>
      <c r="AM56" s="182"/>
      <c r="AN56" s="182"/>
      <c r="AO56" s="182"/>
      <c r="AP56" s="186"/>
    </row>
    <row r="57">
      <c r="A57" s="118" t="s">
        <v>761</v>
      </c>
      <c r="B57" s="119" t="s">
        <v>509</v>
      </c>
      <c r="C57" s="219" t="s">
        <v>213</v>
      </c>
      <c r="D57" s="219" t="s">
        <v>102</v>
      </c>
      <c r="E57" s="121"/>
      <c r="F57" s="122"/>
      <c r="G57" s="122"/>
      <c r="H57" s="122"/>
      <c r="I57" s="123"/>
      <c r="J57" s="124"/>
      <c r="K57" s="125"/>
      <c r="L57" s="129">
        <f t="shared" si="21"/>
        <v>0.7473974464</v>
      </c>
      <c r="M57" s="132">
        <f t="shared" ref="M57:AB57" si="25">SUM(M58:M81)</f>
        <v>418540588.3</v>
      </c>
      <c r="N57" s="133">
        <f t="shared" si="25"/>
        <v>368644050.5</v>
      </c>
      <c r="O57" s="133">
        <f t="shared" si="25"/>
        <v>222184363.3</v>
      </c>
      <c r="P57" s="133">
        <f t="shared" si="25"/>
        <v>0</v>
      </c>
      <c r="Q57" s="134">
        <f t="shared" si="25"/>
        <v>0</v>
      </c>
      <c r="R57" s="135">
        <f t="shared" si="25"/>
        <v>0</v>
      </c>
      <c r="S57" s="133">
        <f t="shared" si="25"/>
        <v>0</v>
      </c>
      <c r="T57" s="132">
        <f t="shared" si="25"/>
        <v>312816166.9</v>
      </c>
      <c r="U57" s="133">
        <f t="shared" si="25"/>
        <v>233541257.4</v>
      </c>
      <c r="V57" s="109">
        <f t="shared" si="25"/>
        <v>8008601.73</v>
      </c>
      <c r="W57" s="109">
        <f t="shared" si="25"/>
        <v>9388147.33</v>
      </c>
      <c r="X57" s="109">
        <f t="shared" si="25"/>
        <v>11151195.25</v>
      </c>
      <c r="Y57" s="140">
        <f t="shared" si="25"/>
        <v>26739505.72</v>
      </c>
      <c r="Z57" s="140">
        <f t="shared" si="25"/>
        <v>8780931.2</v>
      </c>
      <c r="AA57" s="140">
        <f t="shared" si="25"/>
        <v>15206528.27</v>
      </c>
      <c r="AB57" s="133">
        <f t="shared" si="25"/>
        <v>0</v>
      </c>
      <c r="AC57" s="141"/>
      <c r="AD57" s="142" t="s">
        <v>511</v>
      </c>
      <c r="AE57" s="143"/>
      <c r="AF57" s="143"/>
      <c r="AG57" s="143"/>
      <c r="AH57" s="145"/>
      <c r="AI57" s="142"/>
      <c r="AJ57" s="142"/>
      <c r="AK57" s="142"/>
      <c r="AL57" s="142"/>
      <c r="AM57" s="142"/>
      <c r="AN57" s="142"/>
      <c r="AO57" s="142"/>
      <c r="AP57" s="146"/>
    </row>
    <row r="58" ht="18.75" customHeight="1">
      <c r="A58" s="267" t="s">
        <v>761</v>
      </c>
      <c r="B58" s="148" t="s">
        <v>512</v>
      </c>
      <c r="C58" s="151" t="s">
        <v>513</v>
      </c>
      <c r="D58" s="154"/>
      <c r="E58" s="158" t="s">
        <v>291</v>
      </c>
      <c r="F58" s="159" t="s">
        <v>793</v>
      </c>
      <c r="G58" s="159" t="s">
        <v>515</v>
      </c>
      <c r="H58" s="159" t="s">
        <v>516</v>
      </c>
      <c r="I58" s="161" t="s">
        <v>322</v>
      </c>
      <c r="J58" s="163">
        <v>46296.0</v>
      </c>
      <c r="K58" s="163">
        <v>46387.0</v>
      </c>
      <c r="L58" s="166">
        <f>T58/$M$58</f>
        <v>0.7377421784</v>
      </c>
      <c r="M58" s="168">
        <f t="shared" ref="M58:M81" si="26">MAX(N58:R58)</f>
        <v>20557639.45</v>
      </c>
      <c r="N58" s="169">
        <v>1.26034356E7</v>
      </c>
      <c r="O58" s="169">
        <v>2.055763945E7</v>
      </c>
      <c r="P58" s="169"/>
      <c r="Q58" s="171"/>
      <c r="R58" s="172"/>
      <c r="S58" s="169"/>
      <c r="T58" s="168">
        <f t="shared" ref="T58:T88" si="27">SUM(U58:AA58)</f>
        <v>15166237.71</v>
      </c>
      <c r="U58" s="175">
        <v>9345125.21</v>
      </c>
      <c r="V58" s="175"/>
      <c r="W58" s="175"/>
      <c r="X58" s="175">
        <v>1413481.4</v>
      </c>
      <c r="Y58" s="175">
        <f>SUMIF('07.26'!$J$4:$J$1000,$F58,'07.26'!$M$4:$M$1000)</f>
        <v>3418298.4</v>
      </c>
      <c r="Z58" s="175">
        <v>989332.7</v>
      </c>
      <c r="AA58" s="268">
        <f>SUMIF('09.26'!$J$4:$J$1429,$F58,'09.26'!$M$4:$M$1429)</f>
        <v>0</v>
      </c>
      <c r="AB58" s="175"/>
      <c r="AC58" s="181"/>
      <c r="AD58" s="211"/>
      <c r="AE58" s="269"/>
      <c r="AF58" s="269"/>
      <c r="AG58" s="269"/>
      <c r="AH58" s="270"/>
      <c r="AI58" s="211"/>
      <c r="AJ58" s="211"/>
      <c r="AK58" s="211"/>
      <c r="AL58" s="211"/>
      <c r="AM58" s="211"/>
      <c r="AN58" s="211"/>
      <c r="AO58" s="211"/>
      <c r="AP58" s="212" t="s">
        <v>519</v>
      </c>
    </row>
    <row r="59" ht="18.75" customHeight="1">
      <c r="A59" s="26"/>
      <c r="B59" s="201" t="s">
        <v>520</v>
      </c>
      <c r="C59" s="187"/>
      <c r="D59" s="107"/>
      <c r="E59" s="158" t="s">
        <v>291</v>
      </c>
      <c r="F59" s="159" t="s">
        <v>806</v>
      </c>
      <c r="G59" s="159"/>
      <c r="H59" s="159"/>
      <c r="I59" s="161" t="s">
        <v>296</v>
      </c>
      <c r="J59" s="163">
        <v>45959.0</v>
      </c>
      <c r="K59" s="163">
        <v>46173.0</v>
      </c>
      <c r="L59" s="166">
        <f t="shared" ref="L59:L99" si="28">T59/M59</f>
        <v>0.8052083601</v>
      </c>
      <c r="M59" s="168">
        <f t="shared" si="26"/>
        <v>2383780.64</v>
      </c>
      <c r="N59" s="169">
        <v>1743379.0</v>
      </c>
      <c r="O59" s="169">
        <v>2383780.64</v>
      </c>
      <c r="P59" s="169"/>
      <c r="Q59" s="171"/>
      <c r="R59" s="172"/>
      <c r="S59" s="169"/>
      <c r="T59" s="168">
        <f t="shared" si="27"/>
        <v>1919440.1</v>
      </c>
      <c r="U59" s="175">
        <v>1643838.54</v>
      </c>
      <c r="V59" s="175"/>
      <c r="W59" s="175"/>
      <c r="X59" s="175">
        <v>275601.56</v>
      </c>
      <c r="Y59" s="175"/>
      <c r="Z59" s="175"/>
      <c r="AA59" s="268"/>
      <c r="AB59" s="175"/>
      <c r="AC59" s="181"/>
      <c r="AD59" s="211"/>
      <c r="AE59" s="269"/>
      <c r="AF59" s="269"/>
      <c r="AG59" s="269"/>
      <c r="AH59" s="270"/>
      <c r="AI59" s="211"/>
      <c r="AJ59" s="211"/>
      <c r="AK59" s="211"/>
      <c r="AL59" s="211"/>
      <c r="AM59" s="211"/>
      <c r="AN59" s="211"/>
      <c r="AO59" s="211"/>
      <c r="AP59" s="212"/>
    </row>
    <row r="60" ht="18.75" customHeight="1">
      <c r="A60" s="118" t="s">
        <v>761</v>
      </c>
      <c r="B60" s="201" t="s">
        <v>527</v>
      </c>
      <c r="C60" s="151" t="s">
        <v>521</v>
      </c>
      <c r="D60" s="154"/>
      <c r="E60" s="158" t="s">
        <v>410</v>
      </c>
      <c r="F60" s="159" t="s">
        <v>810</v>
      </c>
      <c r="G60" s="159" t="s">
        <v>523</v>
      </c>
      <c r="H60" s="272" t="s">
        <v>521</v>
      </c>
      <c r="I60" s="161" t="s">
        <v>322</v>
      </c>
      <c r="J60" s="163">
        <v>45536.0</v>
      </c>
      <c r="K60" s="203" t="s">
        <v>813</v>
      </c>
      <c r="L60" s="166">
        <f t="shared" si="28"/>
        <v>0.9786446667</v>
      </c>
      <c r="M60" s="168">
        <f t="shared" si="26"/>
        <v>14048013</v>
      </c>
      <c r="N60" s="169">
        <v>1.4048013E7</v>
      </c>
      <c r="O60" s="169"/>
      <c r="P60" s="169"/>
      <c r="Q60" s="171"/>
      <c r="R60" s="172"/>
      <c r="S60" s="169"/>
      <c r="T60" s="168">
        <f t="shared" si="27"/>
        <v>13748013</v>
      </c>
      <c r="U60" s="175">
        <v>1.3748013E7</v>
      </c>
      <c r="V60" s="175"/>
      <c r="W60" s="175"/>
      <c r="X60" s="175"/>
      <c r="Y60" s="175"/>
      <c r="Z60" s="175"/>
      <c r="AA60" s="175"/>
      <c r="AB60" s="175"/>
      <c r="AC60" s="181"/>
      <c r="AD60" s="211"/>
      <c r="AE60" s="269"/>
      <c r="AF60" s="269"/>
      <c r="AG60" s="269"/>
      <c r="AH60" s="270"/>
      <c r="AI60" s="211"/>
      <c r="AJ60" s="211"/>
      <c r="AK60" s="211"/>
      <c r="AL60" s="211"/>
      <c r="AM60" s="211"/>
      <c r="AN60" s="211"/>
      <c r="AO60" s="211"/>
      <c r="AP60" s="212" t="s">
        <v>526</v>
      </c>
    </row>
    <row r="61" ht="18.75" customHeight="1">
      <c r="A61" s="118" t="s">
        <v>761</v>
      </c>
      <c r="B61" s="201" t="s">
        <v>531</v>
      </c>
      <c r="C61" s="187"/>
      <c r="D61" s="107"/>
      <c r="E61" s="158" t="s">
        <v>291</v>
      </c>
      <c r="F61" s="159" t="s">
        <v>817</v>
      </c>
      <c r="G61" s="159" t="s">
        <v>523</v>
      </c>
      <c r="H61" s="26"/>
      <c r="I61" s="161" t="s">
        <v>296</v>
      </c>
      <c r="J61" s="163">
        <v>45300.0</v>
      </c>
      <c r="K61" s="203" t="s">
        <v>813</v>
      </c>
      <c r="L61" s="166">
        <f t="shared" si="28"/>
        <v>0.7380380316</v>
      </c>
      <c r="M61" s="168">
        <f t="shared" si="26"/>
        <v>6853135.29</v>
      </c>
      <c r="N61" s="169">
        <v>6853135.29</v>
      </c>
      <c r="O61" s="169"/>
      <c r="P61" s="169"/>
      <c r="Q61" s="171"/>
      <c r="R61" s="172"/>
      <c r="S61" s="169"/>
      <c r="T61" s="168">
        <f t="shared" si="27"/>
        <v>5057874.48</v>
      </c>
      <c r="U61" s="175">
        <v>3887224.28</v>
      </c>
      <c r="V61" s="175">
        <v>100240.2</v>
      </c>
      <c r="W61" s="175">
        <v>1070410.0</v>
      </c>
      <c r="X61" s="175"/>
      <c r="Y61" s="175"/>
      <c r="Z61" s="175"/>
      <c r="AA61" s="175"/>
      <c r="AB61" s="175"/>
      <c r="AC61" s="273"/>
      <c r="AD61" s="180"/>
      <c r="AE61" s="274"/>
      <c r="AF61" s="274"/>
      <c r="AG61" s="274"/>
      <c r="AH61" s="275"/>
      <c r="AI61" s="180"/>
      <c r="AJ61" s="180"/>
      <c r="AK61" s="180"/>
      <c r="AL61" s="180"/>
      <c r="AM61" s="180"/>
      <c r="AN61" s="180"/>
      <c r="AO61" s="180"/>
      <c r="AP61" s="190" t="s">
        <v>530</v>
      </c>
    </row>
    <row r="62" ht="18.75" customHeight="1">
      <c r="A62" s="118" t="s">
        <v>761</v>
      </c>
      <c r="B62" s="201" t="s">
        <v>541</v>
      </c>
      <c r="C62" s="151" t="s">
        <v>532</v>
      </c>
      <c r="D62" s="154"/>
      <c r="E62" s="158" t="s">
        <v>291</v>
      </c>
      <c r="F62" s="159" t="s">
        <v>823</v>
      </c>
      <c r="G62" s="159" t="s">
        <v>536</v>
      </c>
      <c r="H62" s="272" t="s">
        <v>532</v>
      </c>
      <c r="I62" s="161" t="s">
        <v>322</v>
      </c>
      <c r="J62" s="163">
        <v>45536.0</v>
      </c>
      <c r="K62" s="163">
        <v>46387.0</v>
      </c>
      <c r="L62" s="166">
        <f t="shared" si="28"/>
        <v>0.6972951561</v>
      </c>
      <c r="M62" s="168">
        <f t="shared" si="26"/>
        <v>22162188.73</v>
      </c>
      <c r="N62" s="169">
        <v>1.30225895E7</v>
      </c>
      <c r="O62" s="169">
        <v>2.216218873E7</v>
      </c>
      <c r="P62" s="169"/>
      <c r="Q62" s="171"/>
      <c r="R62" s="172"/>
      <c r="S62" s="169"/>
      <c r="T62" s="168">
        <f t="shared" si="27"/>
        <v>15453586.85</v>
      </c>
      <c r="U62" s="175">
        <v>8856105.39</v>
      </c>
      <c r="V62" s="175">
        <v>754331.5</v>
      </c>
      <c r="W62" s="175">
        <v>2434957.0</v>
      </c>
      <c r="X62" s="175">
        <v>605035.5</v>
      </c>
      <c r="Y62" s="175">
        <f>SUMIF('07.26'!$J$4:$J$1000,$F62,'07.26'!$M$4:$M$1000)</f>
        <v>1145892.48</v>
      </c>
      <c r="Z62" s="175">
        <f>SUMIF('08.26'!$J$4:$J$1000,$F62,'08.26'!$M$4:$M$1000)</f>
        <v>828632.49</v>
      </c>
      <c r="AA62" s="175">
        <f>SUMIF('09.26'!$J$4:$J$1429,$F62,'09.26'!$M$4:$M$1429)</f>
        <v>828632.49</v>
      </c>
      <c r="AB62" s="175"/>
      <c r="AC62" s="181"/>
      <c r="AD62" s="211"/>
      <c r="AE62" s="269"/>
      <c r="AF62" s="269"/>
      <c r="AG62" s="269"/>
      <c r="AH62" s="270"/>
      <c r="AI62" s="211"/>
      <c r="AJ62" s="211"/>
      <c r="AK62" s="211"/>
      <c r="AL62" s="211"/>
      <c r="AM62" s="211"/>
      <c r="AN62" s="211"/>
      <c r="AO62" s="211"/>
      <c r="AP62" s="212" t="s">
        <v>519</v>
      </c>
    </row>
    <row r="63" ht="18.75" customHeight="1">
      <c r="A63" s="118" t="s">
        <v>761</v>
      </c>
      <c r="B63" s="201" t="s">
        <v>544</v>
      </c>
      <c r="C63" s="198"/>
      <c r="D63" s="199"/>
      <c r="E63" s="158" t="s">
        <v>291</v>
      </c>
      <c r="F63" s="159" t="s">
        <v>827</v>
      </c>
      <c r="G63" s="159" t="s">
        <v>536</v>
      </c>
      <c r="H63" s="197"/>
      <c r="I63" s="161" t="s">
        <v>377</v>
      </c>
      <c r="J63" s="163">
        <v>45574.0</v>
      </c>
      <c r="K63" s="163">
        <v>46053.0</v>
      </c>
      <c r="L63" s="166">
        <f t="shared" si="28"/>
        <v>0.6070367229</v>
      </c>
      <c r="M63" s="168">
        <f t="shared" si="26"/>
        <v>4485226.21</v>
      </c>
      <c r="N63" s="169">
        <v>4485226.21</v>
      </c>
      <c r="O63" s="169"/>
      <c r="P63" s="169"/>
      <c r="Q63" s="171"/>
      <c r="R63" s="172"/>
      <c r="S63" s="169"/>
      <c r="T63" s="168">
        <f t="shared" si="27"/>
        <v>2722697.02</v>
      </c>
      <c r="U63" s="175">
        <v>2722697.02</v>
      </c>
      <c r="V63" s="175"/>
      <c r="W63" s="175"/>
      <c r="X63" s="175"/>
      <c r="Y63" s="175"/>
      <c r="Z63" s="175"/>
      <c r="AA63" s="175"/>
      <c r="AB63" s="175"/>
      <c r="AC63" s="273"/>
      <c r="AD63" s="180"/>
      <c r="AE63" s="274"/>
      <c r="AF63" s="274"/>
      <c r="AG63" s="274"/>
      <c r="AH63" s="275"/>
      <c r="AI63" s="180"/>
      <c r="AJ63" s="180"/>
      <c r="AK63" s="180"/>
      <c r="AL63" s="180"/>
      <c r="AM63" s="180"/>
      <c r="AN63" s="180"/>
      <c r="AO63" s="180"/>
      <c r="AP63" s="190" t="s">
        <v>530</v>
      </c>
    </row>
    <row r="64" ht="18.75" customHeight="1">
      <c r="A64" s="118" t="s">
        <v>761</v>
      </c>
      <c r="B64" s="201" t="s">
        <v>548</v>
      </c>
      <c r="C64" s="187"/>
      <c r="D64" s="107"/>
      <c r="E64" s="158" t="s">
        <v>291</v>
      </c>
      <c r="F64" s="159" t="s">
        <v>835</v>
      </c>
      <c r="G64" s="159" t="s">
        <v>536</v>
      </c>
      <c r="H64" s="26"/>
      <c r="I64" s="161" t="s">
        <v>296</v>
      </c>
      <c r="J64" s="163">
        <v>45551.0</v>
      </c>
      <c r="K64" s="203" t="s">
        <v>813</v>
      </c>
      <c r="L64" s="166">
        <f t="shared" si="28"/>
        <v>0.2789437355</v>
      </c>
      <c r="M64" s="168">
        <f t="shared" si="26"/>
        <v>10853074.74</v>
      </c>
      <c r="N64" s="169">
        <v>1.085307474E7</v>
      </c>
      <c r="O64" s="169"/>
      <c r="P64" s="169"/>
      <c r="Q64" s="171"/>
      <c r="R64" s="172"/>
      <c r="S64" s="169"/>
      <c r="T64" s="168">
        <f t="shared" si="27"/>
        <v>3027397.21</v>
      </c>
      <c r="U64" s="175">
        <v>2974901.21</v>
      </c>
      <c r="V64" s="175">
        <v>52496.0</v>
      </c>
      <c r="W64" s="175"/>
      <c r="X64" s="175"/>
      <c r="Y64" s="175"/>
      <c r="Z64" s="175"/>
      <c r="AA64" s="175"/>
      <c r="AB64" s="175"/>
      <c r="AC64" s="273"/>
      <c r="AD64" s="180"/>
      <c r="AE64" s="274"/>
      <c r="AF64" s="274"/>
      <c r="AG64" s="274"/>
      <c r="AH64" s="275"/>
      <c r="AI64" s="180"/>
      <c r="AJ64" s="180"/>
      <c r="AK64" s="180"/>
      <c r="AL64" s="180"/>
      <c r="AM64" s="180"/>
      <c r="AN64" s="180"/>
      <c r="AO64" s="180"/>
      <c r="AP64" s="190" t="s">
        <v>547</v>
      </c>
    </row>
    <row r="65" ht="18.75" customHeight="1">
      <c r="A65" s="118" t="s">
        <v>761</v>
      </c>
      <c r="B65" s="201" t="s">
        <v>553</v>
      </c>
      <c r="C65" s="151" t="s">
        <v>549</v>
      </c>
      <c r="D65" s="154"/>
      <c r="E65" s="158" t="s">
        <v>291</v>
      </c>
      <c r="F65" s="159" t="s">
        <v>838</v>
      </c>
      <c r="G65" s="159" t="s">
        <v>551</v>
      </c>
      <c r="H65" s="272" t="s">
        <v>549</v>
      </c>
      <c r="I65" s="161" t="s">
        <v>322</v>
      </c>
      <c r="J65" s="163">
        <v>45869.0</v>
      </c>
      <c r="K65" s="163">
        <v>46356.0</v>
      </c>
      <c r="L65" s="166">
        <f t="shared" si="28"/>
        <v>0.9172894906</v>
      </c>
      <c r="M65" s="168">
        <f t="shared" si="26"/>
        <v>21783839.37</v>
      </c>
      <c r="N65" s="169">
        <v>2.05401122E7</v>
      </c>
      <c r="O65" s="169">
        <v>2.178383937E7</v>
      </c>
      <c r="P65" s="169"/>
      <c r="Q65" s="171"/>
      <c r="R65" s="172"/>
      <c r="S65" s="169"/>
      <c r="T65" s="168">
        <f t="shared" si="27"/>
        <v>19982086.92</v>
      </c>
      <c r="U65" s="175">
        <v>1.671212692E7</v>
      </c>
      <c r="V65" s="175">
        <v>817490.0</v>
      </c>
      <c r="W65" s="175">
        <v>817490.0</v>
      </c>
      <c r="X65" s="175">
        <v>817490.0</v>
      </c>
      <c r="Y65" s="175">
        <f>SUMIF('07.26'!$J$4:$J$1000,$F65,'07.26'!$M$4:$M$1000)</f>
        <v>817490</v>
      </c>
      <c r="Z65" s="175"/>
      <c r="AA65" s="175"/>
      <c r="AB65" s="175"/>
      <c r="AC65" s="181"/>
      <c r="AD65" s="211"/>
      <c r="AE65" s="269"/>
      <c r="AF65" s="269"/>
      <c r="AG65" s="269"/>
      <c r="AH65" s="270"/>
      <c r="AI65" s="211"/>
      <c r="AJ65" s="211"/>
      <c r="AK65" s="211"/>
      <c r="AL65" s="211"/>
      <c r="AM65" s="211"/>
      <c r="AN65" s="211"/>
      <c r="AO65" s="211"/>
      <c r="AP65" s="212" t="s">
        <v>519</v>
      </c>
    </row>
    <row r="66" ht="18.75" customHeight="1">
      <c r="A66" s="118" t="s">
        <v>761</v>
      </c>
      <c r="B66" s="201" t="s">
        <v>558</v>
      </c>
      <c r="C66" s="198"/>
      <c r="D66" s="199"/>
      <c r="E66" s="158" t="s">
        <v>291</v>
      </c>
      <c r="F66" s="159" t="s">
        <v>843</v>
      </c>
      <c r="G66" s="159" t="s">
        <v>555</v>
      </c>
      <c r="H66" s="26"/>
      <c r="I66" s="161" t="s">
        <v>296</v>
      </c>
      <c r="J66" s="163">
        <v>45306.0</v>
      </c>
      <c r="K66" s="203" t="s">
        <v>813</v>
      </c>
      <c r="L66" s="166">
        <f t="shared" si="28"/>
        <v>0.9110859683</v>
      </c>
      <c r="M66" s="168">
        <f t="shared" si="26"/>
        <v>10627391.9</v>
      </c>
      <c r="N66" s="169">
        <v>1.06273919E7</v>
      </c>
      <c r="O66" s="169"/>
      <c r="P66" s="169"/>
      <c r="Q66" s="171"/>
      <c r="R66" s="172"/>
      <c r="S66" s="169"/>
      <c r="T66" s="168">
        <f t="shared" si="27"/>
        <v>9682467.64</v>
      </c>
      <c r="U66" s="175">
        <v>9682467.64</v>
      </c>
      <c r="V66" s="175"/>
      <c r="W66" s="175"/>
      <c r="X66" s="175"/>
      <c r="Y66" s="175"/>
      <c r="Z66" s="175"/>
      <c r="AA66" s="175"/>
      <c r="AB66" s="175"/>
      <c r="AC66" s="273"/>
      <c r="AD66" s="180"/>
      <c r="AE66" s="274"/>
      <c r="AF66" s="274"/>
      <c r="AG66" s="274"/>
      <c r="AH66" s="275"/>
      <c r="AI66" s="180"/>
      <c r="AJ66" s="180"/>
      <c r="AK66" s="180"/>
      <c r="AL66" s="180"/>
      <c r="AM66" s="180"/>
      <c r="AN66" s="180"/>
      <c r="AO66" s="180"/>
      <c r="AP66" s="190" t="s">
        <v>530</v>
      </c>
    </row>
    <row r="67" ht="18.75" customHeight="1">
      <c r="A67" s="118" t="s">
        <v>761</v>
      </c>
      <c r="B67" s="201" t="s">
        <v>563</v>
      </c>
      <c r="C67" s="187"/>
      <c r="D67" s="107"/>
      <c r="E67" s="158" t="s">
        <v>291</v>
      </c>
      <c r="F67" s="159" t="s">
        <v>846</v>
      </c>
      <c r="G67" s="159"/>
      <c r="H67" s="159"/>
      <c r="I67" s="161" t="s">
        <v>377</v>
      </c>
      <c r="J67" s="163">
        <v>45306.0</v>
      </c>
      <c r="K67" s="162">
        <v>45657.0</v>
      </c>
      <c r="L67" s="166">
        <f t="shared" si="28"/>
        <v>0.5998637726</v>
      </c>
      <c r="M67" s="168">
        <f t="shared" si="26"/>
        <v>3813902.28</v>
      </c>
      <c r="N67" s="169">
        <v>2953416.02</v>
      </c>
      <c r="O67" s="169">
        <v>3813902.28</v>
      </c>
      <c r="P67" s="169"/>
      <c r="Q67" s="171"/>
      <c r="R67" s="172"/>
      <c r="S67" s="169"/>
      <c r="T67" s="168">
        <f t="shared" si="27"/>
        <v>2287821.81</v>
      </c>
      <c r="U67" s="175">
        <v>2239386.81</v>
      </c>
      <c r="V67" s="175"/>
      <c r="W67" s="175"/>
      <c r="X67" s="175">
        <v>48435.0</v>
      </c>
      <c r="Y67" s="175"/>
      <c r="Z67" s="175"/>
      <c r="AA67" s="175"/>
      <c r="AB67" s="175"/>
      <c r="AC67" s="273"/>
      <c r="AD67" s="180"/>
      <c r="AE67" s="274"/>
      <c r="AF67" s="274"/>
      <c r="AG67" s="274"/>
      <c r="AH67" s="275"/>
      <c r="AI67" s="180"/>
      <c r="AJ67" s="180"/>
      <c r="AK67" s="180"/>
      <c r="AL67" s="180"/>
      <c r="AM67" s="180"/>
      <c r="AN67" s="180"/>
      <c r="AO67" s="180"/>
      <c r="AP67" s="190"/>
    </row>
    <row r="68" ht="18.75" customHeight="1">
      <c r="A68" s="118" t="s">
        <v>761</v>
      </c>
      <c r="B68" s="201" t="s">
        <v>567</v>
      </c>
      <c r="C68" s="297" t="s">
        <v>559</v>
      </c>
      <c r="D68" s="154"/>
      <c r="E68" s="158" t="s">
        <v>291</v>
      </c>
      <c r="F68" s="159" t="s">
        <v>856</v>
      </c>
      <c r="G68" s="159" t="s">
        <v>561</v>
      </c>
      <c r="H68" s="272" t="s">
        <v>559</v>
      </c>
      <c r="I68" s="161" t="s">
        <v>322</v>
      </c>
      <c r="J68" s="163">
        <v>45536.0</v>
      </c>
      <c r="K68" s="162">
        <v>46356.0</v>
      </c>
      <c r="L68" s="166">
        <f t="shared" si="28"/>
        <v>0.7534916884</v>
      </c>
      <c r="M68" s="168">
        <f t="shared" si="26"/>
        <v>22195274</v>
      </c>
      <c r="N68" s="169">
        <v>2.1514838E7</v>
      </c>
      <c r="O68" s="169">
        <v>2.2195274E7</v>
      </c>
      <c r="P68" s="169"/>
      <c r="Q68" s="171"/>
      <c r="R68" s="172"/>
      <c r="S68" s="169"/>
      <c r="T68" s="168">
        <f t="shared" si="27"/>
        <v>16723954.48</v>
      </c>
      <c r="U68" s="175">
        <v>1.151475334E7</v>
      </c>
      <c r="V68" s="175">
        <v>868200.19</v>
      </c>
      <c r="W68" s="175">
        <v>868200.19</v>
      </c>
      <c r="X68" s="175">
        <v>868200.19</v>
      </c>
      <c r="Y68" s="175">
        <f>SUMIF('07.26'!$J$4:$J$1000,$F68,'07.26'!$M$4:$M$1000)</f>
        <v>868200.19</v>
      </c>
      <c r="Z68" s="175">
        <f>SUMIF('08.26'!$J$4:$J$1000,$F68,'08.26'!$M$4:$M$1000)</f>
        <v>868200.19</v>
      </c>
      <c r="AA68" s="175">
        <f>SUMIF('09.26'!$J$4:$J$1429,$F68,'09.26'!$M$4:$M$1429)</f>
        <v>868200.19</v>
      </c>
      <c r="AB68" s="175"/>
      <c r="AC68" s="273"/>
      <c r="AD68" s="180"/>
      <c r="AE68" s="274"/>
      <c r="AF68" s="274"/>
      <c r="AG68" s="274"/>
      <c r="AH68" s="275"/>
      <c r="AI68" s="180"/>
      <c r="AJ68" s="180"/>
      <c r="AK68" s="180"/>
      <c r="AL68" s="180"/>
      <c r="AM68" s="180"/>
      <c r="AN68" s="180"/>
      <c r="AO68" s="180"/>
      <c r="AP68" s="212" t="s">
        <v>519</v>
      </c>
    </row>
    <row r="69" ht="18.75" customHeight="1">
      <c r="A69" s="118" t="s">
        <v>761</v>
      </c>
      <c r="B69" s="201" t="s">
        <v>571</v>
      </c>
      <c r="C69" s="198"/>
      <c r="D69" s="199"/>
      <c r="E69" s="158" t="s">
        <v>291</v>
      </c>
      <c r="F69" s="159" t="s">
        <v>868</v>
      </c>
      <c r="G69" s="159" t="s">
        <v>565</v>
      </c>
      <c r="H69" s="197"/>
      <c r="I69" s="161" t="s">
        <v>296</v>
      </c>
      <c r="J69" s="163">
        <v>45688.0</v>
      </c>
      <c r="K69" s="203" t="s">
        <v>813</v>
      </c>
      <c r="L69" s="166">
        <f t="shared" si="28"/>
        <v>0.6578862528</v>
      </c>
      <c r="M69" s="168">
        <f t="shared" si="26"/>
        <v>13541270.23</v>
      </c>
      <c r="N69" s="169">
        <v>1.25806859E7</v>
      </c>
      <c r="O69" s="169">
        <v>1.354127023E7</v>
      </c>
      <c r="P69" s="169"/>
      <c r="Q69" s="171"/>
      <c r="R69" s="172"/>
      <c r="S69" s="169"/>
      <c r="T69" s="168">
        <f t="shared" si="27"/>
        <v>8908615.53</v>
      </c>
      <c r="U69" s="175">
        <v>8771007.65</v>
      </c>
      <c r="V69" s="175"/>
      <c r="W69" s="175"/>
      <c r="X69" s="175"/>
      <c r="Y69" s="175">
        <f>SUMIF('07.26'!$J$4:$J$1000,$F69,'07.26'!$M$4:$M$1000)</f>
        <v>137607.88</v>
      </c>
      <c r="Z69" s="175"/>
      <c r="AA69" s="175"/>
      <c r="AB69" s="175"/>
      <c r="AC69" s="273"/>
      <c r="AD69" s="180"/>
      <c r="AE69" s="274"/>
      <c r="AF69" s="274"/>
      <c r="AG69" s="274"/>
      <c r="AH69" s="275"/>
      <c r="AI69" s="180"/>
      <c r="AJ69" s="180"/>
      <c r="AK69" s="180"/>
      <c r="AL69" s="180"/>
      <c r="AM69" s="180"/>
      <c r="AN69" s="180"/>
      <c r="AO69" s="180"/>
      <c r="AP69" s="190" t="s">
        <v>530</v>
      </c>
    </row>
    <row r="70" ht="18.75" customHeight="1">
      <c r="A70" s="118" t="s">
        <v>761</v>
      </c>
      <c r="B70" s="201" t="s">
        <v>576</v>
      </c>
      <c r="C70" s="187"/>
      <c r="D70" s="107"/>
      <c r="E70" s="158" t="s">
        <v>291</v>
      </c>
      <c r="F70" s="159" t="s">
        <v>870</v>
      </c>
      <c r="G70" s="159" t="s">
        <v>569</v>
      </c>
      <c r="H70" s="26"/>
      <c r="I70" s="161" t="s">
        <v>377</v>
      </c>
      <c r="J70" s="163">
        <v>45502.0</v>
      </c>
      <c r="K70" s="203" t="s">
        <v>813</v>
      </c>
      <c r="L70" s="166">
        <f t="shared" si="28"/>
        <v>0.3325938793</v>
      </c>
      <c r="M70" s="168">
        <f t="shared" si="26"/>
        <v>5521366.25</v>
      </c>
      <c r="N70" s="169">
        <v>5521366.25</v>
      </c>
      <c r="O70" s="169"/>
      <c r="P70" s="169"/>
      <c r="Q70" s="171"/>
      <c r="R70" s="172"/>
      <c r="S70" s="169"/>
      <c r="T70" s="168">
        <f t="shared" si="27"/>
        <v>1836372.62</v>
      </c>
      <c r="U70" s="175">
        <v>1836372.62</v>
      </c>
      <c r="V70" s="175"/>
      <c r="W70" s="175"/>
      <c r="X70" s="175"/>
      <c r="Y70" s="175"/>
      <c r="Z70" s="175"/>
      <c r="AA70" s="175"/>
      <c r="AB70" s="175"/>
      <c r="AC70" s="273"/>
      <c r="AD70" s="180"/>
      <c r="AE70" s="274"/>
      <c r="AF70" s="274"/>
      <c r="AG70" s="274"/>
      <c r="AH70" s="275"/>
      <c r="AI70" s="180"/>
      <c r="AJ70" s="180"/>
      <c r="AK70" s="180"/>
      <c r="AL70" s="180"/>
      <c r="AM70" s="180"/>
      <c r="AN70" s="180"/>
      <c r="AO70" s="180"/>
      <c r="AP70" s="190" t="s">
        <v>530</v>
      </c>
    </row>
    <row r="71" ht="18.75" customHeight="1">
      <c r="A71" s="118" t="s">
        <v>761</v>
      </c>
      <c r="B71" s="201" t="s">
        <v>581</v>
      </c>
      <c r="C71" s="297" t="s">
        <v>572</v>
      </c>
      <c r="D71" s="154"/>
      <c r="E71" s="158" t="s">
        <v>291</v>
      </c>
      <c r="F71" s="159" t="s">
        <v>876</v>
      </c>
      <c r="G71" s="159" t="s">
        <v>574</v>
      </c>
      <c r="H71" s="272" t="s">
        <v>572</v>
      </c>
      <c r="I71" s="161" t="s">
        <v>322</v>
      </c>
      <c r="J71" s="163">
        <v>44958.0</v>
      </c>
      <c r="K71" s="163">
        <v>46446.0</v>
      </c>
      <c r="L71" s="166">
        <f t="shared" si="28"/>
        <v>0.8165795966</v>
      </c>
      <c r="M71" s="168">
        <f t="shared" si="26"/>
        <v>44472210.67</v>
      </c>
      <c r="N71" s="169">
        <v>3.776774711E7</v>
      </c>
      <c r="O71" s="169">
        <v>4.447221067E7</v>
      </c>
      <c r="P71" s="169"/>
      <c r="Q71" s="171"/>
      <c r="R71" s="172"/>
      <c r="S71" s="169"/>
      <c r="T71" s="168">
        <f t="shared" si="27"/>
        <v>36315099.85</v>
      </c>
      <c r="U71" s="175">
        <v>2.889766639E7</v>
      </c>
      <c r="V71" s="175">
        <v>1236238.91</v>
      </c>
      <c r="W71" s="175">
        <v>1236238.91</v>
      </c>
      <c r="X71" s="175">
        <v>1236238.91</v>
      </c>
      <c r="Y71" s="175">
        <f>SUMIF('07.26'!$J$4:$J$1000,$F71,'07.26'!$M$4:$M$1000)</f>
        <v>1236238.91</v>
      </c>
      <c r="Z71" s="175">
        <f>SUMIF('08.26'!$J$4:$J$1000,$F71,'08.26'!$M$4:$M$1000)</f>
        <v>1236238.91</v>
      </c>
      <c r="AA71" s="175">
        <f>SUMIF('09.26'!$J$4:$J$1429,$F71,'09.26'!$M$4:$M$1429)</f>
        <v>1236238.91</v>
      </c>
      <c r="AB71" s="175"/>
      <c r="AC71" s="273"/>
      <c r="AD71" s="180"/>
      <c r="AE71" s="274"/>
      <c r="AF71" s="274"/>
      <c r="AG71" s="274"/>
      <c r="AH71" s="275"/>
      <c r="AI71" s="180"/>
      <c r="AJ71" s="180"/>
      <c r="AK71" s="180"/>
      <c r="AL71" s="180"/>
      <c r="AM71" s="180"/>
      <c r="AN71" s="180"/>
      <c r="AO71" s="180"/>
      <c r="AP71" s="212" t="s">
        <v>519</v>
      </c>
    </row>
    <row r="72" ht="52.5" customHeight="1">
      <c r="A72" s="118" t="s">
        <v>761</v>
      </c>
      <c r="B72" s="201" t="s">
        <v>588</v>
      </c>
      <c r="C72" s="187"/>
      <c r="D72" s="107"/>
      <c r="E72" s="158" t="s">
        <v>291</v>
      </c>
      <c r="F72" s="159" t="s">
        <v>886</v>
      </c>
      <c r="G72" s="159" t="s">
        <v>578</v>
      </c>
      <c r="H72" s="26"/>
      <c r="I72" s="161" t="s">
        <v>296</v>
      </c>
      <c r="J72" s="163">
        <v>45231.0</v>
      </c>
      <c r="K72" s="203" t="s">
        <v>813</v>
      </c>
      <c r="L72" s="166">
        <f t="shared" si="28"/>
        <v>0.9485590324</v>
      </c>
      <c r="M72" s="168">
        <f t="shared" si="26"/>
        <v>28862095.5</v>
      </c>
      <c r="N72" s="169">
        <v>2.88620955E7</v>
      </c>
      <c r="O72" s="169"/>
      <c r="P72" s="169"/>
      <c r="Q72" s="171"/>
      <c r="R72" s="172"/>
      <c r="S72" s="169"/>
      <c r="T72" s="168">
        <f t="shared" si="27"/>
        <v>27377401.38</v>
      </c>
      <c r="U72" s="175">
        <v>2.440356156E7</v>
      </c>
      <c r="V72" s="175">
        <v>895438.0</v>
      </c>
      <c r="W72" s="175">
        <v>251337.32</v>
      </c>
      <c r="X72" s="175">
        <v>903677.5</v>
      </c>
      <c r="Y72" s="175">
        <f>SUMIF('07.26'!$J$4:$J$1000,$F72,'07.26'!$M$4:$M$1000)</f>
        <v>135112</v>
      </c>
      <c r="Z72" s="175">
        <f>SUMIF('08.26'!$J$4:$J$1000,$F72,'08.26'!$M$4:$M$1000)</f>
        <v>788275</v>
      </c>
      <c r="AA72" s="175"/>
      <c r="AB72" s="175"/>
      <c r="AC72" s="273"/>
      <c r="AD72" s="180"/>
      <c r="AE72" s="274"/>
      <c r="AF72" s="274"/>
      <c r="AG72" s="274"/>
      <c r="AH72" s="275"/>
      <c r="AI72" s="180"/>
      <c r="AJ72" s="180"/>
      <c r="AK72" s="180"/>
      <c r="AL72" s="180"/>
      <c r="AM72" s="180"/>
      <c r="AN72" s="180"/>
      <c r="AO72" s="180"/>
      <c r="AP72" s="190" t="s">
        <v>519</v>
      </c>
    </row>
    <row r="73">
      <c r="A73" s="118" t="s">
        <v>761</v>
      </c>
      <c r="B73" s="201" t="s">
        <v>591</v>
      </c>
      <c r="C73" s="297" t="s">
        <v>582</v>
      </c>
      <c r="D73" s="154"/>
      <c r="E73" s="158" t="s">
        <v>291</v>
      </c>
      <c r="F73" s="159" t="s">
        <v>895</v>
      </c>
      <c r="G73" s="159" t="s">
        <v>584</v>
      </c>
      <c r="H73" s="272" t="s">
        <v>585</v>
      </c>
      <c r="I73" s="161" t="s">
        <v>322</v>
      </c>
      <c r="J73" s="163">
        <v>45323.0</v>
      </c>
      <c r="K73" s="163">
        <v>46265.0</v>
      </c>
      <c r="L73" s="166">
        <f t="shared" si="28"/>
        <v>0.9149008663</v>
      </c>
      <c r="M73" s="168">
        <f t="shared" si="26"/>
        <v>35990582.58</v>
      </c>
      <c r="N73" s="169">
        <v>3.414057809E7</v>
      </c>
      <c r="O73" s="169">
        <v>3.599058258E7</v>
      </c>
      <c r="P73" s="169"/>
      <c r="Q73" s="171"/>
      <c r="R73" s="172"/>
      <c r="S73" s="169"/>
      <c r="T73" s="168">
        <f t="shared" si="27"/>
        <v>32927815.18</v>
      </c>
      <c r="U73" s="175">
        <v>2.736699063E7</v>
      </c>
      <c r="V73" s="175">
        <v>1278964.91</v>
      </c>
      <c r="W73" s="175">
        <v>1070464.91</v>
      </c>
      <c r="X73" s="175">
        <v>1070464.91</v>
      </c>
      <c r="Y73" s="175">
        <f>SUMIF('07.26'!$J$4:$J$1000,$F73,'07.26'!$M$4:$M$1000)</f>
        <v>1070464.91</v>
      </c>
      <c r="Z73" s="175">
        <f>SUMIF('08.26'!$J$4:$J$1000,$F73,'08.26'!$M$4:$M$1000)</f>
        <v>1070464.91</v>
      </c>
      <c r="AA73" s="175"/>
      <c r="AB73" s="175"/>
      <c r="AC73" s="273"/>
      <c r="AD73" s="180"/>
      <c r="AE73" s="274"/>
      <c r="AF73" s="274"/>
      <c r="AG73" s="274"/>
      <c r="AH73" s="275"/>
      <c r="AI73" s="180"/>
      <c r="AJ73" s="180"/>
      <c r="AK73" s="180"/>
      <c r="AL73" s="180"/>
      <c r="AM73" s="180"/>
      <c r="AN73" s="180"/>
      <c r="AO73" s="180"/>
      <c r="AP73" s="190" t="s">
        <v>587</v>
      </c>
    </row>
    <row r="74" ht="18.75" customHeight="1">
      <c r="A74" s="118" t="s">
        <v>761</v>
      </c>
      <c r="B74" s="201" t="s">
        <v>598</v>
      </c>
      <c r="C74" s="198"/>
      <c r="D74" s="199"/>
      <c r="E74" s="158" t="s">
        <v>291</v>
      </c>
      <c r="F74" s="159" t="s">
        <v>907</v>
      </c>
      <c r="G74" s="159" t="s">
        <v>584</v>
      </c>
      <c r="H74" s="26"/>
      <c r="I74" s="161" t="s">
        <v>296</v>
      </c>
      <c r="J74" s="163">
        <v>45097.0</v>
      </c>
      <c r="K74" s="203" t="s">
        <v>813</v>
      </c>
      <c r="L74" s="166">
        <f t="shared" si="28"/>
        <v>0.8318353984</v>
      </c>
      <c r="M74" s="168">
        <f t="shared" si="26"/>
        <v>63043877.54</v>
      </c>
      <c r="N74" s="169">
        <v>6.304387754E7</v>
      </c>
      <c r="O74" s="169"/>
      <c r="P74" s="169"/>
      <c r="Q74" s="171"/>
      <c r="R74" s="172"/>
      <c r="S74" s="169"/>
      <c r="T74" s="168">
        <f t="shared" si="27"/>
        <v>52442128.99</v>
      </c>
      <c r="U74" s="175">
        <v>5.241646704E7</v>
      </c>
      <c r="V74" s="175"/>
      <c r="W74" s="175"/>
      <c r="X74" s="175">
        <v>11281.95</v>
      </c>
      <c r="Y74" s="175">
        <f>SUMIF('07.26'!$J$4:$J$1000,$F74,'07.26'!$M$4:$M$1000)</f>
        <v>0</v>
      </c>
      <c r="Z74" s="175">
        <f>SUMIF('08.26'!$J$4:$J$1000,$F74,'08.26'!$M$4:$M$1000)</f>
        <v>0</v>
      </c>
      <c r="AA74" s="175">
        <v>14380.0</v>
      </c>
      <c r="AB74" s="175"/>
      <c r="AC74" s="273"/>
      <c r="AD74" s="180"/>
      <c r="AE74" s="274"/>
      <c r="AF74" s="274"/>
      <c r="AG74" s="274"/>
      <c r="AH74" s="275"/>
      <c r="AI74" s="180"/>
      <c r="AJ74" s="180"/>
      <c r="AK74" s="180"/>
      <c r="AL74" s="180"/>
      <c r="AM74" s="180"/>
      <c r="AN74" s="180"/>
      <c r="AO74" s="180"/>
      <c r="AP74" s="190" t="s">
        <v>530</v>
      </c>
    </row>
    <row r="75" ht="18.75" customHeight="1">
      <c r="A75" s="118" t="s">
        <v>761</v>
      </c>
      <c r="B75" s="201" t="s">
        <v>604</v>
      </c>
      <c r="C75" s="187"/>
      <c r="D75" s="107"/>
      <c r="E75" s="158" t="s">
        <v>291</v>
      </c>
      <c r="F75" s="159" t="s">
        <v>918</v>
      </c>
      <c r="G75" s="159"/>
      <c r="H75" s="159"/>
      <c r="I75" s="161" t="s">
        <v>322</v>
      </c>
      <c r="J75" s="163">
        <v>46136.0</v>
      </c>
      <c r="K75" s="162">
        <v>46326.0</v>
      </c>
      <c r="L75" s="166">
        <f t="shared" si="28"/>
        <v>1</v>
      </c>
      <c r="M75" s="168">
        <f t="shared" si="26"/>
        <v>2999787</v>
      </c>
      <c r="N75" s="169">
        <v>2999787.0</v>
      </c>
      <c r="O75" s="169"/>
      <c r="P75" s="169"/>
      <c r="Q75" s="171"/>
      <c r="R75" s="172"/>
      <c r="S75" s="169"/>
      <c r="T75" s="168">
        <f t="shared" si="27"/>
        <v>2999787</v>
      </c>
      <c r="U75" s="175"/>
      <c r="V75" s="175"/>
      <c r="W75" s="175"/>
      <c r="X75" s="175"/>
      <c r="Y75" s="175"/>
      <c r="Z75" s="175">
        <v>2999787.0</v>
      </c>
      <c r="AA75" s="175"/>
      <c r="AB75" s="175"/>
      <c r="AC75" s="273"/>
      <c r="AD75" s="180"/>
      <c r="AE75" s="274"/>
      <c r="AF75" s="274"/>
      <c r="AG75" s="274"/>
      <c r="AH75" s="275"/>
      <c r="AI75" s="180"/>
      <c r="AJ75" s="180"/>
      <c r="AK75" s="180"/>
      <c r="AL75" s="180"/>
      <c r="AM75" s="180"/>
      <c r="AN75" s="180"/>
      <c r="AO75" s="180"/>
      <c r="AP75" s="190"/>
    </row>
    <row r="76" ht="18.75" customHeight="1">
      <c r="A76" s="118" t="s">
        <v>761</v>
      </c>
      <c r="B76" s="201" t="s">
        <v>920</v>
      </c>
      <c r="C76" s="297" t="s">
        <v>592</v>
      </c>
      <c r="D76" s="154"/>
      <c r="E76" s="158" t="s">
        <v>291</v>
      </c>
      <c r="F76" s="159" t="s">
        <v>921</v>
      </c>
      <c r="G76" s="272" t="s">
        <v>594</v>
      </c>
      <c r="H76" s="272" t="s">
        <v>595</v>
      </c>
      <c r="I76" s="161" t="s">
        <v>296</v>
      </c>
      <c r="J76" s="163">
        <v>45931.0</v>
      </c>
      <c r="K76" s="203" t="s">
        <v>813</v>
      </c>
      <c r="L76" s="166">
        <f t="shared" si="28"/>
        <v>0.5853670636</v>
      </c>
      <c r="M76" s="168">
        <f t="shared" si="26"/>
        <v>12333493.75</v>
      </c>
      <c r="N76" s="169">
        <v>1.233349375E7</v>
      </c>
      <c r="O76" s="169"/>
      <c r="P76" s="169"/>
      <c r="Q76" s="171"/>
      <c r="R76" s="172"/>
      <c r="S76" s="169"/>
      <c r="T76" s="168">
        <f t="shared" si="27"/>
        <v>7219621.02</v>
      </c>
      <c r="U76" s="175">
        <v>6257688.02</v>
      </c>
      <c r="V76" s="175"/>
      <c r="W76" s="175"/>
      <c r="X76" s="175"/>
      <c r="Y76" s="175">
        <f>SUMIF('07.26'!$J$4:$J$1000,$F76,'07.26'!$M$4:$M$1000)</f>
        <v>961933</v>
      </c>
      <c r="Z76" s="175"/>
      <c r="AA76" s="175"/>
      <c r="AB76" s="175"/>
      <c r="AC76" s="273"/>
      <c r="AD76" s="180"/>
      <c r="AE76" s="274"/>
      <c r="AF76" s="274"/>
      <c r="AG76" s="274"/>
      <c r="AH76" s="275"/>
      <c r="AI76" s="180"/>
      <c r="AJ76" s="180"/>
      <c r="AK76" s="180"/>
      <c r="AL76" s="180"/>
      <c r="AM76" s="180"/>
      <c r="AN76" s="180"/>
      <c r="AO76" s="180"/>
      <c r="AP76" s="190" t="s">
        <v>519</v>
      </c>
    </row>
    <row r="77" ht="18.75" customHeight="1">
      <c r="A77" s="118" t="s">
        <v>761</v>
      </c>
      <c r="B77" s="201" t="s">
        <v>923</v>
      </c>
      <c r="C77" s="187"/>
      <c r="D77" s="107"/>
      <c r="E77" s="158" t="s">
        <v>291</v>
      </c>
      <c r="F77" s="159" t="s">
        <v>887</v>
      </c>
      <c r="G77" s="26"/>
      <c r="H77" s="26"/>
      <c r="I77" s="161" t="s">
        <v>322</v>
      </c>
      <c r="J77" s="163">
        <v>45931.0</v>
      </c>
      <c r="K77" s="163">
        <v>46418.0</v>
      </c>
      <c r="L77" s="166">
        <f t="shared" si="28"/>
        <v>0.7294420985</v>
      </c>
      <c r="M77" s="168">
        <f t="shared" si="26"/>
        <v>9960176.64</v>
      </c>
      <c r="N77" s="169">
        <v>3855186.05</v>
      </c>
      <c r="O77" s="169">
        <v>9960176.64</v>
      </c>
      <c r="P77" s="169"/>
      <c r="Q77" s="171"/>
      <c r="R77" s="172"/>
      <c r="S77" s="169"/>
      <c r="T77" s="168">
        <f t="shared" si="27"/>
        <v>7265372.15</v>
      </c>
      <c r="U77" s="175"/>
      <c r="V77" s="175"/>
      <c r="W77" s="175"/>
      <c r="X77" s="175"/>
      <c r="Y77" s="175">
        <f>SUMIF('07.26'!$J$4:$J$1000,$F77,'07.26'!$M$4:$M$1000)</f>
        <v>3855186.05</v>
      </c>
      <c r="Z77" s="175"/>
      <c r="AA77" s="175">
        <f>SUMIF('09.26'!$J$4:$J$1429,$F77,'09.26'!$M$4:$M$1429)</f>
        <v>3410186.1</v>
      </c>
      <c r="AB77" s="175"/>
      <c r="AC77" s="273"/>
      <c r="AD77" s="180"/>
      <c r="AE77" s="274"/>
      <c r="AF77" s="274"/>
      <c r="AG77" s="274"/>
      <c r="AH77" s="275"/>
      <c r="AI77" s="180"/>
      <c r="AJ77" s="180"/>
      <c r="AK77" s="180"/>
      <c r="AL77" s="180"/>
      <c r="AM77" s="180"/>
      <c r="AN77" s="180"/>
      <c r="AO77" s="180"/>
      <c r="AP77" s="190"/>
    </row>
    <row r="78" ht="18.75" customHeight="1">
      <c r="A78" s="118" t="s">
        <v>761</v>
      </c>
      <c r="B78" s="201" t="s">
        <v>934</v>
      </c>
      <c r="C78" s="297" t="s">
        <v>599</v>
      </c>
      <c r="D78" s="154"/>
      <c r="E78" s="158" t="s">
        <v>291</v>
      </c>
      <c r="F78" s="159" t="s">
        <v>935</v>
      </c>
      <c r="G78" s="272" t="s">
        <v>936</v>
      </c>
      <c r="H78" s="272" t="s">
        <v>602</v>
      </c>
      <c r="I78" s="161" t="s">
        <v>296</v>
      </c>
      <c r="J78" s="163">
        <v>45931.0</v>
      </c>
      <c r="K78" s="203" t="s">
        <v>813</v>
      </c>
      <c r="L78" s="166">
        <f t="shared" si="28"/>
        <v>0.3068795743</v>
      </c>
      <c r="M78" s="168">
        <f t="shared" si="26"/>
        <v>12738270.8</v>
      </c>
      <c r="N78" s="169">
        <v>1.27382708E7</v>
      </c>
      <c r="O78" s="169"/>
      <c r="P78" s="169"/>
      <c r="Q78" s="171"/>
      <c r="R78" s="172"/>
      <c r="S78" s="169"/>
      <c r="T78" s="168">
        <f t="shared" si="27"/>
        <v>3909115.12</v>
      </c>
      <c r="U78" s="175">
        <v>264864.1</v>
      </c>
      <c r="V78" s="175">
        <v>2005202.02</v>
      </c>
      <c r="W78" s="175">
        <v>1639049.0</v>
      </c>
      <c r="X78" s="175"/>
      <c r="Y78" s="175"/>
      <c r="Z78" s="175"/>
      <c r="AA78" s="175"/>
      <c r="AB78" s="175"/>
      <c r="AC78" s="273"/>
      <c r="AD78" s="180"/>
      <c r="AE78" s="274"/>
      <c r="AF78" s="274"/>
      <c r="AG78" s="274"/>
      <c r="AH78" s="275"/>
      <c r="AI78" s="180"/>
      <c r="AJ78" s="180"/>
      <c r="AK78" s="180"/>
      <c r="AL78" s="180"/>
      <c r="AM78" s="180"/>
      <c r="AN78" s="180"/>
      <c r="AO78" s="180"/>
      <c r="AP78" s="190" t="s">
        <v>603</v>
      </c>
    </row>
    <row r="79" ht="18.75" customHeight="1">
      <c r="A79" s="118" t="s">
        <v>761</v>
      </c>
      <c r="B79" s="201" t="s">
        <v>941</v>
      </c>
      <c r="C79" s="187"/>
      <c r="D79" s="107"/>
      <c r="E79" s="158" t="s">
        <v>291</v>
      </c>
      <c r="F79" s="159" t="s">
        <v>897</v>
      </c>
      <c r="G79" s="26"/>
      <c r="H79" s="26"/>
      <c r="I79" s="161" t="s">
        <v>322</v>
      </c>
      <c r="J79" s="163">
        <v>45931.0</v>
      </c>
      <c r="K79" s="163">
        <v>46418.0</v>
      </c>
      <c r="L79" s="166">
        <f t="shared" si="28"/>
        <v>0.3841671235</v>
      </c>
      <c r="M79" s="168">
        <f t="shared" si="26"/>
        <v>10035179.52</v>
      </c>
      <c r="N79" s="169">
        <v>3855186.05</v>
      </c>
      <c r="O79" s="169">
        <v>1.003517952E7</v>
      </c>
      <c r="P79" s="169"/>
      <c r="Q79" s="171"/>
      <c r="R79" s="172"/>
      <c r="S79" s="169"/>
      <c r="T79" s="168">
        <f t="shared" si="27"/>
        <v>3855186.05</v>
      </c>
      <c r="U79" s="175"/>
      <c r="V79" s="175"/>
      <c r="W79" s="175"/>
      <c r="X79" s="175"/>
      <c r="Y79" s="175">
        <f>SUMIF('07.26'!$J$4:$J$1000,$F79,'07.26'!$M$4:$M$1000)</f>
        <v>3855186.05</v>
      </c>
      <c r="Z79" s="175"/>
      <c r="AA79" s="175"/>
      <c r="AB79" s="175"/>
      <c r="AC79" s="273"/>
      <c r="AD79" s="180"/>
      <c r="AE79" s="274"/>
      <c r="AF79" s="274"/>
      <c r="AG79" s="274"/>
      <c r="AH79" s="275"/>
      <c r="AI79" s="180"/>
      <c r="AJ79" s="180"/>
      <c r="AK79" s="180"/>
      <c r="AL79" s="180"/>
      <c r="AM79" s="180"/>
      <c r="AN79" s="180"/>
      <c r="AO79" s="180"/>
      <c r="AP79" s="190"/>
    </row>
    <row r="80" ht="18.75" customHeight="1">
      <c r="A80" s="118" t="s">
        <v>761</v>
      </c>
      <c r="B80" s="201" t="s">
        <v>947</v>
      </c>
      <c r="C80" s="297" t="s">
        <v>605</v>
      </c>
      <c r="D80" s="154"/>
      <c r="E80" s="158" t="s">
        <v>291</v>
      </c>
      <c r="F80" s="159" t="s">
        <v>951</v>
      </c>
      <c r="G80" s="272" t="s">
        <v>607</v>
      </c>
      <c r="H80" s="272" t="s">
        <v>608</v>
      </c>
      <c r="I80" s="161" t="s">
        <v>296</v>
      </c>
      <c r="J80" s="163">
        <v>45930.0</v>
      </c>
      <c r="K80" s="203" t="s">
        <v>952</v>
      </c>
      <c r="L80" s="166">
        <f t="shared" si="28"/>
        <v>0.3108327291</v>
      </c>
      <c r="M80" s="168">
        <f t="shared" si="26"/>
        <v>23990492.93</v>
      </c>
      <c r="N80" s="169">
        <v>2.399049293E7</v>
      </c>
      <c r="O80" s="169"/>
      <c r="P80" s="169"/>
      <c r="Q80" s="171"/>
      <c r="R80" s="172"/>
      <c r="S80" s="169"/>
      <c r="T80" s="168">
        <f t="shared" si="27"/>
        <v>7457030.39</v>
      </c>
      <c r="U80" s="175"/>
      <c r="V80" s="175"/>
      <c r="W80" s="175"/>
      <c r="X80" s="175">
        <v>3901288.33</v>
      </c>
      <c r="Y80" s="175">
        <f>SUMIF('07.26'!$J$4:$J$1000,$F80,'07.26'!$M$4:$M$1000)</f>
        <v>1527223.74</v>
      </c>
      <c r="Z80" s="175">
        <f>SUMIF('08.26'!$J$4:$J$1000,$F80,'08.26'!$M$4:$M$1000)</f>
        <v>0</v>
      </c>
      <c r="AA80" s="175">
        <f>SUMIF('09.26'!$J$4:$J$1429,$F80,'09.26'!$M$4:$M$1429)</f>
        <v>2028518.32</v>
      </c>
      <c r="AB80" s="175"/>
      <c r="AC80" s="273"/>
      <c r="AD80" s="180"/>
      <c r="AE80" s="274"/>
      <c r="AF80" s="274"/>
      <c r="AG80" s="274"/>
      <c r="AH80" s="275"/>
      <c r="AI80" s="180"/>
      <c r="AJ80" s="180"/>
      <c r="AK80" s="180"/>
      <c r="AL80" s="180"/>
      <c r="AM80" s="180"/>
      <c r="AN80" s="180"/>
      <c r="AO80" s="180"/>
      <c r="AP80" s="190" t="s">
        <v>603</v>
      </c>
    </row>
    <row r="81" ht="18.75" customHeight="1">
      <c r="A81" s="118" t="s">
        <v>761</v>
      </c>
      <c r="B81" s="201" t="s">
        <v>965</v>
      </c>
      <c r="C81" s="187"/>
      <c r="D81" s="107"/>
      <c r="E81" s="158" t="s">
        <v>291</v>
      </c>
      <c r="F81" s="159" t="s">
        <v>905</v>
      </c>
      <c r="G81" s="26"/>
      <c r="H81" s="26"/>
      <c r="I81" s="161" t="s">
        <v>322</v>
      </c>
      <c r="J81" s="163">
        <v>45931.0</v>
      </c>
      <c r="K81" s="163">
        <v>46418.0</v>
      </c>
      <c r="L81" s="166">
        <f t="shared" si="28"/>
        <v>0.9504670953</v>
      </c>
      <c r="M81" s="168">
        <f t="shared" si="26"/>
        <v>15288319.23</v>
      </c>
      <c r="N81" s="169">
        <v>7710672.11</v>
      </c>
      <c r="O81" s="169">
        <v>1.528831923E7</v>
      </c>
      <c r="P81" s="169"/>
      <c r="Q81" s="171"/>
      <c r="R81" s="172"/>
      <c r="S81" s="169"/>
      <c r="T81" s="168">
        <f t="shared" si="27"/>
        <v>14531044.37</v>
      </c>
      <c r="U81" s="175"/>
      <c r="V81" s="175"/>
      <c r="W81" s="175"/>
      <c r="X81" s="175"/>
      <c r="Y81" s="175">
        <f>SUMIF('07.26'!$J$4:$J$1000,$F81,'07.26'!$M$4:$M$1000)</f>
        <v>7710672.11</v>
      </c>
      <c r="Z81" s="175">
        <f>SUMIF('08.26'!$J$4:$J$1000,$F81,'08.26'!$M$4:$M$1000)</f>
        <v>0</v>
      </c>
      <c r="AA81" s="175">
        <f>SUMIF('09.26'!$J$4:$J$1429,$F81,'09.26'!$M$4:$M$1429)</f>
        <v>6820372.26</v>
      </c>
      <c r="AB81" s="175"/>
      <c r="AC81" s="273"/>
      <c r="AD81" s="180"/>
      <c r="AE81" s="274"/>
      <c r="AF81" s="274"/>
      <c r="AG81" s="274"/>
      <c r="AH81" s="275"/>
      <c r="AI81" s="180"/>
      <c r="AJ81" s="180"/>
      <c r="AK81" s="180"/>
      <c r="AL81" s="180"/>
      <c r="AM81" s="180"/>
      <c r="AN81" s="180"/>
      <c r="AO81" s="180"/>
      <c r="AP81" s="190"/>
    </row>
    <row r="82" ht="18.75" customHeight="1">
      <c r="A82" s="118" t="s">
        <v>761</v>
      </c>
      <c r="B82" s="119" t="s">
        <v>611</v>
      </c>
      <c r="C82" s="6" t="s">
        <v>612</v>
      </c>
      <c r="D82" s="219" t="s">
        <v>161</v>
      </c>
      <c r="E82" s="121"/>
      <c r="F82" s="122"/>
      <c r="G82" s="122"/>
      <c r="H82" s="122"/>
      <c r="I82" s="123"/>
      <c r="J82" s="124"/>
      <c r="K82" s="125"/>
      <c r="L82" s="129">
        <f t="shared" si="28"/>
        <v>0.9182176669</v>
      </c>
      <c r="M82" s="132">
        <f t="shared" ref="M82:S82" si="29">SUM(M83:M85)</f>
        <v>61043935.14</v>
      </c>
      <c r="N82" s="133">
        <f t="shared" si="29"/>
        <v>62699362.31</v>
      </c>
      <c r="O82" s="133">
        <f t="shared" si="29"/>
        <v>0</v>
      </c>
      <c r="P82" s="133">
        <f t="shared" si="29"/>
        <v>0</v>
      </c>
      <c r="Q82" s="134">
        <f t="shared" si="29"/>
        <v>0</v>
      </c>
      <c r="R82" s="135">
        <f t="shared" si="29"/>
        <v>0</v>
      </c>
      <c r="S82" s="133">
        <f t="shared" si="29"/>
        <v>0</v>
      </c>
      <c r="T82" s="132">
        <f t="shared" si="27"/>
        <v>56051619.7</v>
      </c>
      <c r="U82" s="133">
        <f t="shared" ref="U82:AB82" si="30">SUM(U83:U85)</f>
        <v>53977433.84</v>
      </c>
      <c r="V82" s="109">
        <f t="shared" si="30"/>
        <v>2074185.86</v>
      </c>
      <c r="W82" s="109">
        <f t="shared" si="30"/>
        <v>0</v>
      </c>
      <c r="X82" s="109">
        <f t="shared" si="30"/>
        <v>0</v>
      </c>
      <c r="Y82" s="140">
        <f t="shared" si="30"/>
        <v>0</v>
      </c>
      <c r="Z82" s="140">
        <f t="shared" si="30"/>
        <v>0</v>
      </c>
      <c r="AA82" s="140">
        <f t="shared" si="30"/>
        <v>0</v>
      </c>
      <c r="AB82" s="133">
        <f t="shared" si="30"/>
        <v>0</v>
      </c>
      <c r="AC82" s="141"/>
      <c r="AD82" s="142" t="s">
        <v>614</v>
      </c>
      <c r="AE82" s="143"/>
      <c r="AF82" s="143"/>
      <c r="AG82" s="143"/>
      <c r="AH82" s="145"/>
      <c r="AI82" s="142"/>
      <c r="AJ82" s="142"/>
      <c r="AK82" s="142"/>
      <c r="AL82" s="142"/>
      <c r="AM82" s="142"/>
      <c r="AN82" s="142"/>
      <c r="AO82" s="142"/>
      <c r="AP82" s="84"/>
    </row>
    <row r="83" ht="18.75" customHeight="1">
      <c r="A83" s="118" t="s">
        <v>761</v>
      </c>
      <c r="B83" s="201" t="s">
        <v>615</v>
      </c>
      <c r="C83" s="202" t="s">
        <v>616</v>
      </c>
      <c r="D83" s="14"/>
      <c r="E83" s="158" t="s">
        <v>337</v>
      </c>
      <c r="F83" s="159" t="s">
        <v>980</v>
      </c>
      <c r="G83" s="159" t="s">
        <v>618</v>
      </c>
      <c r="H83" s="159" t="s">
        <v>619</v>
      </c>
      <c r="I83" s="161" t="s">
        <v>296</v>
      </c>
      <c r="J83" s="163">
        <v>45352.0</v>
      </c>
      <c r="K83" s="163">
        <v>46142.0</v>
      </c>
      <c r="L83" s="166">
        <f t="shared" si="28"/>
        <v>1</v>
      </c>
      <c r="M83" s="168">
        <v>1.695242491E7</v>
      </c>
      <c r="N83" s="169">
        <v>1.552427389E7</v>
      </c>
      <c r="O83" s="169"/>
      <c r="P83" s="169"/>
      <c r="Q83" s="171"/>
      <c r="R83" s="172"/>
      <c r="S83" s="169"/>
      <c r="T83" s="168">
        <f t="shared" si="27"/>
        <v>16952424.91</v>
      </c>
      <c r="U83" s="175">
        <f>16952424.91-V83</f>
        <v>14878239.05</v>
      </c>
      <c r="V83" s="175">
        <v>2074185.86</v>
      </c>
      <c r="W83" s="175"/>
      <c r="X83" s="175"/>
      <c r="Y83" s="175">
        <f>SUMIF('07.26'!$J$4:$J$1000,$F83,'07.26'!$M$4:$M$1000)</f>
        <v>0</v>
      </c>
      <c r="Z83" s="175">
        <f>SUMIF('08.26'!$J$4:$J$1000,$F83,'08.26'!$M$4:$M$1000)</f>
        <v>0</v>
      </c>
      <c r="AA83" s="175">
        <f>SUMIF('09.26'!$J$4:$J$1429,$F83,'09.26'!$M$4:$M$1429)</f>
        <v>0</v>
      </c>
      <c r="AB83" s="175"/>
      <c r="AC83" s="181"/>
      <c r="AD83" s="211"/>
      <c r="AE83" s="269"/>
      <c r="AF83" s="269"/>
      <c r="AG83" s="269"/>
      <c r="AH83" s="270"/>
      <c r="AI83" s="211"/>
      <c r="AJ83" s="211"/>
      <c r="AK83" s="211"/>
      <c r="AL83" s="211"/>
      <c r="AM83" s="211"/>
      <c r="AN83" s="211"/>
      <c r="AO83" s="211"/>
      <c r="AP83" s="333" t="s">
        <v>621</v>
      </c>
    </row>
    <row r="84" ht="18.75" customHeight="1">
      <c r="A84" s="118" t="s">
        <v>761</v>
      </c>
      <c r="B84" s="201" t="s">
        <v>622</v>
      </c>
      <c r="C84" s="202" t="s">
        <v>623</v>
      </c>
      <c r="D84" s="14"/>
      <c r="E84" s="158" t="s">
        <v>337</v>
      </c>
      <c r="F84" s="159" t="s">
        <v>990</v>
      </c>
      <c r="G84" s="159" t="s">
        <v>626</v>
      </c>
      <c r="H84" s="159" t="s">
        <v>627</v>
      </c>
      <c r="I84" s="161" t="s">
        <v>296</v>
      </c>
      <c r="J84" s="163">
        <v>45323.0</v>
      </c>
      <c r="K84" s="203" t="s">
        <v>991</v>
      </c>
      <c r="L84" s="166">
        <f t="shared" si="28"/>
        <v>1</v>
      </c>
      <c r="M84" s="168">
        <v>1.87544707E7</v>
      </c>
      <c r="N84" s="169">
        <v>2.183804889E7</v>
      </c>
      <c r="O84" s="169"/>
      <c r="P84" s="169"/>
      <c r="Q84" s="171"/>
      <c r="R84" s="172"/>
      <c r="S84" s="169"/>
      <c r="T84" s="168">
        <f t="shared" si="27"/>
        <v>18754470.7</v>
      </c>
      <c r="U84" s="175">
        <v>1.87544707E7</v>
      </c>
      <c r="V84" s="175"/>
      <c r="W84" s="175"/>
      <c r="X84" s="175"/>
      <c r="Y84" s="175">
        <f>SUMIF('07.26'!$J$4:$J$1000,$F84,'07.26'!$M$4:$M$1000)</f>
        <v>0</v>
      </c>
      <c r="Z84" s="175">
        <f>SUMIF('08.26'!$J$4:$J$1000,$F84,'08.26'!$M$4:$M$1000)</f>
        <v>0</v>
      </c>
      <c r="AA84" s="175">
        <f>SUMIF('09.26'!$J$4:$J$1429,$F84,'09.26'!$M$4:$M$1429)</f>
        <v>0</v>
      </c>
      <c r="AB84" s="175"/>
      <c r="AC84" s="181"/>
      <c r="AD84" s="211"/>
      <c r="AE84" s="269"/>
      <c r="AF84" s="269"/>
      <c r="AG84" s="269"/>
      <c r="AH84" s="270"/>
      <c r="AI84" s="211"/>
      <c r="AJ84" s="211"/>
      <c r="AK84" s="211"/>
      <c r="AL84" s="211"/>
      <c r="AM84" s="211"/>
      <c r="AN84" s="211"/>
      <c r="AO84" s="211"/>
      <c r="AP84" s="333" t="s">
        <v>629</v>
      </c>
    </row>
    <row r="85" ht="18.75" customHeight="1">
      <c r="A85" s="118" t="s">
        <v>761</v>
      </c>
      <c r="B85" s="201" t="s">
        <v>630</v>
      </c>
      <c r="C85" s="202" t="s">
        <v>631</v>
      </c>
      <c r="D85" s="14"/>
      <c r="E85" s="158" t="s">
        <v>372</v>
      </c>
      <c r="F85" s="159" t="s">
        <v>1001</v>
      </c>
      <c r="G85" s="159" t="s">
        <v>633</v>
      </c>
      <c r="H85" s="159" t="s">
        <v>634</v>
      </c>
      <c r="I85" s="161" t="s">
        <v>296</v>
      </c>
      <c r="J85" s="162">
        <v>44893.0</v>
      </c>
      <c r="K85" s="203" t="s">
        <v>1003</v>
      </c>
      <c r="L85" s="166">
        <f t="shared" si="28"/>
        <v>0.8029637427</v>
      </c>
      <c r="M85" s="168">
        <f>MAX(N85:R85)</f>
        <v>25337039.53</v>
      </c>
      <c r="N85" s="169">
        <v>2.533703953E7</v>
      </c>
      <c r="O85" s="169"/>
      <c r="P85" s="169"/>
      <c r="Q85" s="171"/>
      <c r="R85" s="172"/>
      <c r="S85" s="169"/>
      <c r="T85" s="168">
        <f t="shared" si="27"/>
        <v>20344724.09</v>
      </c>
      <c r="U85" s="175">
        <v>2.034472409E7</v>
      </c>
      <c r="V85" s="175"/>
      <c r="W85" s="175"/>
      <c r="X85" s="175"/>
      <c r="Y85" s="175">
        <f>SUMIF('07.26'!$J$4:$J$1000,$F85,'07.26'!$M$4:$M$1000)</f>
        <v>0</v>
      </c>
      <c r="Z85" s="175">
        <f>SUMIF('08.26'!$J$4:$J$1000,$F85,'08.26'!$M$4:$M$1000)</f>
        <v>0</v>
      </c>
      <c r="AA85" s="175">
        <f>SUMIF('09.26'!$J$4:$J$1429,$F85,'09.26'!$M$4:$M$1429)</f>
        <v>0</v>
      </c>
      <c r="AB85" s="175"/>
      <c r="AC85" s="181"/>
      <c r="AD85" s="211"/>
      <c r="AE85" s="269"/>
      <c r="AF85" s="269"/>
      <c r="AG85" s="269"/>
      <c r="AH85" s="270"/>
      <c r="AI85" s="211"/>
      <c r="AJ85" s="211"/>
      <c r="AK85" s="211"/>
      <c r="AL85" s="211"/>
      <c r="AM85" s="211"/>
      <c r="AN85" s="211"/>
      <c r="AO85" s="211"/>
      <c r="AP85" s="333" t="s">
        <v>636</v>
      </c>
    </row>
    <row r="86">
      <c r="A86" s="118" t="s">
        <v>761</v>
      </c>
      <c r="B86" s="119" t="s">
        <v>637</v>
      </c>
      <c r="C86" s="6" t="s">
        <v>854</v>
      </c>
      <c r="D86" s="6" t="s">
        <v>71</v>
      </c>
      <c r="E86" s="121"/>
      <c r="F86" s="122"/>
      <c r="G86" s="122"/>
      <c r="H86" s="122"/>
      <c r="I86" s="123"/>
      <c r="J86" s="124"/>
      <c r="K86" s="125"/>
      <c r="L86" s="129">
        <f t="shared" si="28"/>
        <v>0.6290746842</v>
      </c>
      <c r="M86" s="132">
        <f t="shared" ref="M86:S86" si="31">SUM(M87:M88)</f>
        <v>152696876.4</v>
      </c>
      <c r="N86" s="133">
        <f t="shared" si="31"/>
        <v>76453566.36</v>
      </c>
      <c r="O86" s="133">
        <f t="shared" si="31"/>
        <v>152696876.4</v>
      </c>
      <c r="P86" s="133">
        <f t="shared" si="31"/>
        <v>0</v>
      </c>
      <c r="Q86" s="134">
        <f t="shared" si="31"/>
        <v>0</v>
      </c>
      <c r="R86" s="135">
        <f t="shared" si="31"/>
        <v>0</v>
      </c>
      <c r="S86" s="133">
        <f t="shared" si="31"/>
        <v>0</v>
      </c>
      <c r="T86" s="132">
        <f t="shared" si="27"/>
        <v>96057739.27</v>
      </c>
      <c r="U86" s="133">
        <f t="shared" ref="U86:AB86" si="32">SUM(U87:U88)</f>
        <v>43725623.5</v>
      </c>
      <c r="V86" s="109">
        <f t="shared" si="32"/>
        <v>9284438.09</v>
      </c>
      <c r="W86" s="109">
        <f t="shared" si="32"/>
        <v>9277532.52</v>
      </c>
      <c r="X86" s="109">
        <f t="shared" si="32"/>
        <v>9142915.91</v>
      </c>
      <c r="Y86" s="140">
        <f t="shared" si="32"/>
        <v>8280853.86</v>
      </c>
      <c r="Z86" s="140">
        <f t="shared" si="32"/>
        <v>4612630.7</v>
      </c>
      <c r="AA86" s="140">
        <f t="shared" si="32"/>
        <v>11733744.69</v>
      </c>
      <c r="AB86" s="133">
        <f t="shared" si="32"/>
        <v>0</v>
      </c>
      <c r="AC86" s="215"/>
      <c r="AD86" s="206" t="s">
        <v>639</v>
      </c>
      <c r="AE86" s="216"/>
      <c r="AF86" s="216"/>
      <c r="AG86" s="216"/>
      <c r="AH86" s="217"/>
      <c r="AI86" s="206"/>
      <c r="AJ86" s="206"/>
      <c r="AK86" s="206"/>
      <c r="AL86" s="206"/>
      <c r="AM86" s="206"/>
      <c r="AN86" s="206"/>
      <c r="AO86" s="206"/>
      <c r="AP86" s="146"/>
    </row>
    <row r="87" ht="18.75" customHeight="1">
      <c r="A87" s="118" t="s">
        <v>761</v>
      </c>
      <c r="B87" s="201" t="s">
        <v>640</v>
      </c>
      <c r="C87" s="151" t="s">
        <v>641</v>
      </c>
      <c r="D87" s="154"/>
      <c r="E87" s="158" t="s">
        <v>291</v>
      </c>
      <c r="F87" s="159" t="s">
        <v>855</v>
      </c>
      <c r="G87" s="159" t="s">
        <v>643</v>
      </c>
      <c r="H87" s="272" t="s">
        <v>641</v>
      </c>
      <c r="I87" s="161" t="s">
        <v>322</v>
      </c>
      <c r="J87" s="163">
        <v>45748.0</v>
      </c>
      <c r="K87" s="162">
        <v>46387.0</v>
      </c>
      <c r="L87" s="166">
        <f t="shared" si="28"/>
        <v>0.8029697544</v>
      </c>
      <c r="M87" s="168">
        <f t="shared" ref="M87:M88" si="33">MAX(N87:R87)</f>
        <v>52237762.06</v>
      </c>
      <c r="N87" s="169">
        <v>5.104699906E7</v>
      </c>
      <c r="O87" s="169">
        <v>5.223776206E7</v>
      </c>
      <c r="P87" s="169"/>
      <c r="Q87" s="171"/>
      <c r="R87" s="172"/>
      <c r="S87" s="169"/>
      <c r="T87" s="168">
        <f t="shared" si="27"/>
        <v>41945342.97</v>
      </c>
      <c r="U87" s="175">
        <v>2.878405443E7</v>
      </c>
      <c r="V87" s="175">
        <v>2193548.09</v>
      </c>
      <c r="W87" s="175">
        <v>2193548.09</v>
      </c>
      <c r="X87" s="175">
        <v>2193548.09</v>
      </c>
      <c r="Y87" s="175">
        <f>SUMIF('07.26'!$J$4:$J$1000,$F87,'07.26'!$M$4:$M$1000)</f>
        <v>2193548.09</v>
      </c>
      <c r="Z87" s="175">
        <f>SUMIF('08.26'!$J$4:$J$1000,$F87,'08.26'!$M$4:$M$1000)</f>
        <v>2193548.09</v>
      </c>
      <c r="AA87" s="175">
        <f>SUMIF('09.26'!$J$4:$J$1429,$F87,'09.26'!$M$4:$M$1429)</f>
        <v>2193548.09</v>
      </c>
      <c r="AB87" s="175"/>
      <c r="AC87" s="181"/>
      <c r="AD87" s="211"/>
      <c r="AE87" s="269"/>
      <c r="AF87" s="269"/>
      <c r="AG87" s="269"/>
      <c r="AH87" s="270"/>
      <c r="AI87" s="211"/>
      <c r="AJ87" s="211"/>
      <c r="AK87" s="211"/>
      <c r="AL87" s="211"/>
      <c r="AM87" s="211"/>
      <c r="AN87" s="211"/>
      <c r="AO87" s="211"/>
      <c r="AP87" s="212" t="s">
        <v>519</v>
      </c>
    </row>
    <row r="88" ht="18.75" customHeight="1">
      <c r="A88" s="118" t="s">
        <v>761</v>
      </c>
      <c r="B88" s="201" t="s">
        <v>649</v>
      </c>
      <c r="C88" s="187"/>
      <c r="D88" s="107"/>
      <c r="E88" s="158" t="s">
        <v>291</v>
      </c>
      <c r="F88" s="159" t="s">
        <v>862</v>
      </c>
      <c r="G88" s="159" t="s">
        <v>643</v>
      </c>
      <c r="H88" s="26"/>
      <c r="I88" s="161" t="s">
        <v>296</v>
      </c>
      <c r="J88" s="163">
        <v>45777.0</v>
      </c>
      <c r="K88" s="203" t="s">
        <v>813</v>
      </c>
      <c r="L88" s="166">
        <f t="shared" si="28"/>
        <v>0.5386509395</v>
      </c>
      <c r="M88" s="168">
        <f t="shared" si="33"/>
        <v>100459114.3</v>
      </c>
      <c r="N88" s="169">
        <v>2.54065673E7</v>
      </c>
      <c r="O88" s="169">
        <v>1.004591143E8</v>
      </c>
      <c r="P88" s="169"/>
      <c r="Q88" s="171"/>
      <c r="R88" s="172"/>
      <c r="S88" s="169"/>
      <c r="T88" s="168">
        <f t="shared" si="27"/>
        <v>54112396.3</v>
      </c>
      <c r="U88" s="175">
        <v>1.494156907E7</v>
      </c>
      <c r="V88" s="175">
        <v>7090890.0</v>
      </c>
      <c r="W88" s="175">
        <v>7083984.43</v>
      </c>
      <c r="X88" s="175">
        <v>6949367.82</v>
      </c>
      <c r="Y88" s="175">
        <f>SUMIF('07.26'!$J$4:$J$1000,$F88,'07.26'!$M$4:$M$1000)</f>
        <v>6087305.77</v>
      </c>
      <c r="Z88" s="175">
        <f>SUMIF('08.26'!$J$4:$J$1000,$F88,'08.26'!$M$4:$M$1000)</f>
        <v>2419082.61</v>
      </c>
      <c r="AA88" s="175">
        <v>9540196.6</v>
      </c>
      <c r="AB88" s="175"/>
      <c r="AC88" s="181"/>
      <c r="AD88" s="211"/>
      <c r="AE88" s="269"/>
      <c r="AF88" s="269"/>
      <c r="AG88" s="269"/>
      <c r="AH88" s="270"/>
      <c r="AI88" s="211"/>
      <c r="AJ88" s="211"/>
      <c r="AK88" s="211"/>
      <c r="AL88" s="211"/>
      <c r="AM88" s="211"/>
      <c r="AN88" s="211"/>
      <c r="AO88" s="211"/>
      <c r="AP88" s="212" t="s">
        <v>519</v>
      </c>
    </row>
    <row r="89" ht="18.75" customHeight="1">
      <c r="A89" s="118" t="s">
        <v>761</v>
      </c>
      <c r="B89" s="119" t="s">
        <v>653</v>
      </c>
      <c r="C89" s="6" t="s">
        <v>779</v>
      </c>
      <c r="D89" s="6" t="s">
        <v>71</v>
      </c>
      <c r="E89" s="121"/>
      <c r="F89" s="122"/>
      <c r="G89" s="122"/>
      <c r="H89" s="122"/>
      <c r="I89" s="123"/>
      <c r="J89" s="124"/>
      <c r="K89" s="125"/>
      <c r="L89" s="129">
        <f t="shared" si="28"/>
        <v>0.6996744855</v>
      </c>
      <c r="M89" s="132">
        <f t="shared" ref="M89:AB89" si="34">SUM(M90:M94)</f>
        <v>81498644.66</v>
      </c>
      <c r="N89" s="132">
        <f t="shared" si="34"/>
        <v>69723397.83</v>
      </c>
      <c r="O89" s="132">
        <f t="shared" si="34"/>
        <v>80224644.66</v>
      </c>
      <c r="P89" s="132">
        <f t="shared" si="34"/>
        <v>0</v>
      </c>
      <c r="Q89" s="132">
        <f t="shared" si="34"/>
        <v>0</v>
      </c>
      <c r="R89" s="132">
        <f t="shared" si="34"/>
        <v>0</v>
      </c>
      <c r="S89" s="132">
        <f t="shared" si="34"/>
        <v>0</v>
      </c>
      <c r="T89" s="132">
        <f t="shared" si="34"/>
        <v>57022522.27</v>
      </c>
      <c r="U89" s="133">
        <f t="shared" si="34"/>
        <v>19629674.63</v>
      </c>
      <c r="V89" s="109">
        <f t="shared" si="34"/>
        <v>8919260.66</v>
      </c>
      <c r="W89" s="109">
        <f t="shared" si="34"/>
        <v>7401682.48</v>
      </c>
      <c r="X89" s="109">
        <f t="shared" si="34"/>
        <v>3189569.35</v>
      </c>
      <c r="Y89" s="140">
        <f t="shared" si="34"/>
        <v>9262830.6</v>
      </c>
      <c r="Z89" s="140">
        <f t="shared" si="34"/>
        <v>5818881.43</v>
      </c>
      <c r="AA89" s="140">
        <f t="shared" si="34"/>
        <v>2800623.12</v>
      </c>
      <c r="AB89" s="133">
        <f t="shared" si="34"/>
        <v>0</v>
      </c>
      <c r="AC89" s="215"/>
      <c r="AD89" s="206" t="s">
        <v>665</v>
      </c>
      <c r="AE89" s="216"/>
      <c r="AF89" s="216"/>
      <c r="AG89" s="216"/>
      <c r="AH89" s="217"/>
      <c r="AI89" s="206"/>
      <c r="AJ89" s="206"/>
      <c r="AK89" s="206"/>
      <c r="AL89" s="206"/>
      <c r="AM89" s="206"/>
      <c r="AN89" s="206"/>
      <c r="AO89" s="206"/>
      <c r="AP89" s="146"/>
    </row>
    <row r="90" ht="18.75" customHeight="1">
      <c r="A90" s="118" t="s">
        <v>761</v>
      </c>
      <c r="B90" s="201" t="s">
        <v>666</v>
      </c>
      <c r="C90" s="151" t="s">
        <v>675</v>
      </c>
      <c r="D90" s="154"/>
      <c r="E90" s="158" t="s">
        <v>291</v>
      </c>
      <c r="F90" s="159" t="s">
        <v>676</v>
      </c>
      <c r="G90" s="159" t="s">
        <v>677</v>
      </c>
      <c r="H90" s="272" t="s">
        <v>675</v>
      </c>
      <c r="I90" s="161" t="s">
        <v>322</v>
      </c>
      <c r="J90" s="163">
        <v>46054.0</v>
      </c>
      <c r="K90" s="163">
        <v>46417.0</v>
      </c>
      <c r="L90" s="166">
        <f t="shared" si="28"/>
        <v>0.5363149286</v>
      </c>
      <c r="M90" s="168">
        <f t="shared" ref="M90:M94" si="35">MAX(N90:R90)</f>
        <v>20354695.79</v>
      </c>
      <c r="N90" s="169">
        <v>1.96961776E7</v>
      </c>
      <c r="O90" s="169">
        <v>2.035469579E7</v>
      </c>
      <c r="P90" s="169"/>
      <c r="Q90" s="171"/>
      <c r="R90" s="172"/>
      <c r="S90" s="169"/>
      <c r="T90" s="168">
        <f t="shared" ref="T90:T116" si="36">SUM(U90:AA90)</f>
        <v>10916527.22</v>
      </c>
      <c r="U90" s="175">
        <v>3353208.92</v>
      </c>
      <c r="V90" s="268">
        <v>1148970.8</v>
      </c>
      <c r="W90" s="175">
        <v>1148970.8</v>
      </c>
      <c r="X90" s="175">
        <v>1148970.8</v>
      </c>
      <c r="Y90" s="175">
        <f>SUMIF('07.26'!$J$4:$J$1000,$F90,'07.26'!$M$4:$M$1000)</f>
        <v>1818464.3</v>
      </c>
      <c r="Z90" s="175">
        <f>SUMIF('08.26'!$J$4:$J$1000,$F90,'08.26'!$M$4:$M$1000)</f>
        <v>1148970.8</v>
      </c>
      <c r="AA90" s="175">
        <f>SUMIF('09.26'!$J$4:$J$1429,$F90,'09.26'!$M$4:$M$1429)</f>
        <v>1148970.8</v>
      </c>
      <c r="AB90" s="175"/>
      <c r="AC90" s="181"/>
      <c r="AD90" s="211"/>
      <c r="AE90" s="269"/>
      <c r="AF90" s="269"/>
      <c r="AG90" s="269"/>
      <c r="AH90" s="270"/>
      <c r="AI90" s="211"/>
      <c r="AJ90" s="211"/>
      <c r="AK90" s="211"/>
      <c r="AL90" s="211"/>
      <c r="AM90" s="211"/>
      <c r="AN90" s="211"/>
      <c r="AO90" s="211"/>
      <c r="AP90" s="212" t="s">
        <v>519</v>
      </c>
    </row>
    <row r="91" ht="18.75" customHeight="1">
      <c r="A91" s="118" t="s">
        <v>761</v>
      </c>
      <c r="B91" s="201" t="s">
        <v>674</v>
      </c>
      <c r="C91" s="198"/>
      <c r="D91" s="199"/>
      <c r="E91" s="158" t="s">
        <v>291</v>
      </c>
      <c r="F91" s="159" t="s">
        <v>681</v>
      </c>
      <c r="G91" s="159" t="s">
        <v>682</v>
      </c>
      <c r="H91" s="26"/>
      <c r="I91" s="161" t="s">
        <v>296</v>
      </c>
      <c r="J91" s="163">
        <v>46054.0</v>
      </c>
      <c r="K91" s="163">
        <v>46417.0</v>
      </c>
      <c r="L91" s="166">
        <f t="shared" si="28"/>
        <v>0.7230081679</v>
      </c>
      <c r="M91" s="168">
        <f t="shared" si="35"/>
        <v>21758093.1</v>
      </c>
      <c r="N91" s="169">
        <v>1.689245701E7</v>
      </c>
      <c r="O91" s="169">
        <v>2.17580931E7</v>
      </c>
      <c r="P91" s="169"/>
      <c r="Q91" s="171"/>
      <c r="R91" s="172"/>
      <c r="S91" s="169"/>
      <c r="T91" s="168">
        <f t="shared" si="36"/>
        <v>15731279.03</v>
      </c>
      <c r="U91" s="175">
        <v>4744134.83</v>
      </c>
      <c r="V91" s="268">
        <v>1726077.53</v>
      </c>
      <c r="W91" s="175">
        <v>4235175.68</v>
      </c>
      <c r="X91" s="175">
        <v>363891.0</v>
      </c>
      <c r="Y91" s="175">
        <f>SUMIF('07.26'!$J$4:$J$1000,$F91,'07.26'!$M$4:$M$1000)</f>
        <v>1815120.64</v>
      </c>
      <c r="Z91" s="175">
        <f>SUMIF('08.26'!$J$4:$J$1000,$F91,'08.26'!$M$4:$M$1000)</f>
        <v>2215418.08</v>
      </c>
      <c r="AA91" s="175">
        <f>SUMIF('09.26'!$J$4:$J$1429,$F91,'09.26'!$M$4:$M$1429)</f>
        <v>631461.27</v>
      </c>
      <c r="AB91" s="175"/>
      <c r="AC91" s="181"/>
      <c r="AD91" s="211"/>
      <c r="AE91" s="269"/>
      <c r="AF91" s="269"/>
      <c r="AG91" s="269"/>
      <c r="AH91" s="270"/>
      <c r="AI91" s="211"/>
      <c r="AJ91" s="211"/>
      <c r="AK91" s="211"/>
      <c r="AL91" s="211"/>
      <c r="AM91" s="211"/>
      <c r="AN91" s="211"/>
      <c r="AO91" s="211"/>
      <c r="AP91" s="212" t="s">
        <v>519</v>
      </c>
    </row>
    <row r="92" ht="18.75" customHeight="1">
      <c r="A92" s="118" t="s">
        <v>761</v>
      </c>
      <c r="B92" s="201" t="s">
        <v>680</v>
      </c>
      <c r="C92" s="187"/>
      <c r="D92" s="107"/>
      <c r="E92" s="158" t="s">
        <v>410</v>
      </c>
      <c r="F92" s="159" t="s">
        <v>964</v>
      </c>
      <c r="G92" s="159"/>
      <c r="I92" s="161" t="s">
        <v>296</v>
      </c>
      <c r="J92" s="163">
        <v>46181.0</v>
      </c>
      <c r="K92" s="163">
        <v>46234.0</v>
      </c>
      <c r="L92" s="166">
        <f t="shared" si="28"/>
        <v>1</v>
      </c>
      <c r="M92" s="168">
        <f t="shared" si="35"/>
        <v>1274000</v>
      </c>
      <c r="N92" s="169">
        <v>1274000.0</v>
      </c>
      <c r="O92" s="169"/>
      <c r="P92" s="169"/>
      <c r="Q92" s="171"/>
      <c r="R92" s="172"/>
      <c r="S92" s="169"/>
      <c r="T92" s="168">
        <f t="shared" si="36"/>
        <v>1274000</v>
      </c>
      <c r="U92" s="175"/>
      <c r="V92" s="268"/>
      <c r="W92" s="175"/>
      <c r="X92" s="175"/>
      <c r="Y92" s="175"/>
      <c r="Z92" s="175">
        <v>1274000.0</v>
      </c>
      <c r="AA92" s="175">
        <f>SUMIF('09.26'!$J$4:$J$1429,$F92,'09.26'!$M$4:$M$1429)</f>
        <v>0</v>
      </c>
      <c r="AB92" s="175"/>
      <c r="AC92" s="181"/>
      <c r="AD92" s="211"/>
      <c r="AE92" s="269"/>
      <c r="AF92" s="269"/>
      <c r="AG92" s="269"/>
      <c r="AH92" s="270"/>
      <c r="AI92" s="211"/>
      <c r="AJ92" s="211"/>
      <c r="AK92" s="211"/>
      <c r="AL92" s="211"/>
      <c r="AM92" s="211"/>
      <c r="AN92" s="211"/>
      <c r="AO92" s="211"/>
      <c r="AP92" s="212"/>
    </row>
    <row r="93" ht="18.75" customHeight="1">
      <c r="A93" s="118" t="s">
        <v>761</v>
      </c>
      <c r="B93" s="201" t="s">
        <v>684</v>
      </c>
      <c r="C93" s="151" t="s">
        <v>685</v>
      </c>
      <c r="D93" s="154"/>
      <c r="E93" s="158" t="s">
        <v>291</v>
      </c>
      <c r="F93" s="159" t="s">
        <v>686</v>
      </c>
      <c r="G93" s="159" t="s">
        <v>687</v>
      </c>
      <c r="H93" s="272" t="s">
        <v>685</v>
      </c>
      <c r="I93" s="161" t="s">
        <v>322</v>
      </c>
      <c r="J93" s="162">
        <v>46006.0</v>
      </c>
      <c r="K93" s="162">
        <v>46370.0</v>
      </c>
      <c r="L93" s="166">
        <f t="shared" si="28"/>
        <v>0.6285390382</v>
      </c>
      <c r="M93" s="168">
        <f t="shared" si="35"/>
        <v>16885714.8</v>
      </c>
      <c r="N93" s="169">
        <v>1.622719661E7</v>
      </c>
      <c r="O93" s="169">
        <v>1.68857148E7</v>
      </c>
      <c r="P93" s="169"/>
      <c r="Q93" s="171"/>
      <c r="R93" s="172"/>
      <c r="S93" s="169"/>
      <c r="T93" s="168">
        <f t="shared" si="36"/>
        <v>10613330.94</v>
      </c>
      <c r="U93" s="175">
        <v>3021183.64</v>
      </c>
      <c r="V93" s="268">
        <v>1180492.55</v>
      </c>
      <c r="W93" s="175">
        <v>1180492.55</v>
      </c>
      <c r="X93" s="175">
        <v>1180492.55</v>
      </c>
      <c r="Y93" s="175">
        <f>SUMIF('07.26'!$J$4:$J$1000,$F93,'07.26'!$M$4:$M$1000)</f>
        <v>1849986.05</v>
      </c>
      <c r="Z93" s="175">
        <f>SUMIF('08.26'!$J$4:$J$1000,$F93,'08.26'!$M$4:$M$1000)</f>
        <v>1180492.55</v>
      </c>
      <c r="AA93" s="175">
        <f>SUMIF('09.26'!$J$4:$J$1429,$F93,'09.26'!$M$4:$M$1429)</f>
        <v>1020191.05</v>
      </c>
      <c r="AB93" s="175"/>
      <c r="AC93" s="181"/>
      <c r="AD93" s="211"/>
      <c r="AE93" s="269"/>
      <c r="AF93" s="269"/>
      <c r="AG93" s="269"/>
      <c r="AH93" s="270"/>
      <c r="AI93" s="211"/>
      <c r="AJ93" s="211"/>
      <c r="AK93" s="211"/>
      <c r="AL93" s="211"/>
      <c r="AM93" s="211"/>
      <c r="AN93" s="211"/>
      <c r="AO93" s="211"/>
      <c r="AP93" s="212" t="s">
        <v>519</v>
      </c>
    </row>
    <row r="94" ht="18.75" customHeight="1">
      <c r="A94" s="118" t="s">
        <v>761</v>
      </c>
      <c r="B94" s="201" t="s">
        <v>691</v>
      </c>
      <c r="C94" s="187"/>
      <c r="D94" s="107"/>
      <c r="E94" s="158" t="s">
        <v>291</v>
      </c>
      <c r="F94" s="159" t="s">
        <v>692</v>
      </c>
      <c r="G94" s="159" t="s">
        <v>693</v>
      </c>
      <c r="H94" s="26"/>
      <c r="I94" s="161" t="s">
        <v>296</v>
      </c>
      <c r="J94" s="162">
        <v>45971.0</v>
      </c>
      <c r="K94" s="163">
        <v>46053.0</v>
      </c>
      <c r="L94" s="166">
        <f t="shared" si="28"/>
        <v>0.8709725007</v>
      </c>
      <c r="M94" s="168">
        <f t="shared" si="35"/>
        <v>21226140.97</v>
      </c>
      <c r="N94" s="169">
        <v>1.563356661E7</v>
      </c>
      <c r="O94" s="169">
        <v>2.122614097E7</v>
      </c>
      <c r="P94" s="169"/>
      <c r="Q94" s="171"/>
      <c r="R94" s="172"/>
      <c r="S94" s="169"/>
      <c r="T94" s="168">
        <f t="shared" si="36"/>
        <v>18487385.08</v>
      </c>
      <c r="U94" s="175">
        <v>8511147.24</v>
      </c>
      <c r="V94" s="268">
        <v>4863719.78</v>
      </c>
      <c r="W94" s="175">
        <v>837043.45</v>
      </c>
      <c r="X94" s="175">
        <v>496215.0</v>
      </c>
      <c r="Y94" s="175">
        <f>SUMIF('07.26'!$J$4:$J$1000,$F94,'07.26'!$M$4:$M$1000)</f>
        <v>3779259.61</v>
      </c>
      <c r="Z94" s="175">
        <f>SUMIF('08.26'!$J$4:$J$1000,$F94,'08.26'!$M$4:$M$1000)</f>
        <v>0</v>
      </c>
      <c r="AA94" s="175">
        <f>SUMIF('09.26'!$J$4:$J$1429,$F94,'09.26'!$M$4:$M$1429)</f>
        <v>0</v>
      </c>
      <c r="AB94" s="175"/>
      <c r="AC94" s="181"/>
      <c r="AD94" s="211"/>
      <c r="AE94" s="269"/>
      <c r="AF94" s="269"/>
      <c r="AG94" s="269"/>
      <c r="AH94" s="270"/>
      <c r="AI94" s="211"/>
      <c r="AJ94" s="211"/>
      <c r="AK94" s="211"/>
      <c r="AL94" s="211"/>
      <c r="AM94" s="211"/>
      <c r="AN94" s="211"/>
      <c r="AO94" s="211"/>
      <c r="AP94" s="212" t="s">
        <v>519</v>
      </c>
    </row>
    <row r="95" ht="18.75" customHeight="1">
      <c r="A95" s="118" t="s">
        <v>761</v>
      </c>
      <c r="B95" s="119" t="s">
        <v>755</v>
      </c>
      <c r="C95" s="6" t="s">
        <v>654</v>
      </c>
      <c r="D95" s="6" t="s">
        <v>71</v>
      </c>
      <c r="E95" s="121"/>
      <c r="F95" s="122"/>
      <c r="G95" s="122"/>
      <c r="H95" s="122"/>
      <c r="I95" s="123"/>
      <c r="J95" s="124"/>
      <c r="K95" s="125"/>
      <c r="L95" s="129">
        <f t="shared" si="28"/>
        <v>0.6751891014</v>
      </c>
      <c r="M95" s="132">
        <f t="shared" ref="M95:S95" si="37">SUM(M96:M107)</f>
        <v>225133858</v>
      </c>
      <c r="N95" s="133">
        <f t="shared" si="37"/>
        <v>222139415.5</v>
      </c>
      <c r="O95" s="133">
        <f t="shared" si="37"/>
        <v>45753114.63</v>
      </c>
      <c r="P95" s="133">
        <f t="shared" si="37"/>
        <v>0</v>
      </c>
      <c r="Q95" s="134">
        <f t="shared" si="37"/>
        <v>0</v>
      </c>
      <c r="R95" s="135">
        <f t="shared" si="37"/>
        <v>0</v>
      </c>
      <c r="S95" s="133">
        <f t="shared" si="37"/>
        <v>0</v>
      </c>
      <c r="T95" s="132">
        <f t="shared" si="36"/>
        <v>152007927.3</v>
      </c>
      <c r="U95" s="133">
        <f t="shared" ref="U95:AB95" si="38">SUM(U96:U107)</f>
        <v>113076060.2</v>
      </c>
      <c r="V95" s="109">
        <f t="shared" si="38"/>
        <v>4165980.17</v>
      </c>
      <c r="W95" s="109">
        <f t="shared" si="38"/>
        <v>12174177.49</v>
      </c>
      <c r="X95" s="109">
        <f t="shared" si="38"/>
        <v>2672543.98</v>
      </c>
      <c r="Y95" s="140">
        <f t="shared" si="38"/>
        <v>3339956.09</v>
      </c>
      <c r="Z95" s="140">
        <f t="shared" si="38"/>
        <v>6049722.57</v>
      </c>
      <c r="AA95" s="140">
        <f t="shared" si="38"/>
        <v>10529486.77</v>
      </c>
      <c r="AB95" s="133">
        <f t="shared" si="38"/>
        <v>0</v>
      </c>
      <c r="AC95" s="215"/>
      <c r="AD95" s="206" t="s">
        <v>665</v>
      </c>
      <c r="AE95" s="216"/>
      <c r="AF95" s="216"/>
      <c r="AG95" s="216"/>
      <c r="AH95" s="217"/>
      <c r="AI95" s="206"/>
      <c r="AJ95" s="206"/>
      <c r="AK95" s="206"/>
      <c r="AL95" s="206"/>
      <c r="AM95" s="206"/>
      <c r="AN95" s="206"/>
      <c r="AO95" s="206"/>
      <c r="AP95" s="146"/>
    </row>
    <row r="96" ht="18.75" customHeight="1">
      <c r="A96" s="118" t="s">
        <v>761</v>
      </c>
      <c r="B96" s="201" t="s">
        <v>765</v>
      </c>
      <c r="C96" s="202" t="s">
        <v>668</v>
      </c>
      <c r="D96" s="14"/>
      <c r="E96" s="158" t="s">
        <v>291</v>
      </c>
      <c r="F96" s="159" t="s">
        <v>669</v>
      </c>
      <c r="G96" s="159" t="s">
        <v>671</v>
      </c>
      <c r="H96" s="159" t="s">
        <v>672</v>
      </c>
      <c r="I96" s="161" t="s">
        <v>322</v>
      </c>
      <c r="J96" s="163">
        <v>46054.0</v>
      </c>
      <c r="K96" s="163">
        <v>46418.0</v>
      </c>
      <c r="L96" s="166">
        <f t="shared" si="28"/>
        <v>0.4304541677</v>
      </c>
      <c r="M96" s="168">
        <f t="shared" ref="M96:M107" si="39">MAX(N96:R96)</f>
        <v>8553825.88</v>
      </c>
      <c r="N96" s="169">
        <v>8553825.88</v>
      </c>
      <c r="O96" s="169"/>
      <c r="P96" s="169"/>
      <c r="Q96" s="171"/>
      <c r="R96" s="172"/>
      <c r="S96" s="169"/>
      <c r="T96" s="168">
        <f t="shared" si="36"/>
        <v>3682030</v>
      </c>
      <c r="U96" s="175">
        <v>796525.99</v>
      </c>
      <c r="V96" s="175">
        <v>606024.0</v>
      </c>
      <c r="W96" s="175">
        <v>455896.0</v>
      </c>
      <c r="X96" s="175">
        <v>455896.01</v>
      </c>
      <c r="Y96" s="175">
        <f>SUMIF('07.26'!$J$4:$J$1000,$F96,'07.26'!$M$4:$M$1000)</f>
        <v>455896</v>
      </c>
      <c r="Z96" s="175">
        <f>SUMIF('08.26'!$J$4:$J$1000,$F96,'08.26'!$M$4:$M$1000)</f>
        <v>455896</v>
      </c>
      <c r="AA96" s="175">
        <f>SUMIF('09.26'!$J$4:$J$1429,$F96,'09.26'!$M$4:$M$1429)</f>
        <v>455896</v>
      </c>
      <c r="AB96" s="175"/>
      <c r="AC96" s="181"/>
      <c r="AD96" s="211"/>
      <c r="AE96" s="269"/>
      <c r="AF96" s="269"/>
      <c r="AG96" s="269"/>
      <c r="AH96" s="270"/>
      <c r="AI96" s="211"/>
      <c r="AJ96" s="211"/>
      <c r="AK96" s="211"/>
      <c r="AL96" s="211"/>
      <c r="AM96" s="211"/>
      <c r="AN96" s="211"/>
      <c r="AO96" s="211"/>
      <c r="AP96" s="212" t="s">
        <v>519</v>
      </c>
    </row>
    <row r="97" ht="18.75" customHeight="1">
      <c r="A97" s="118" t="s">
        <v>761</v>
      </c>
      <c r="B97" s="201" t="s">
        <v>770</v>
      </c>
      <c r="C97" s="151" t="s">
        <v>698</v>
      </c>
      <c r="D97" s="154"/>
      <c r="E97" s="158" t="s">
        <v>291</v>
      </c>
      <c r="F97" s="159" t="s">
        <v>699</v>
      </c>
      <c r="G97" s="159" t="s">
        <v>700</v>
      </c>
      <c r="H97" s="272" t="s">
        <v>698</v>
      </c>
      <c r="I97" s="161" t="s">
        <v>322</v>
      </c>
      <c r="J97" s="163">
        <v>45658.0</v>
      </c>
      <c r="K97" s="162">
        <v>46387.0</v>
      </c>
      <c r="L97" s="166">
        <f t="shared" si="28"/>
        <v>0.8582564244</v>
      </c>
      <c r="M97" s="168">
        <f t="shared" si="39"/>
        <v>33212132.97</v>
      </c>
      <c r="N97" s="169">
        <v>3.321213297E7</v>
      </c>
      <c r="O97" s="169"/>
      <c r="P97" s="169"/>
      <c r="Q97" s="171"/>
      <c r="R97" s="172"/>
      <c r="S97" s="169"/>
      <c r="T97" s="168">
        <f t="shared" si="36"/>
        <v>28504526.49</v>
      </c>
      <c r="U97" s="175">
        <v>2.131263675E7</v>
      </c>
      <c r="V97" s="175">
        <v>1198648.29</v>
      </c>
      <c r="W97" s="175">
        <v>1198648.29</v>
      </c>
      <c r="X97" s="175">
        <v>1198648.29</v>
      </c>
      <c r="Y97" s="175">
        <f>SUMIF('07.26'!$J$4:$J$1000,$F97,'07.26'!$M$4:$M$1000)</f>
        <v>1198648.29</v>
      </c>
      <c r="Z97" s="175">
        <f>SUMIF('08.26'!$J$4:$J$1000,$F97,'08.26'!$M$4:$M$1000)</f>
        <v>1198648.29</v>
      </c>
      <c r="AA97" s="175">
        <f>SUMIF('09.26'!$J$4:$J$1429,$F97,'09.26'!$M$4:$M$1429)</f>
        <v>1198648.29</v>
      </c>
      <c r="AB97" s="175"/>
      <c r="AC97" s="181"/>
      <c r="AD97" s="211"/>
      <c r="AE97" s="269"/>
      <c r="AF97" s="269"/>
      <c r="AG97" s="269"/>
      <c r="AH97" s="270"/>
      <c r="AI97" s="211"/>
      <c r="AJ97" s="211"/>
      <c r="AK97" s="211"/>
      <c r="AL97" s="211"/>
      <c r="AM97" s="211"/>
      <c r="AN97" s="211"/>
      <c r="AO97" s="211"/>
      <c r="AP97" s="212" t="s">
        <v>519</v>
      </c>
    </row>
    <row r="98" ht="18.75" customHeight="1">
      <c r="A98" s="118" t="s">
        <v>761</v>
      </c>
      <c r="B98" s="201" t="s">
        <v>1116</v>
      </c>
      <c r="C98" s="198"/>
      <c r="D98" s="199"/>
      <c r="E98" s="158" t="s">
        <v>291</v>
      </c>
      <c r="F98" s="159" t="s">
        <v>706</v>
      </c>
      <c r="G98" s="159" t="s">
        <v>707</v>
      </c>
      <c r="H98" s="197"/>
      <c r="I98" s="161" t="s">
        <v>296</v>
      </c>
      <c r="J98" s="163">
        <v>45930.0</v>
      </c>
      <c r="K98" s="163">
        <v>46142.0</v>
      </c>
      <c r="L98" s="166">
        <f t="shared" si="28"/>
        <v>0.4203948191</v>
      </c>
      <c r="M98" s="168">
        <f t="shared" si="39"/>
        <v>9713854.94</v>
      </c>
      <c r="N98" s="169">
        <v>9713854.94</v>
      </c>
      <c r="O98" s="169"/>
      <c r="P98" s="169"/>
      <c r="Q98" s="171"/>
      <c r="R98" s="172"/>
      <c r="S98" s="169"/>
      <c r="T98" s="168">
        <f t="shared" si="36"/>
        <v>4083654.29</v>
      </c>
      <c r="U98" s="175">
        <v>4083654.29</v>
      </c>
      <c r="V98" s="175"/>
      <c r="W98" s="175"/>
      <c r="X98" s="175"/>
      <c r="Y98" s="175">
        <f>SUMIF('07.26'!$J$4:$J$1000,$F98,'07.26'!$M$4:$M$1000)</f>
        <v>0</v>
      </c>
      <c r="Z98" s="175">
        <f>SUMIF('08.26'!$J$4:$J$1000,$F98,'08.26'!$M$4:$M$1000)</f>
        <v>0</v>
      </c>
      <c r="AA98" s="175">
        <f>SUMIF('09.26'!$J$4:$J$1429,$F98,'09.26'!$M$4:$M$1429)</f>
        <v>0</v>
      </c>
      <c r="AB98" s="175"/>
      <c r="AC98" s="181"/>
      <c r="AD98" s="211"/>
      <c r="AE98" s="269"/>
      <c r="AF98" s="269"/>
      <c r="AG98" s="269"/>
      <c r="AH98" s="270"/>
      <c r="AI98" s="211"/>
      <c r="AJ98" s="211"/>
      <c r="AK98" s="211"/>
      <c r="AL98" s="211"/>
      <c r="AM98" s="211"/>
      <c r="AN98" s="211"/>
      <c r="AO98" s="211"/>
      <c r="AP98" s="212" t="s">
        <v>547</v>
      </c>
    </row>
    <row r="99" ht="18.75" customHeight="1">
      <c r="A99" s="118" t="s">
        <v>761</v>
      </c>
      <c r="B99" s="201" t="s">
        <v>1118</v>
      </c>
      <c r="C99" s="198"/>
      <c r="D99" s="199"/>
      <c r="E99" s="158" t="s">
        <v>291</v>
      </c>
      <c r="F99" s="159" t="s">
        <v>712</v>
      </c>
      <c r="G99" s="159" t="s">
        <v>700</v>
      </c>
      <c r="H99" s="26"/>
      <c r="I99" s="161" t="s">
        <v>296</v>
      </c>
      <c r="J99" s="163">
        <v>45852.0</v>
      </c>
      <c r="K99" s="163">
        <v>46053.0</v>
      </c>
      <c r="L99" s="166">
        <f t="shared" si="28"/>
        <v>0.8647588439</v>
      </c>
      <c r="M99" s="168">
        <f t="shared" si="39"/>
        <v>2778838.86</v>
      </c>
      <c r="N99" s="169">
        <v>2778838.86</v>
      </c>
      <c r="O99" s="169"/>
      <c r="P99" s="169"/>
      <c r="Q99" s="171"/>
      <c r="R99" s="172"/>
      <c r="S99" s="169"/>
      <c r="T99" s="168">
        <f t="shared" si="36"/>
        <v>2403025.48</v>
      </c>
      <c r="U99" s="175">
        <v>1899868.86</v>
      </c>
      <c r="V99" s="175"/>
      <c r="W99" s="175">
        <v>503156.62</v>
      </c>
      <c r="X99" s="175"/>
      <c r="Y99" s="175">
        <f>SUMIF('07.26'!$J$4:$J$1000,$F99,'07.26'!$M$4:$M$1000)</f>
        <v>0</v>
      </c>
      <c r="Z99" s="175">
        <f>SUMIF('08.26'!$J$4:$J$1000,$F99,'08.26'!$M$4:$M$1000)</f>
        <v>0</v>
      </c>
      <c r="AA99" s="175">
        <f>SUMIF('09.26'!$J$4:$J$1429,$F99,'09.26'!$M$4:$M$1429)</f>
        <v>0</v>
      </c>
      <c r="AB99" s="175"/>
      <c r="AC99" s="181"/>
      <c r="AD99" s="211"/>
      <c r="AE99" s="269"/>
      <c r="AF99" s="269"/>
      <c r="AG99" s="269"/>
      <c r="AH99" s="270"/>
      <c r="AI99" s="211"/>
      <c r="AJ99" s="211"/>
      <c r="AK99" s="211"/>
      <c r="AL99" s="211"/>
      <c r="AM99" s="211"/>
      <c r="AN99" s="211"/>
      <c r="AO99" s="211"/>
      <c r="AP99" s="212" t="s">
        <v>530</v>
      </c>
    </row>
    <row r="100" ht="18.75" customHeight="1">
      <c r="A100" s="118" t="s">
        <v>761</v>
      </c>
      <c r="B100" s="201" t="s">
        <v>1121</v>
      </c>
      <c r="C100" s="198"/>
      <c r="D100" s="199"/>
      <c r="E100" s="158" t="s">
        <v>291</v>
      </c>
      <c r="F100" s="159" t="s">
        <v>807</v>
      </c>
      <c r="G100" s="159" t="s">
        <v>698</v>
      </c>
      <c r="H100" s="159" t="s">
        <v>698</v>
      </c>
      <c r="I100" s="161" t="s">
        <v>296</v>
      </c>
      <c r="J100" s="163">
        <v>46181.0</v>
      </c>
      <c r="K100" s="163">
        <v>46265.0</v>
      </c>
      <c r="L100" s="166">
        <f t="shared" ref="L100:L101" si="40">T100/$M$100</f>
        <v>0.85665388</v>
      </c>
      <c r="M100" s="168">
        <f t="shared" si="39"/>
        <v>7814928.23</v>
      </c>
      <c r="N100" s="169">
        <v>6686105.09</v>
      </c>
      <c r="O100" s="169">
        <v>7814928.23</v>
      </c>
      <c r="P100" s="169"/>
      <c r="Q100" s="171"/>
      <c r="R100" s="172"/>
      <c r="S100" s="169"/>
      <c r="T100" s="168">
        <f t="shared" si="36"/>
        <v>6694688.59</v>
      </c>
      <c r="U100" s="175"/>
      <c r="V100" s="175"/>
      <c r="W100" s="175">
        <v>5456125.17</v>
      </c>
      <c r="X100" s="175"/>
      <c r="Y100" s="175">
        <f>SUMIF('07.26'!$J$4:$J$1000,$F100,'07.26'!$M$4:$M$1000)</f>
        <v>1238563.42</v>
      </c>
      <c r="Z100" s="175">
        <f>SUMIF('08.26'!$J$4:$J$1000,$F100,'08.26'!$M$4:$M$1000)</f>
        <v>0</v>
      </c>
      <c r="AA100" s="175">
        <f>SUMIF('09.26'!$J$4:$J$1429,$F100,'09.26'!$M$4:$M$1429)</f>
        <v>0</v>
      </c>
      <c r="AB100" s="175"/>
      <c r="AC100" s="181"/>
      <c r="AD100" s="211"/>
      <c r="AE100" s="269"/>
      <c r="AF100" s="269"/>
      <c r="AG100" s="269"/>
      <c r="AH100" s="270"/>
      <c r="AI100" s="211"/>
      <c r="AJ100" s="211"/>
      <c r="AK100" s="211"/>
      <c r="AL100" s="211"/>
      <c r="AM100" s="211"/>
      <c r="AN100" s="211"/>
      <c r="AO100" s="211"/>
      <c r="AP100" s="212"/>
    </row>
    <row r="101" ht="18.75" customHeight="1">
      <c r="A101" s="118" t="s">
        <v>761</v>
      </c>
      <c r="B101" s="201" t="s">
        <v>1123</v>
      </c>
      <c r="C101" s="187"/>
      <c r="D101" s="107"/>
      <c r="E101" s="158" t="s">
        <v>410</v>
      </c>
      <c r="F101" s="159" t="s">
        <v>983</v>
      </c>
      <c r="G101" s="159"/>
      <c r="H101" s="159"/>
      <c r="I101" s="161" t="s">
        <v>296</v>
      </c>
      <c r="J101" s="163">
        <v>46238.0</v>
      </c>
      <c r="K101" s="162">
        <v>46326.0</v>
      </c>
      <c r="L101" s="166">
        <f t="shared" si="40"/>
        <v>0.4566306427</v>
      </c>
      <c r="M101" s="168">
        <f t="shared" si="39"/>
        <v>3568535.7</v>
      </c>
      <c r="N101" s="169">
        <v>3568535.7</v>
      </c>
      <c r="O101" s="169"/>
      <c r="P101" s="169"/>
      <c r="Q101" s="171"/>
      <c r="R101" s="172"/>
      <c r="S101" s="169"/>
      <c r="T101" s="168">
        <f t="shared" si="36"/>
        <v>3568535.7</v>
      </c>
      <c r="U101" s="175"/>
      <c r="V101" s="175"/>
      <c r="W101" s="175"/>
      <c r="X101" s="175"/>
      <c r="Y101" s="175"/>
      <c r="Z101" s="175">
        <v>3568535.7</v>
      </c>
      <c r="AA101" s="175">
        <f>SUMIF('09.26'!$J$4:$J$1429,$F101,'09.26'!$M$4:$M$1429)</f>
        <v>0</v>
      </c>
      <c r="AB101" s="175"/>
      <c r="AC101" s="181"/>
      <c r="AD101" s="211"/>
      <c r="AE101" s="269"/>
      <c r="AF101" s="269"/>
      <c r="AG101" s="269"/>
      <c r="AH101" s="270"/>
      <c r="AI101" s="211"/>
      <c r="AJ101" s="211"/>
      <c r="AK101" s="211"/>
      <c r="AL101" s="211"/>
      <c r="AM101" s="211"/>
      <c r="AN101" s="211"/>
      <c r="AO101" s="211"/>
      <c r="AP101" s="212"/>
    </row>
    <row r="102" ht="56.25" customHeight="1">
      <c r="A102" s="118" t="s">
        <v>761</v>
      </c>
      <c r="B102" s="201" t="s">
        <v>1125</v>
      </c>
      <c r="C102" s="202" t="s">
        <v>1127</v>
      </c>
      <c r="D102" s="14"/>
      <c r="E102" s="158" t="s">
        <v>291</v>
      </c>
      <c r="F102" s="159" t="s">
        <v>1129</v>
      </c>
      <c r="G102" s="159"/>
      <c r="H102" s="159"/>
      <c r="I102" s="161" t="s">
        <v>296</v>
      </c>
      <c r="J102" s="163">
        <v>46181.0</v>
      </c>
      <c r="K102" s="163">
        <v>46265.0</v>
      </c>
      <c r="L102" s="166">
        <f t="shared" ref="L102:L151" si="41">T102/M102</f>
        <v>0.5587425029</v>
      </c>
      <c r="M102" s="168">
        <f t="shared" si="39"/>
        <v>11780590.05</v>
      </c>
      <c r="N102" s="169">
        <v>1.178059005E7</v>
      </c>
      <c r="O102" s="169"/>
      <c r="P102" s="169"/>
      <c r="Q102" s="171"/>
      <c r="R102" s="172"/>
      <c r="S102" s="169"/>
      <c r="T102" s="168">
        <f t="shared" si="36"/>
        <v>6582316.37</v>
      </c>
      <c r="U102" s="175"/>
      <c r="V102" s="175"/>
      <c r="W102" s="175"/>
      <c r="X102" s="175"/>
      <c r="Y102" s="175"/>
      <c r="Z102" s="175"/>
      <c r="AA102" s="175">
        <f>SUMIF('09.26'!$J$4:$J$1429,$F102,'09.26'!$M$4:$M$1429)</f>
        <v>6582316.37</v>
      </c>
      <c r="AB102" s="175"/>
      <c r="AC102" s="181"/>
      <c r="AD102" s="211"/>
      <c r="AE102" s="269"/>
      <c r="AF102" s="269"/>
      <c r="AG102" s="269"/>
      <c r="AH102" s="270"/>
      <c r="AI102" s="211"/>
      <c r="AJ102" s="211"/>
      <c r="AK102" s="211"/>
      <c r="AL102" s="211"/>
      <c r="AM102" s="211"/>
      <c r="AN102" s="211"/>
      <c r="AO102" s="211"/>
      <c r="AP102" s="212"/>
    </row>
    <row r="103" ht="18.75" customHeight="1">
      <c r="A103" s="118" t="s">
        <v>761</v>
      </c>
      <c r="B103" s="201" t="s">
        <v>1133</v>
      </c>
      <c r="C103" s="202" t="s">
        <v>715</v>
      </c>
      <c r="D103" s="14"/>
      <c r="E103" s="158" t="s">
        <v>291</v>
      </c>
      <c r="F103" s="159" t="s">
        <v>716</v>
      </c>
      <c r="G103" s="159" t="s">
        <v>717</v>
      </c>
      <c r="H103" s="159" t="s">
        <v>718</v>
      </c>
      <c r="I103" s="161" t="s">
        <v>296</v>
      </c>
      <c r="J103" s="162">
        <v>45285.0</v>
      </c>
      <c r="K103" s="203" t="s">
        <v>813</v>
      </c>
      <c r="L103" s="166">
        <f t="shared" si="41"/>
        <v>0.7857185602</v>
      </c>
      <c r="M103" s="168">
        <f t="shared" si="39"/>
        <v>18701081.08</v>
      </c>
      <c r="N103" s="169">
        <v>1.870108108E7</v>
      </c>
      <c r="O103" s="169"/>
      <c r="P103" s="169"/>
      <c r="Q103" s="171"/>
      <c r="R103" s="172"/>
      <c r="S103" s="169"/>
      <c r="T103" s="168">
        <f t="shared" si="36"/>
        <v>14693786.5</v>
      </c>
      <c r="U103" s="175">
        <v>1.360502844E7</v>
      </c>
      <c r="V103" s="175"/>
      <c r="W103" s="175"/>
      <c r="X103" s="175">
        <v>902279.68</v>
      </c>
      <c r="Y103" s="175">
        <v>186478.38</v>
      </c>
      <c r="Z103" s="175">
        <f>SUMIF('08.26'!$J$4:$J$1000,$F103,'08.26'!$M$4:$M$1000)</f>
        <v>0</v>
      </c>
      <c r="AA103" s="175">
        <f>SUMIF('09.26'!$J$4:$J$1429,$F103,'09.26'!$M$4:$M$1429)</f>
        <v>0</v>
      </c>
      <c r="AB103" s="175"/>
      <c r="AC103" s="181"/>
      <c r="AD103" s="211"/>
      <c r="AE103" s="269"/>
      <c r="AF103" s="269"/>
      <c r="AG103" s="269"/>
      <c r="AH103" s="270"/>
      <c r="AI103" s="211"/>
      <c r="AJ103" s="211"/>
      <c r="AK103" s="211"/>
      <c r="AL103" s="211"/>
      <c r="AM103" s="211"/>
      <c r="AN103" s="211"/>
      <c r="AO103" s="211"/>
      <c r="AP103" s="212" t="s">
        <v>530</v>
      </c>
    </row>
    <row r="104" ht="43.5" customHeight="1">
      <c r="A104" s="118" t="s">
        <v>761</v>
      </c>
      <c r="B104" s="201" t="s">
        <v>1135</v>
      </c>
      <c r="C104" s="439" t="s">
        <v>724</v>
      </c>
      <c r="D104" s="14"/>
      <c r="E104" s="158" t="s">
        <v>291</v>
      </c>
      <c r="F104" s="159" t="s">
        <v>726</v>
      </c>
      <c r="G104" s="159" t="s">
        <v>728</v>
      </c>
      <c r="H104" s="159" t="s">
        <v>730</v>
      </c>
      <c r="I104" s="161" t="s">
        <v>296</v>
      </c>
      <c r="J104" s="162">
        <v>45285.0</v>
      </c>
      <c r="K104" s="203" t="s">
        <v>813</v>
      </c>
      <c r="L104" s="166">
        <f t="shared" si="41"/>
        <v>0.9767216679</v>
      </c>
      <c r="M104" s="168">
        <f t="shared" si="39"/>
        <v>18103248.06</v>
      </c>
      <c r="N104" s="169">
        <v>1.810324806E7</v>
      </c>
      <c r="O104" s="169"/>
      <c r="P104" s="169"/>
      <c r="Q104" s="171"/>
      <c r="R104" s="172"/>
      <c r="S104" s="169"/>
      <c r="T104" s="168">
        <f t="shared" si="36"/>
        <v>17681834.64</v>
      </c>
      <c r="U104" s="175">
        <v>1.311848399E7</v>
      </c>
      <c r="V104" s="175">
        <v>401034.96</v>
      </c>
      <c r="W104" s="175">
        <v>4162315.69</v>
      </c>
      <c r="X104" s="175"/>
      <c r="Y104" s="175">
        <f>SUMIF('07.26'!$J$4:$J$1000,$F104,'07.26'!$M$4:$M$1000)</f>
        <v>0</v>
      </c>
      <c r="Z104" s="175">
        <f>SUMIF('08.26'!$J$4:$J$1000,$F104,'08.26'!$M$4:$M$1000)</f>
        <v>0</v>
      </c>
      <c r="AA104" s="175">
        <f>SUMIF('09.26'!$J$4:$J$1429,$F104,'09.26'!$M$4:$M$1429)</f>
        <v>0</v>
      </c>
      <c r="AB104" s="175"/>
      <c r="AC104" s="181"/>
      <c r="AD104" s="211"/>
      <c r="AE104" s="269"/>
      <c r="AF104" s="269"/>
      <c r="AG104" s="269"/>
      <c r="AH104" s="270"/>
      <c r="AI104" s="211"/>
      <c r="AJ104" s="211"/>
      <c r="AK104" s="211"/>
      <c r="AL104" s="211"/>
      <c r="AM104" s="211"/>
      <c r="AN104" s="211"/>
      <c r="AO104" s="211"/>
      <c r="AP104" s="212" t="s">
        <v>530</v>
      </c>
    </row>
    <row r="105" ht="54.75" customHeight="1">
      <c r="A105" s="118" t="s">
        <v>761</v>
      </c>
      <c r="B105" s="201" t="s">
        <v>1138</v>
      </c>
      <c r="C105" s="202" t="s">
        <v>733</v>
      </c>
      <c r="D105" s="14"/>
      <c r="E105" s="158" t="s">
        <v>291</v>
      </c>
      <c r="F105" s="159" t="s">
        <v>734</v>
      </c>
      <c r="G105" s="159" t="s">
        <v>735</v>
      </c>
      <c r="H105" s="159" t="s">
        <v>736</v>
      </c>
      <c r="I105" s="161" t="s">
        <v>296</v>
      </c>
      <c r="J105" s="162">
        <v>45285.0</v>
      </c>
      <c r="K105" s="203" t="s">
        <v>813</v>
      </c>
      <c r="L105" s="166">
        <f t="shared" si="41"/>
        <v>0.4506464949</v>
      </c>
      <c r="M105" s="168">
        <f t="shared" si="39"/>
        <v>36165871.95</v>
      </c>
      <c r="N105" s="169">
        <v>3.616587195E7</v>
      </c>
      <c r="O105" s="169"/>
      <c r="P105" s="169"/>
      <c r="Q105" s="171"/>
      <c r="R105" s="172"/>
      <c r="S105" s="169"/>
      <c r="T105" s="168">
        <f t="shared" si="36"/>
        <v>16298023.43</v>
      </c>
      <c r="U105" s="175">
        <v>1.502610438E7</v>
      </c>
      <c r="V105" s="175">
        <v>268549.17</v>
      </c>
      <c r="W105" s="175"/>
      <c r="X105" s="175"/>
      <c r="Y105" s="175">
        <f>SUMIF('07.26'!$J$4:$J$1000,$F105,'07.26'!$M$4:$M$1000)</f>
        <v>0</v>
      </c>
      <c r="Z105" s="175">
        <f>SUMIF('08.26'!$J$4:$J$1000,$F105,'08.26'!$M$4:$M$1000)</f>
        <v>826642.58</v>
      </c>
      <c r="AA105" s="175">
        <f>SUMIF('09.26'!$J$4:$J$1429,$F105,'09.26'!$M$4:$M$1429)</f>
        <v>176727.3</v>
      </c>
      <c r="AB105" s="175"/>
      <c r="AC105" s="181"/>
      <c r="AD105" s="211"/>
      <c r="AE105" s="269"/>
      <c r="AF105" s="269"/>
      <c r="AG105" s="269"/>
      <c r="AH105" s="270"/>
      <c r="AI105" s="211"/>
      <c r="AJ105" s="211"/>
      <c r="AK105" s="211"/>
      <c r="AL105" s="211"/>
      <c r="AM105" s="211"/>
      <c r="AN105" s="211"/>
      <c r="AO105" s="211"/>
      <c r="AP105" s="212" t="s">
        <v>530</v>
      </c>
    </row>
    <row r="106" ht="67.5" customHeight="1">
      <c r="A106" s="118" t="s">
        <v>761</v>
      </c>
      <c r="B106" s="201" t="s">
        <v>1140</v>
      </c>
      <c r="C106" s="202" t="s">
        <v>738</v>
      </c>
      <c r="D106" s="14"/>
      <c r="E106" s="158" t="s">
        <v>291</v>
      </c>
      <c r="F106" s="159" t="s">
        <v>741</v>
      </c>
      <c r="G106" s="159" t="s">
        <v>742</v>
      </c>
      <c r="H106" s="159" t="s">
        <v>743</v>
      </c>
      <c r="I106" s="161" t="s">
        <v>296</v>
      </c>
      <c r="J106" s="162">
        <v>45285.0</v>
      </c>
      <c r="K106" s="203" t="s">
        <v>813</v>
      </c>
      <c r="L106" s="166">
        <f t="shared" si="41"/>
        <v>0.420458532</v>
      </c>
      <c r="M106" s="168">
        <f t="shared" si="39"/>
        <v>37938186.4</v>
      </c>
      <c r="N106" s="169">
        <v>3.607256705E7</v>
      </c>
      <c r="O106" s="169">
        <v>3.79381864E7</v>
      </c>
      <c r="P106" s="169"/>
      <c r="Q106" s="171"/>
      <c r="R106" s="172"/>
      <c r="S106" s="169"/>
      <c r="T106" s="168">
        <f t="shared" si="36"/>
        <v>15951434.16</v>
      </c>
      <c r="U106" s="175">
        <v>1.383803441E7</v>
      </c>
      <c r="V106" s="175"/>
      <c r="W106" s="175">
        <v>216686.75</v>
      </c>
      <c r="X106" s="175"/>
      <c r="Y106" s="175">
        <f>SUMIF('07.26'!$J$4:$J$1000,$F106,'07.26'!$M$4:$M$1000)</f>
        <v>0</v>
      </c>
      <c r="Z106" s="175">
        <f>SUMIF('08.26'!$J$4:$J$1000,$F106,'08.26'!$M$4:$M$1000)</f>
        <v>0</v>
      </c>
      <c r="AA106" s="175">
        <f>SUMIF('09.26'!$J$4:$J$1429,$F106,'09.26'!$M$4:$M$1429)</f>
        <v>1896713</v>
      </c>
      <c r="AB106" s="175"/>
      <c r="AC106" s="181"/>
      <c r="AD106" s="211"/>
      <c r="AE106" s="269"/>
      <c r="AF106" s="269"/>
      <c r="AG106" s="269"/>
      <c r="AH106" s="270"/>
      <c r="AI106" s="211"/>
      <c r="AJ106" s="211"/>
      <c r="AK106" s="211"/>
      <c r="AL106" s="211"/>
      <c r="AM106" s="211"/>
      <c r="AN106" s="211"/>
      <c r="AO106" s="211"/>
      <c r="AP106" s="212" t="s">
        <v>530</v>
      </c>
    </row>
    <row r="107" ht="56.25" customHeight="1">
      <c r="A107" s="118" t="s">
        <v>761</v>
      </c>
      <c r="B107" s="201" t="s">
        <v>1142</v>
      </c>
      <c r="C107" s="202" t="s">
        <v>750</v>
      </c>
      <c r="D107" s="14"/>
      <c r="E107" s="158" t="s">
        <v>291</v>
      </c>
      <c r="F107" s="159" t="s">
        <v>751</v>
      </c>
      <c r="G107" s="159" t="s">
        <v>752</v>
      </c>
      <c r="H107" s="159" t="s">
        <v>753</v>
      </c>
      <c r="I107" s="161" t="s">
        <v>296</v>
      </c>
      <c r="J107" s="163">
        <v>45107.0</v>
      </c>
      <c r="K107" s="162">
        <v>46387.0</v>
      </c>
      <c r="L107" s="166">
        <f t="shared" si="41"/>
        <v>0.8658064853</v>
      </c>
      <c r="M107" s="168">
        <f t="shared" si="39"/>
        <v>36802763.83</v>
      </c>
      <c r="N107" s="169">
        <v>3.680276383E7</v>
      </c>
      <c r="O107" s="169"/>
      <c r="P107" s="169"/>
      <c r="Q107" s="171"/>
      <c r="R107" s="172"/>
      <c r="S107" s="169"/>
      <c r="T107" s="168">
        <f t="shared" si="36"/>
        <v>31864071.6</v>
      </c>
      <c r="U107" s="175">
        <v>2.939572307E7</v>
      </c>
      <c r="V107" s="175">
        <v>1691723.75</v>
      </c>
      <c r="W107" s="175">
        <v>181348.97</v>
      </c>
      <c r="X107" s="175">
        <v>115720.0</v>
      </c>
      <c r="Y107" s="175">
        <f>SUMIF('07.26'!$J$4:$J$1000,$F107,'07.26'!$M$4:$M$1000)</f>
        <v>260370</v>
      </c>
      <c r="Z107" s="175">
        <f>SUMIF('08.26'!$J$4:$J$1000,$F107,'08.26'!$M$4:$M$1000)</f>
        <v>0</v>
      </c>
      <c r="AA107" s="175">
        <f>SUMIF('09.26'!$J$4:$J$1429,$F107,'09.26'!$M$4:$M$1429)</f>
        <v>219185.81</v>
      </c>
      <c r="AB107" s="175"/>
      <c r="AC107" s="181"/>
      <c r="AD107" s="211"/>
      <c r="AE107" s="269"/>
      <c r="AF107" s="269"/>
      <c r="AG107" s="269"/>
      <c r="AH107" s="270"/>
      <c r="AI107" s="211"/>
      <c r="AJ107" s="211"/>
      <c r="AK107" s="211"/>
      <c r="AL107" s="211"/>
      <c r="AM107" s="211"/>
      <c r="AN107" s="211"/>
      <c r="AO107" s="211"/>
      <c r="AP107" s="212" t="s">
        <v>530</v>
      </c>
    </row>
    <row r="108">
      <c r="A108" s="118" t="s">
        <v>761</v>
      </c>
      <c r="B108" s="119" t="s">
        <v>774</v>
      </c>
      <c r="C108" s="6" t="s">
        <v>756</v>
      </c>
      <c r="D108" s="6" t="s">
        <v>71</v>
      </c>
      <c r="E108" s="121"/>
      <c r="F108" s="122"/>
      <c r="G108" s="122"/>
      <c r="H108" s="122"/>
      <c r="I108" s="123"/>
      <c r="J108" s="124"/>
      <c r="K108" s="125"/>
      <c r="L108" s="129">
        <f t="shared" si="41"/>
        <v>0.8817617966</v>
      </c>
      <c r="M108" s="132">
        <f t="shared" ref="M108:S108" si="42">SUM(M109:M110)</f>
        <v>73564275.51</v>
      </c>
      <c r="N108" s="133">
        <f t="shared" si="42"/>
        <v>73564275.51</v>
      </c>
      <c r="O108" s="133">
        <f t="shared" si="42"/>
        <v>0</v>
      </c>
      <c r="P108" s="133">
        <f t="shared" si="42"/>
        <v>0</v>
      </c>
      <c r="Q108" s="134">
        <f t="shared" si="42"/>
        <v>0</v>
      </c>
      <c r="R108" s="135">
        <f t="shared" si="42"/>
        <v>0</v>
      </c>
      <c r="S108" s="133">
        <f t="shared" si="42"/>
        <v>0</v>
      </c>
      <c r="T108" s="132">
        <f t="shared" si="36"/>
        <v>64866167.74</v>
      </c>
      <c r="U108" s="133">
        <f t="shared" ref="U108:AB108" si="43">SUM(U109:U110)</f>
        <v>53648337.49</v>
      </c>
      <c r="V108" s="109">
        <f t="shared" si="43"/>
        <v>3279617.93</v>
      </c>
      <c r="W108" s="109">
        <f t="shared" si="43"/>
        <v>1573466.13</v>
      </c>
      <c r="X108" s="109">
        <f t="shared" si="43"/>
        <v>1113784.17</v>
      </c>
      <c r="Y108" s="140">
        <f t="shared" si="43"/>
        <v>2404567.25</v>
      </c>
      <c r="Z108" s="140">
        <f t="shared" si="43"/>
        <v>1732610.6</v>
      </c>
      <c r="AA108" s="140">
        <f t="shared" si="43"/>
        <v>1113784.17</v>
      </c>
      <c r="AB108" s="133">
        <f t="shared" si="43"/>
        <v>0</v>
      </c>
      <c r="AC108" s="215"/>
      <c r="AD108" s="206" t="s">
        <v>665</v>
      </c>
      <c r="AE108" s="216"/>
      <c r="AF108" s="216"/>
      <c r="AG108" s="216"/>
      <c r="AH108" s="217"/>
      <c r="AI108" s="206"/>
      <c r="AJ108" s="206"/>
      <c r="AK108" s="206"/>
      <c r="AL108" s="206"/>
      <c r="AM108" s="206"/>
      <c r="AN108" s="206"/>
      <c r="AO108" s="206"/>
      <c r="AP108" s="146"/>
    </row>
    <row r="109" ht="56.25" customHeight="1">
      <c r="A109" s="118" t="s">
        <v>761</v>
      </c>
      <c r="B109" s="201" t="s">
        <v>781</v>
      </c>
      <c r="C109" s="151" t="s">
        <v>766</v>
      </c>
      <c r="D109" s="154"/>
      <c r="E109" s="158" t="s">
        <v>291</v>
      </c>
      <c r="F109" s="159" t="s">
        <v>767</v>
      </c>
      <c r="G109" s="159" t="s">
        <v>768</v>
      </c>
      <c r="H109" s="272" t="s">
        <v>769</v>
      </c>
      <c r="I109" s="161" t="s">
        <v>322</v>
      </c>
      <c r="J109" s="163">
        <v>45658.0</v>
      </c>
      <c r="K109" s="162">
        <v>46387.0</v>
      </c>
      <c r="L109" s="166">
        <f t="shared" si="41"/>
        <v>0.9078296455</v>
      </c>
      <c r="M109" s="168">
        <f t="shared" ref="M109:M110" si="44">MAX(N109:R109)</f>
        <v>28415829.62</v>
      </c>
      <c r="N109" s="169">
        <v>2.841582962E7</v>
      </c>
      <c r="O109" s="169"/>
      <c r="P109" s="169"/>
      <c r="Q109" s="171"/>
      <c r="R109" s="172"/>
      <c r="S109" s="169"/>
      <c r="T109" s="168">
        <f t="shared" si="36"/>
        <v>25796732.53</v>
      </c>
      <c r="U109" s="175">
        <v>1.794340843E7</v>
      </c>
      <c r="V109" s="175">
        <v>1113784.17</v>
      </c>
      <c r="W109" s="175">
        <v>1113784.17</v>
      </c>
      <c r="X109" s="175">
        <v>1113784.17</v>
      </c>
      <c r="Y109" s="175">
        <f>SUMIF('07.26'!$J$4:$J$1000,$F109,'07.26'!$M$4:$M$1000)</f>
        <v>2284403.25</v>
      </c>
      <c r="Z109" s="175">
        <f>SUMIF('08.26'!$J$4:$J$1000,$F109,'08.26'!$M$4:$M$1000)</f>
        <v>1113784.17</v>
      </c>
      <c r="AA109" s="175">
        <f>SUMIF('09.26'!$J$4:$J$1429,$F109,'09.26'!$M$4:$M$1429)</f>
        <v>1113784.17</v>
      </c>
      <c r="AB109" s="175"/>
      <c r="AC109" s="181"/>
      <c r="AD109" s="211"/>
      <c r="AE109" s="269"/>
      <c r="AF109" s="269"/>
      <c r="AG109" s="269"/>
      <c r="AH109" s="270"/>
      <c r="AI109" s="211"/>
      <c r="AJ109" s="211"/>
      <c r="AK109" s="211"/>
      <c r="AL109" s="211"/>
      <c r="AM109" s="211"/>
      <c r="AN109" s="211"/>
      <c r="AO109" s="211"/>
      <c r="AP109" s="212" t="s">
        <v>519</v>
      </c>
    </row>
    <row r="110" ht="45.75" customHeight="1">
      <c r="A110" s="118" t="s">
        <v>761</v>
      </c>
      <c r="B110" s="201" t="s">
        <v>1148</v>
      </c>
      <c r="C110" s="187"/>
      <c r="D110" s="107"/>
      <c r="E110" s="158" t="s">
        <v>291</v>
      </c>
      <c r="F110" s="159" t="s">
        <v>771</v>
      </c>
      <c r="G110" s="159" t="s">
        <v>772</v>
      </c>
      <c r="H110" s="26"/>
      <c r="I110" s="161" t="s">
        <v>296</v>
      </c>
      <c r="J110" s="162">
        <v>45285.0</v>
      </c>
      <c r="K110" s="162">
        <v>45961.0</v>
      </c>
      <c r="L110" s="166">
        <f t="shared" si="41"/>
        <v>0.8653550402</v>
      </c>
      <c r="M110" s="168">
        <f t="shared" si="44"/>
        <v>45148445.89</v>
      </c>
      <c r="N110" s="169">
        <v>4.514844589E7</v>
      </c>
      <c r="O110" s="169"/>
      <c r="P110" s="169"/>
      <c r="Q110" s="171"/>
      <c r="R110" s="172"/>
      <c r="S110" s="169"/>
      <c r="T110" s="168">
        <f t="shared" si="36"/>
        <v>39069435.21</v>
      </c>
      <c r="U110" s="175">
        <v>3.570492906E7</v>
      </c>
      <c r="V110" s="175">
        <v>2165833.76</v>
      </c>
      <c r="W110" s="175">
        <v>459681.96</v>
      </c>
      <c r="X110" s="175"/>
      <c r="Y110" s="175">
        <f>SUMIF('07.26'!$J$4:$J$1000,$F110,'07.26'!$M$4:$M$1000)</f>
        <v>120164</v>
      </c>
      <c r="Z110" s="175">
        <f>SUMIF('08.26'!$J$4:$J$1000,$F110,'08.26'!$M$4:$M$1000)</f>
        <v>618826.43</v>
      </c>
      <c r="AA110" s="175">
        <f>SUMIF('09.26'!$J$4:$J$1429,$F110,'09.26'!$M$4:$M$1429)</f>
        <v>0</v>
      </c>
      <c r="AB110" s="175"/>
      <c r="AC110" s="181"/>
      <c r="AD110" s="211"/>
      <c r="AE110" s="269"/>
      <c r="AF110" s="269"/>
      <c r="AG110" s="269"/>
      <c r="AH110" s="270"/>
      <c r="AI110" s="211"/>
      <c r="AJ110" s="211"/>
      <c r="AK110" s="211"/>
      <c r="AL110" s="211"/>
      <c r="AM110" s="211"/>
      <c r="AN110" s="211"/>
      <c r="AO110" s="211"/>
      <c r="AP110" s="212" t="s">
        <v>547</v>
      </c>
    </row>
    <row r="111" ht="18.75" customHeight="1">
      <c r="A111" s="118" t="s">
        <v>761</v>
      </c>
      <c r="B111" s="119" t="s">
        <v>787</v>
      </c>
      <c r="C111" s="6" t="s">
        <v>775</v>
      </c>
      <c r="D111" s="6" t="s">
        <v>71</v>
      </c>
      <c r="E111" s="121"/>
      <c r="F111" s="122"/>
      <c r="G111" s="122"/>
      <c r="H111" s="122"/>
      <c r="I111" s="123"/>
      <c r="J111" s="124"/>
      <c r="K111" s="125"/>
      <c r="L111" s="129">
        <f t="shared" si="41"/>
        <v>1.000000001</v>
      </c>
      <c r="M111" s="132">
        <f t="shared" ref="M111:S111" si="45">SUM(M112)</f>
        <v>23026837.72</v>
      </c>
      <c r="N111" s="133">
        <f t="shared" si="45"/>
        <v>19272949.48</v>
      </c>
      <c r="O111" s="133">
        <f t="shared" si="45"/>
        <v>23026837.72</v>
      </c>
      <c r="P111" s="133">
        <f t="shared" si="45"/>
        <v>0</v>
      </c>
      <c r="Q111" s="134">
        <f t="shared" si="45"/>
        <v>0</v>
      </c>
      <c r="R111" s="135">
        <f t="shared" si="45"/>
        <v>0</v>
      </c>
      <c r="S111" s="133">
        <f t="shared" si="45"/>
        <v>0</v>
      </c>
      <c r="T111" s="132">
        <f t="shared" si="36"/>
        <v>23026837.74</v>
      </c>
      <c r="U111" s="133">
        <f t="shared" ref="U111:AB111" si="46">SUM(U112)</f>
        <v>15519061.26</v>
      </c>
      <c r="V111" s="109">
        <f t="shared" si="46"/>
        <v>1251296.08</v>
      </c>
      <c r="W111" s="109">
        <f t="shared" si="46"/>
        <v>1251296.08</v>
      </c>
      <c r="X111" s="109">
        <f t="shared" si="46"/>
        <v>1251296.08</v>
      </c>
      <c r="Y111" s="140">
        <f t="shared" si="46"/>
        <v>0</v>
      </c>
      <c r="Z111" s="140">
        <f t="shared" si="46"/>
        <v>0</v>
      </c>
      <c r="AA111" s="140">
        <f t="shared" si="46"/>
        <v>3753888.24</v>
      </c>
      <c r="AB111" s="133">
        <f t="shared" si="46"/>
        <v>0</v>
      </c>
      <c r="AC111" s="215"/>
      <c r="AD111" s="206" t="s">
        <v>780</v>
      </c>
      <c r="AE111" s="216"/>
      <c r="AF111" s="216"/>
      <c r="AG111" s="216"/>
      <c r="AH111" s="217"/>
      <c r="AI111" s="206"/>
      <c r="AJ111" s="206"/>
      <c r="AK111" s="206"/>
      <c r="AL111" s="206"/>
      <c r="AM111" s="206"/>
      <c r="AN111" s="206"/>
      <c r="AO111" s="206"/>
      <c r="AP111" s="146"/>
    </row>
    <row r="112" ht="18.75" customHeight="1">
      <c r="A112" s="118" t="s">
        <v>761</v>
      </c>
      <c r="B112" s="201" t="s">
        <v>791</v>
      </c>
      <c r="C112" s="151" t="s">
        <v>782</v>
      </c>
      <c r="D112" s="154"/>
      <c r="E112" s="158" t="s">
        <v>403</v>
      </c>
      <c r="F112" s="159" t="s">
        <v>783</v>
      </c>
      <c r="G112" s="159" t="s">
        <v>784</v>
      </c>
      <c r="H112" s="159" t="s">
        <v>782</v>
      </c>
      <c r="I112" s="161" t="s">
        <v>322</v>
      </c>
      <c r="J112" s="163">
        <v>45748.0</v>
      </c>
      <c r="K112" s="163">
        <v>46295.0</v>
      </c>
      <c r="L112" s="166">
        <f t="shared" si="41"/>
        <v>1.000000001</v>
      </c>
      <c r="M112" s="168">
        <f t="shared" ref="M112:M113" si="47">MAX(N112:R112)</f>
        <v>23026837.72</v>
      </c>
      <c r="N112" s="169">
        <v>1.927294948E7</v>
      </c>
      <c r="O112" s="169">
        <v>2.302683772E7</v>
      </c>
      <c r="P112" s="169"/>
      <c r="Q112" s="171"/>
      <c r="R112" s="172"/>
      <c r="S112" s="169"/>
      <c r="T112" s="168">
        <f t="shared" si="36"/>
        <v>23026837.74</v>
      </c>
      <c r="U112" s="175">
        <v>1.551906126E7</v>
      </c>
      <c r="V112" s="175">
        <v>1251296.08</v>
      </c>
      <c r="W112" s="175">
        <v>1251296.08</v>
      </c>
      <c r="X112" s="175">
        <v>1251296.08</v>
      </c>
      <c r="Y112" s="175">
        <f>SUMIF('07.26'!$J$4:$J$1000,$F112,'07.26'!$M$4:$M$1000)</f>
        <v>0</v>
      </c>
      <c r="Z112" s="175">
        <f>SUMIF('08.26'!$J$4:$J$1000,$F112,'08.26'!$M$4:$M$1000)</f>
        <v>0</v>
      </c>
      <c r="AA112" s="175">
        <f>SUMIF('09.26'!$J$4:$J$1429,$F112,'09.26'!$M$4:$M$1429)</f>
        <v>3753888.24</v>
      </c>
      <c r="AB112" s="175"/>
      <c r="AC112" s="181"/>
      <c r="AD112" s="211"/>
      <c r="AE112" s="269"/>
      <c r="AF112" s="269"/>
      <c r="AG112" s="269"/>
      <c r="AH112" s="270"/>
      <c r="AI112" s="211"/>
      <c r="AJ112" s="211"/>
      <c r="AK112" s="211"/>
      <c r="AL112" s="211"/>
      <c r="AM112" s="211"/>
      <c r="AN112" s="211"/>
      <c r="AO112" s="211"/>
      <c r="AP112" s="212" t="s">
        <v>519</v>
      </c>
    </row>
    <row r="113" ht="18.75" customHeight="1">
      <c r="A113" s="118" t="s">
        <v>761</v>
      </c>
      <c r="B113" s="201" t="s">
        <v>800</v>
      </c>
      <c r="C113" s="187"/>
      <c r="D113" s="107"/>
      <c r="E113" s="158" t="s">
        <v>291</v>
      </c>
      <c r="F113" s="159" t="s">
        <v>1156</v>
      </c>
      <c r="G113" s="159"/>
      <c r="H113" s="159"/>
      <c r="I113" s="161" t="s">
        <v>296</v>
      </c>
      <c r="J113" s="163">
        <v>45716.0</v>
      </c>
      <c r="K113" s="163">
        <v>46356.0</v>
      </c>
      <c r="L113" s="166">
        <f t="shared" si="41"/>
        <v>0.5004157639</v>
      </c>
      <c r="M113" s="168">
        <f t="shared" si="47"/>
        <v>1329673</v>
      </c>
      <c r="N113" s="169" t="s">
        <v>1157</v>
      </c>
      <c r="O113" s="169">
        <v>1329673.0</v>
      </c>
      <c r="P113" s="169"/>
      <c r="Q113" s="171"/>
      <c r="R113" s="172"/>
      <c r="S113" s="169"/>
      <c r="T113" s="168">
        <f t="shared" si="36"/>
        <v>665389.33</v>
      </c>
      <c r="U113" s="175">
        <v>665389.33</v>
      </c>
      <c r="V113" s="175"/>
      <c r="W113" s="175"/>
      <c r="X113" s="175"/>
      <c r="Y113" s="175"/>
      <c r="Z113" s="175"/>
      <c r="AA113" s="175"/>
      <c r="AB113" s="175"/>
      <c r="AC113" s="181"/>
      <c r="AD113" s="211"/>
      <c r="AE113" s="269"/>
      <c r="AF113" s="269"/>
      <c r="AG113" s="269"/>
      <c r="AH113" s="270"/>
      <c r="AI113" s="211"/>
      <c r="AJ113" s="211"/>
      <c r="AK113" s="211"/>
      <c r="AL113" s="211"/>
      <c r="AM113" s="211"/>
      <c r="AN113" s="211"/>
      <c r="AO113" s="211"/>
      <c r="AP113" s="212"/>
    </row>
    <row r="114" ht="18.75" customHeight="1">
      <c r="A114" s="118" t="s">
        <v>761</v>
      </c>
      <c r="B114" s="119" t="s">
        <v>804</v>
      </c>
      <c r="C114" s="6" t="s">
        <v>869</v>
      </c>
      <c r="D114" s="6" t="s">
        <v>102</v>
      </c>
      <c r="E114" s="121"/>
      <c r="F114" s="122"/>
      <c r="G114" s="122"/>
      <c r="H114" s="122"/>
      <c r="I114" s="123"/>
      <c r="J114" s="124"/>
      <c r="K114" s="125"/>
      <c r="L114" s="129">
        <f t="shared" si="41"/>
        <v>0.6402935828</v>
      </c>
      <c r="M114" s="132">
        <f t="shared" ref="M114:S114" si="48">M115+M116</f>
        <v>60050432.48</v>
      </c>
      <c r="N114" s="133">
        <f t="shared" si="48"/>
        <v>60050432.48</v>
      </c>
      <c r="O114" s="133">
        <f t="shared" si="48"/>
        <v>0</v>
      </c>
      <c r="P114" s="133">
        <f t="shared" si="48"/>
        <v>0</v>
      </c>
      <c r="Q114" s="134">
        <f t="shared" si="48"/>
        <v>0</v>
      </c>
      <c r="R114" s="135">
        <f t="shared" si="48"/>
        <v>0</v>
      </c>
      <c r="S114" s="133">
        <f t="shared" si="48"/>
        <v>0</v>
      </c>
      <c r="T114" s="132">
        <f t="shared" si="36"/>
        <v>38449906.56</v>
      </c>
      <c r="U114" s="133">
        <f t="shared" ref="U114:AB114" si="49">U115+U116</f>
        <v>32386679.16</v>
      </c>
      <c r="V114" s="109">
        <f t="shared" si="49"/>
        <v>1037454.99</v>
      </c>
      <c r="W114" s="109">
        <f t="shared" si="49"/>
        <v>1493904.97</v>
      </c>
      <c r="X114" s="109">
        <f t="shared" si="49"/>
        <v>842891.49</v>
      </c>
      <c r="Y114" s="140">
        <f t="shared" si="49"/>
        <v>1003192.98</v>
      </c>
      <c r="Z114" s="140">
        <f t="shared" si="49"/>
        <v>842891.48</v>
      </c>
      <c r="AA114" s="140">
        <f t="shared" si="49"/>
        <v>842891.49</v>
      </c>
      <c r="AB114" s="133">
        <f t="shared" si="49"/>
        <v>0</v>
      </c>
      <c r="AC114" s="215"/>
      <c r="AD114" s="206" t="s">
        <v>440</v>
      </c>
      <c r="AE114" s="216"/>
      <c r="AF114" s="216"/>
      <c r="AG114" s="216"/>
      <c r="AH114" s="217"/>
      <c r="AI114" s="206"/>
      <c r="AJ114" s="206"/>
      <c r="AK114" s="206"/>
      <c r="AL114" s="206"/>
      <c r="AM114" s="206"/>
      <c r="AN114" s="206"/>
      <c r="AO114" s="206"/>
      <c r="AP114" s="146"/>
    </row>
    <row r="115" ht="18.75" customHeight="1">
      <c r="A115" s="118" t="s">
        <v>761</v>
      </c>
      <c r="B115" s="201" t="s">
        <v>809</v>
      </c>
      <c r="C115" s="151" t="s">
        <v>792</v>
      </c>
      <c r="D115" s="154"/>
      <c r="E115" s="158" t="s">
        <v>291</v>
      </c>
      <c r="F115" s="159" t="s">
        <v>796</v>
      </c>
      <c r="G115" s="159" t="s">
        <v>797</v>
      </c>
      <c r="H115" s="272" t="s">
        <v>792</v>
      </c>
      <c r="I115" s="161" t="s">
        <v>322</v>
      </c>
      <c r="J115" s="484">
        <v>45352.0</v>
      </c>
      <c r="K115" s="485">
        <v>46356.0</v>
      </c>
      <c r="L115" s="166">
        <f t="shared" si="41"/>
        <v>0.6913661625</v>
      </c>
      <c r="M115" s="168">
        <f t="shared" ref="M115:M116" si="50">MAX(N115:R115)</f>
        <v>40201382.78</v>
      </c>
      <c r="N115" s="169">
        <v>4.020138278E7</v>
      </c>
      <c r="O115" s="169"/>
      <c r="P115" s="169"/>
      <c r="Q115" s="171"/>
      <c r="R115" s="172"/>
      <c r="S115" s="169"/>
      <c r="T115" s="168">
        <f t="shared" si="36"/>
        <v>27793875.74</v>
      </c>
      <c r="U115" s="175">
        <v>2.191540434E7</v>
      </c>
      <c r="V115" s="175">
        <v>852698.99</v>
      </c>
      <c r="W115" s="175">
        <v>1493904.97</v>
      </c>
      <c r="X115" s="175">
        <v>842891.49</v>
      </c>
      <c r="Y115" s="175">
        <f>SUMIF('07.26'!$J$4:$J$1000,$F115,'07.26'!$M$4:$M$1000)</f>
        <v>1003192.98</v>
      </c>
      <c r="Z115" s="175">
        <f>SUMIF('08.26'!$J$4:$J$1000,$F115,'08.26'!$M$4:$M$1000)</f>
        <v>842891.48</v>
      </c>
      <c r="AA115" s="175">
        <f>SUMIF('09.26'!$J$4:$J$1429,$F115,'09.26'!$M$4:$M$1429)</f>
        <v>842891.49</v>
      </c>
      <c r="AB115" s="175"/>
      <c r="AC115" s="181"/>
      <c r="AD115" s="211"/>
      <c r="AE115" s="269"/>
      <c r="AF115" s="269"/>
      <c r="AG115" s="269"/>
      <c r="AH115" s="270"/>
      <c r="AI115" s="211"/>
      <c r="AJ115" s="211"/>
      <c r="AK115" s="211"/>
      <c r="AL115" s="211"/>
      <c r="AM115" s="211"/>
      <c r="AN115" s="211"/>
      <c r="AO115" s="211"/>
      <c r="AP115" s="212" t="s">
        <v>519</v>
      </c>
    </row>
    <row r="116" ht="18.75" customHeight="1">
      <c r="A116" s="118" t="s">
        <v>761</v>
      </c>
      <c r="B116" s="201" t="s">
        <v>1161</v>
      </c>
      <c r="C116" s="187"/>
      <c r="D116" s="107"/>
      <c r="E116" s="158" t="s">
        <v>291</v>
      </c>
      <c r="F116" s="159" t="s">
        <v>801</v>
      </c>
      <c r="G116" s="159" t="s">
        <v>797</v>
      </c>
      <c r="H116" s="26"/>
      <c r="I116" s="161" t="s">
        <v>296</v>
      </c>
      <c r="J116" s="163">
        <v>45355.0</v>
      </c>
      <c r="K116" s="163">
        <v>46142.0</v>
      </c>
      <c r="L116" s="166">
        <f t="shared" si="41"/>
        <v>0.5368534505</v>
      </c>
      <c r="M116" s="168">
        <f t="shared" si="50"/>
        <v>19849049.7</v>
      </c>
      <c r="N116" s="169">
        <v>1.98490497E7</v>
      </c>
      <c r="O116" s="169"/>
      <c r="P116" s="169"/>
      <c r="Q116" s="171"/>
      <c r="R116" s="172"/>
      <c r="S116" s="169"/>
      <c r="T116" s="168">
        <f t="shared" si="36"/>
        <v>10656030.82</v>
      </c>
      <c r="U116" s="175">
        <v>1.047127482E7</v>
      </c>
      <c r="V116" s="175">
        <v>184756.0</v>
      </c>
      <c r="W116" s="175"/>
      <c r="X116" s="175"/>
      <c r="Y116" s="175">
        <f>SUMIF('07.26'!$J$4:$J$1000,$F116,'07.26'!$M$4:$M$1000)</f>
        <v>0</v>
      </c>
      <c r="Z116" s="175">
        <f>SUMIF('08.26'!$J$4:$J$1000,$F116,'08.26'!$M$4:$M$1000)</f>
        <v>0</v>
      </c>
      <c r="AA116" s="175">
        <f>SUMIF('09.26'!$J$4:$J$1429,$F116,'09.26'!$M$4:$M$1429)</f>
        <v>0</v>
      </c>
      <c r="AB116" s="175"/>
      <c r="AC116" s="181"/>
      <c r="AD116" s="211"/>
      <c r="AE116" s="269"/>
      <c r="AF116" s="269"/>
      <c r="AG116" s="269"/>
      <c r="AH116" s="270"/>
      <c r="AI116" s="211"/>
      <c r="AJ116" s="211"/>
      <c r="AK116" s="211"/>
      <c r="AL116" s="211"/>
      <c r="AM116" s="211"/>
      <c r="AN116" s="211"/>
      <c r="AO116" s="211"/>
      <c r="AP116" s="212" t="s">
        <v>530</v>
      </c>
    </row>
    <row r="117" ht="18.75" customHeight="1">
      <c r="A117" s="118" t="s">
        <v>1163</v>
      </c>
      <c r="B117" s="492" t="s">
        <v>825</v>
      </c>
      <c r="C117" s="494" t="s">
        <v>1165</v>
      </c>
      <c r="D117" s="496" t="s">
        <v>161</v>
      </c>
      <c r="E117" s="121"/>
      <c r="F117" s="122"/>
      <c r="G117" s="122"/>
      <c r="H117" s="122"/>
      <c r="I117" s="123"/>
      <c r="J117" s="124"/>
      <c r="K117" s="125"/>
      <c r="L117" s="129">
        <f t="shared" si="41"/>
        <v>0.2825718192</v>
      </c>
      <c r="M117" s="132">
        <f>SUM(M118:M121)</f>
        <v>112262416.8</v>
      </c>
      <c r="N117" s="503">
        <f t="shared" ref="N117:S117" si="51">N118+N119</f>
        <v>46795812.25</v>
      </c>
      <c r="O117" s="503">
        <f t="shared" si="51"/>
        <v>28624346.08</v>
      </c>
      <c r="P117" s="503">
        <f t="shared" si="51"/>
        <v>0</v>
      </c>
      <c r="Q117" s="505">
        <f t="shared" si="51"/>
        <v>0</v>
      </c>
      <c r="R117" s="506">
        <f t="shared" si="51"/>
        <v>0</v>
      </c>
      <c r="S117" s="503">
        <f t="shared" si="51"/>
        <v>0</v>
      </c>
      <c r="T117" s="132">
        <f t="shared" ref="T117:AB117" si="52">SUM(T118:T121)</f>
        <v>31722195.35</v>
      </c>
      <c r="U117" s="133">
        <f t="shared" si="52"/>
        <v>8670133.64</v>
      </c>
      <c r="V117" s="109">
        <f t="shared" si="52"/>
        <v>4942117.99</v>
      </c>
      <c r="W117" s="109">
        <f t="shared" si="52"/>
        <v>6030996.14</v>
      </c>
      <c r="X117" s="109">
        <f t="shared" si="52"/>
        <v>1374996.76</v>
      </c>
      <c r="Y117" s="140">
        <f t="shared" si="52"/>
        <v>6354229.86</v>
      </c>
      <c r="Z117" s="140">
        <f t="shared" si="52"/>
        <v>1374996.76</v>
      </c>
      <c r="AA117" s="140">
        <f t="shared" si="52"/>
        <v>2974724.2</v>
      </c>
      <c r="AB117" s="133">
        <f t="shared" si="52"/>
        <v>0</v>
      </c>
      <c r="AC117" s="215" t="s">
        <v>1165</v>
      </c>
      <c r="AD117" s="206" t="s">
        <v>808</v>
      </c>
      <c r="AE117" s="216"/>
      <c r="AF117" s="216"/>
      <c r="AG117" s="216"/>
      <c r="AH117" s="217"/>
      <c r="AI117" s="206"/>
      <c r="AJ117" s="206"/>
      <c r="AK117" s="206"/>
      <c r="AL117" s="206"/>
      <c r="AM117" s="206"/>
      <c r="AN117" s="206"/>
      <c r="AO117" s="206"/>
      <c r="AP117" s="509"/>
    </row>
    <row r="118" ht="18.75" customHeight="1">
      <c r="A118" s="118" t="s">
        <v>1163</v>
      </c>
      <c r="B118" s="148" t="s">
        <v>829</v>
      </c>
      <c r="C118" s="151" t="s">
        <v>812</v>
      </c>
      <c r="D118" s="154"/>
      <c r="E118" s="158" t="s">
        <v>291</v>
      </c>
      <c r="F118" s="159" t="s">
        <v>1167</v>
      </c>
      <c r="G118" s="159" t="s">
        <v>815</v>
      </c>
      <c r="H118" s="159" t="s">
        <v>816</v>
      </c>
      <c r="I118" s="161" t="s">
        <v>322</v>
      </c>
      <c r="J118" s="484">
        <v>46023.0</v>
      </c>
      <c r="K118" s="485">
        <v>46387.0</v>
      </c>
      <c r="L118" s="166">
        <f t="shared" si="41"/>
        <v>0.6072191368</v>
      </c>
      <c r="M118" s="168">
        <f>MAX(N118:R118)</f>
        <v>20973731.62</v>
      </c>
      <c r="N118" s="512">
        <v>2.097373162E7</v>
      </c>
      <c r="O118" s="512"/>
      <c r="P118" s="512"/>
      <c r="Q118" s="514"/>
      <c r="R118" s="516"/>
      <c r="S118" s="512"/>
      <c r="T118" s="168">
        <f t="shared" ref="T118:T153" si="53">SUM(U118:AA118)</f>
        <v>12735651.21</v>
      </c>
      <c r="U118" s="175">
        <v>4485670.65</v>
      </c>
      <c r="V118" s="175">
        <v>1374996.76</v>
      </c>
      <c r="W118" s="175">
        <v>1374996.76</v>
      </c>
      <c r="X118" s="175">
        <v>1374996.76</v>
      </c>
      <c r="Y118" s="175">
        <v>1374996.76</v>
      </c>
      <c r="Z118" s="175">
        <v>1374996.76</v>
      </c>
      <c r="AA118" s="175">
        <v>1374996.76</v>
      </c>
      <c r="AB118" s="175"/>
      <c r="AC118" s="273" t="s">
        <v>1167</v>
      </c>
      <c r="AD118" s="517"/>
      <c r="AE118" s="518"/>
      <c r="AF118" s="518"/>
      <c r="AG118" s="518"/>
      <c r="AH118" s="519"/>
      <c r="AI118" s="517"/>
      <c r="AJ118" s="517"/>
      <c r="AK118" s="517"/>
      <c r="AL118" s="517"/>
      <c r="AM118" s="517"/>
      <c r="AN118" s="517"/>
      <c r="AO118" s="517"/>
      <c r="AP118" s="520" t="s">
        <v>818</v>
      </c>
    </row>
    <row r="119" ht="18.75" customHeight="1">
      <c r="A119" s="118" t="s">
        <v>1163</v>
      </c>
      <c r="B119" s="148" t="s">
        <v>1168</v>
      </c>
      <c r="C119" s="187"/>
      <c r="D119" s="107"/>
      <c r="E119" s="158" t="s">
        <v>291</v>
      </c>
      <c r="F119" s="159" t="s">
        <v>1139</v>
      </c>
      <c r="G119" s="159" t="s">
        <v>820</v>
      </c>
      <c r="H119" s="159" t="s">
        <v>816</v>
      </c>
      <c r="I119" s="161" t="s">
        <v>296</v>
      </c>
      <c r="J119" s="485">
        <v>45989.0</v>
      </c>
      <c r="K119" s="484">
        <v>46173.0</v>
      </c>
      <c r="L119" s="166">
        <f t="shared" si="41"/>
        <v>0.5082771562</v>
      </c>
      <c r="M119" s="168">
        <v>3.590017603E7</v>
      </c>
      <c r="N119" s="512">
        <v>2.582208063E7</v>
      </c>
      <c r="O119" s="512">
        <v>2.862434608E7</v>
      </c>
      <c r="P119" s="512"/>
      <c r="Q119" s="514"/>
      <c r="R119" s="516"/>
      <c r="S119" s="512"/>
      <c r="T119" s="168">
        <f t="shared" si="53"/>
        <v>18247239.38</v>
      </c>
      <c r="U119" s="175">
        <v>4184462.99</v>
      </c>
      <c r="V119" s="175">
        <v>3567121.23</v>
      </c>
      <c r="W119" s="175">
        <v>4655999.38</v>
      </c>
      <c r="X119" s="175"/>
      <c r="Y119" s="175">
        <v>4979233.1</v>
      </c>
      <c r="Z119" s="175"/>
      <c r="AA119" s="175">
        <f>SUMIF('09.26'!$J$4:$J$1429,$F119,'09.26'!$M$4:$M$1429)</f>
        <v>860422.68</v>
      </c>
      <c r="AB119" s="175"/>
      <c r="AC119" s="526" t="s">
        <v>1139</v>
      </c>
      <c r="AD119" s="276"/>
      <c r="AE119" s="528"/>
      <c r="AF119" s="528"/>
      <c r="AG119" s="528"/>
      <c r="AH119" s="529"/>
      <c r="AI119" s="276"/>
      <c r="AJ119" s="276"/>
      <c r="AK119" s="276"/>
      <c r="AL119" s="276"/>
      <c r="AM119" s="276"/>
      <c r="AN119" s="276"/>
      <c r="AO119" s="276"/>
      <c r="AP119" s="531" t="s">
        <v>824</v>
      </c>
    </row>
    <row r="120">
      <c r="A120" s="118" t="s">
        <v>1163</v>
      </c>
      <c r="B120" s="148" t="s">
        <v>1170</v>
      </c>
      <c r="C120" s="534" t="s">
        <v>1172</v>
      </c>
      <c r="D120" s="107"/>
      <c r="E120" s="158" t="s">
        <v>291</v>
      </c>
      <c r="F120" s="159" t="s">
        <v>1173</v>
      </c>
      <c r="G120" s="537" t="s">
        <v>1174</v>
      </c>
      <c r="H120" s="159" t="s">
        <v>1172</v>
      </c>
      <c r="I120" s="161" t="s">
        <v>296</v>
      </c>
      <c r="J120" s="201" t="s">
        <v>1175</v>
      </c>
      <c r="K120" s="201" t="s">
        <v>1176</v>
      </c>
      <c r="L120" s="166">
        <f t="shared" si="41"/>
        <v>0</v>
      </c>
      <c r="M120" s="168">
        <v>3.079092159E7</v>
      </c>
      <c r="N120" s="539"/>
      <c r="O120" s="539"/>
      <c r="P120" s="539"/>
      <c r="Q120" s="540"/>
      <c r="R120" s="541"/>
      <c r="S120" s="539"/>
      <c r="T120" s="168">
        <f t="shared" si="53"/>
        <v>0</v>
      </c>
      <c r="U120" s="175"/>
      <c r="V120" s="175"/>
      <c r="W120" s="175"/>
      <c r="X120" s="175"/>
      <c r="Y120" s="175">
        <f>SUMIF('07.26'!$J$4:$J$1000,$F120,'07.26'!$M$4:$M$1000)</f>
        <v>0</v>
      </c>
      <c r="Z120" s="175">
        <f>SUMIF('08.26'!$J$4:$J$1000,$F120,'08.26'!$M$4:$M$1000)</f>
        <v>0</v>
      </c>
      <c r="AA120" s="175">
        <f>SUMIF('09.26'!$J$4:$J$1429,$F120,'09.26'!$M$4:$M$1429)</f>
        <v>0</v>
      </c>
      <c r="AB120" s="175"/>
      <c r="AC120" s="215" t="s">
        <v>1173</v>
      </c>
      <c r="AD120" s="206"/>
      <c r="AE120" s="216"/>
      <c r="AF120" s="216"/>
      <c r="AG120" s="216"/>
      <c r="AH120" s="217"/>
      <c r="AI120" s="206"/>
      <c r="AJ120" s="206"/>
      <c r="AK120" s="206"/>
      <c r="AL120" s="206"/>
      <c r="AM120" s="206"/>
      <c r="AN120" s="206"/>
      <c r="AO120" s="206"/>
      <c r="AP120" s="544"/>
    </row>
    <row r="121">
      <c r="A121" s="118" t="s">
        <v>1163</v>
      </c>
      <c r="B121" s="148" t="s">
        <v>1178</v>
      </c>
      <c r="C121" s="534" t="s">
        <v>1179</v>
      </c>
      <c r="D121" s="107"/>
      <c r="E121" s="158" t="s">
        <v>291</v>
      </c>
      <c r="F121" s="545" t="s">
        <v>1180</v>
      </c>
      <c r="G121" s="546" t="s">
        <v>1181</v>
      </c>
      <c r="H121" s="159" t="s">
        <v>1179</v>
      </c>
      <c r="I121" s="161" t="s">
        <v>1182</v>
      </c>
      <c r="J121" s="201" t="s">
        <v>1183</v>
      </c>
      <c r="K121" s="201" t="s">
        <v>1184</v>
      </c>
      <c r="L121" s="166">
        <f t="shared" si="41"/>
        <v>0.03005598649</v>
      </c>
      <c r="M121" s="168">
        <v>2.459758758E7</v>
      </c>
      <c r="N121" s="539"/>
      <c r="O121" s="539"/>
      <c r="P121" s="539"/>
      <c r="Q121" s="540"/>
      <c r="R121" s="541"/>
      <c r="S121" s="539"/>
      <c r="T121" s="168">
        <f t="shared" si="53"/>
        <v>739304.76</v>
      </c>
      <c r="U121" s="175"/>
      <c r="V121" s="175"/>
      <c r="W121" s="175"/>
      <c r="X121" s="175"/>
      <c r="Y121" s="175">
        <f>SUMIF('07.26'!$J$4:$J$1000,$F121,'07.26'!$M$4:$M$1000)</f>
        <v>0</v>
      </c>
      <c r="Z121" s="175">
        <f>SUMIF('08.26'!$J$4:$J$1000,$F121,'08.26'!$M$4:$M$1000)</f>
        <v>0</v>
      </c>
      <c r="AA121" s="175">
        <v>739304.76</v>
      </c>
      <c r="AB121" s="175"/>
      <c r="AC121" s="215" t="s">
        <v>1180</v>
      </c>
      <c r="AD121" s="206"/>
      <c r="AE121" s="216"/>
      <c r="AF121" s="216"/>
      <c r="AG121" s="216"/>
      <c r="AH121" s="217"/>
      <c r="AI121" s="206"/>
      <c r="AJ121" s="206"/>
      <c r="AK121" s="206"/>
      <c r="AL121" s="206"/>
      <c r="AM121" s="206"/>
      <c r="AN121" s="206"/>
      <c r="AO121" s="206"/>
      <c r="AP121" s="544"/>
    </row>
    <row r="122">
      <c r="A122" s="118" t="s">
        <v>1163</v>
      </c>
      <c r="B122" s="492" t="s">
        <v>842</v>
      </c>
      <c r="C122" s="494" t="s">
        <v>293</v>
      </c>
      <c r="D122" s="494" t="s">
        <v>71</v>
      </c>
      <c r="E122" s="121"/>
      <c r="F122" s="122"/>
      <c r="G122" s="122"/>
      <c r="H122" s="122"/>
      <c r="I122" s="123"/>
      <c r="J122" s="124"/>
      <c r="K122" s="125"/>
      <c r="L122" s="129">
        <f t="shared" si="41"/>
        <v>0.5661056967</v>
      </c>
      <c r="M122" s="132">
        <f t="shared" ref="M122:S122" si="54">M123+M124</f>
        <v>38298683.21</v>
      </c>
      <c r="N122" s="551">
        <f t="shared" si="54"/>
        <v>19124519.08</v>
      </c>
      <c r="O122" s="551">
        <f t="shared" si="54"/>
        <v>0</v>
      </c>
      <c r="P122" s="551">
        <f t="shared" si="54"/>
        <v>5432273.32</v>
      </c>
      <c r="Q122" s="552">
        <f t="shared" si="54"/>
        <v>0</v>
      </c>
      <c r="R122" s="553">
        <f t="shared" si="54"/>
        <v>0</v>
      </c>
      <c r="S122" s="551">
        <f t="shared" si="54"/>
        <v>0</v>
      </c>
      <c r="T122" s="132">
        <f t="shared" si="53"/>
        <v>21681102.74</v>
      </c>
      <c r="U122" s="133">
        <f t="shared" ref="U122:AB122" si="55">U123+U124</f>
        <v>3753129.29</v>
      </c>
      <c r="V122" s="109">
        <f t="shared" si="55"/>
        <v>2467670.37</v>
      </c>
      <c r="W122" s="109">
        <f t="shared" si="55"/>
        <v>2936603.28</v>
      </c>
      <c r="X122" s="109">
        <f t="shared" si="55"/>
        <v>1714812.76</v>
      </c>
      <c r="Y122" s="140">
        <f t="shared" si="55"/>
        <v>5663529.18</v>
      </c>
      <c r="Z122" s="140">
        <f t="shared" si="55"/>
        <v>1595638.1</v>
      </c>
      <c r="AA122" s="140">
        <f t="shared" si="55"/>
        <v>3549719.76</v>
      </c>
      <c r="AB122" s="133">
        <f t="shared" si="55"/>
        <v>0</v>
      </c>
      <c r="AC122" s="215" t="s">
        <v>293</v>
      </c>
      <c r="AD122" s="206" t="s">
        <v>828</v>
      </c>
      <c r="AE122" s="216"/>
      <c r="AF122" s="216"/>
      <c r="AG122" s="216"/>
      <c r="AH122" s="217"/>
      <c r="AI122" s="206"/>
      <c r="AJ122" s="206"/>
      <c r="AK122" s="206"/>
      <c r="AL122" s="206"/>
      <c r="AM122" s="206"/>
      <c r="AN122" s="206"/>
      <c r="AO122" s="206"/>
      <c r="AP122" s="544"/>
    </row>
    <row r="123" ht="18.75" customHeight="1">
      <c r="A123" s="118" t="s">
        <v>1163</v>
      </c>
      <c r="B123" s="148" t="s">
        <v>848</v>
      </c>
      <c r="C123" s="151" t="s">
        <v>831</v>
      </c>
      <c r="D123" s="154"/>
      <c r="E123" s="158" t="s">
        <v>291</v>
      </c>
      <c r="F123" s="159" t="s">
        <v>1013</v>
      </c>
      <c r="G123" s="159" t="s">
        <v>834</v>
      </c>
      <c r="H123" s="159" t="s">
        <v>831</v>
      </c>
      <c r="I123" s="161" t="s">
        <v>322</v>
      </c>
      <c r="J123" s="484">
        <v>46023.0</v>
      </c>
      <c r="K123" s="485">
        <v>46387.0</v>
      </c>
      <c r="L123" s="166">
        <f t="shared" si="41"/>
        <v>0.7105005588</v>
      </c>
      <c r="M123" s="168">
        <f>MAX(N123:R123)</f>
        <v>15790843.12</v>
      </c>
      <c r="N123" s="559">
        <v>1.579084312E7</v>
      </c>
      <c r="O123" s="559"/>
      <c r="P123" s="559"/>
      <c r="Q123" s="560"/>
      <c r="R123" s="561"/>
      <c r="S123" s="559"/>
      <c r="T123" s="168">
        <f t="shared" si="53"/>
        <v>11219402.86</v>
      </c>
      <c r="U123" s="175">
        <v>3753129.29</v>
      </c>
      <c r="V123" s="175">
        <v>893809.77</v>
      </c>
      <c r="W123" s="175">
        <v>1214412.76</v>
      </c>
      <c r="X123" s="175">
        <v>1714812.76</v>
      </c>
      <c r="Y123" s="175">
        <f>SUMIF('07.26'!$J$4:$J$1000,$F123,'07.26'!$M$4:$M$1000)</f>
        <v>1214412.76</v>
      </c>
      <c r="Z123" s="175">
        <f>SUMIF('08.26'!$J$4:$J$1000,$F123,'08.26'!$M$4:$M$1000)</f>
        <v>1214412.76</v>
      </c>
      <c r="AA123" s="175">
        <f>SUMIF('09.26'!$J$4:$J$1429,$F123,'09.26'!$M$4:$M$1429)</f>
        <v>1214412.76</v>
      </c>
      <c r="AB123" s="175"/>
      <c r="AC123" s="273" t="s">
        <v>1013</v>
      </c>
      <c r="AD123" s="517"/>
      <c r="AE123" s="518"/>
      <c r="AF123" s="518"/>
      <c r="AG123" s="518"/>
      <c r="AH123" s="519"/>
      <c r="AI123" s="517"/>
      <c r="AJ123" s="517"/>
      <c r="AK123" s="517"/>
      <c r="AL123" s="517"/>
      <c r="AM123" s="517"/>
      <c r="AN123" s="517"/>
      <c r="AO123" s="517"/>
      <c r="AP123" s="564" t="s">
        <v>818</v>
      </c>
    </row>
    <row r="124">
      <c r="A124" s="118" t="s">
        <v>1163</v>
      </c>
      <c r="B124" s="26"/>
      <c r="C124" s="187"/>
      <c r="D124" s="107"/>
      <c r="E124" s="158" t="s">
        <v>291</v>
      </c>
      <c r="F124" s="159" t="s">
        <v>1122</v>
      </c>
      <c r="G124" s="159" t="s">
        <v>834</v>
      </c>
      <c r="H124" s="159" t="s">
        <v>831</v>
      </c>
      <c r="I124" s="161" t="s">
        <v>296</v>
      </c>
      <c r="J124" s="485">
        <v>45989.0</v>
      </c>
      <c r="K124" s="484">
        <v>46173.0</v>
      </c>
      <c r="L124" s="166">
        <f t="shared" si="41"/>
        <v>0.4648024794</v>
      </c>
      <c r="M124" s="168">
        <v>2.250784009E7</v>
      </c>
      <c r="N124" s="559">
        <v>3333675.96</v>
      </c>
      <c r="O124" s="559"/>
      <c r="P124" s="559">
        <v>5432273.32</v>
      </c>
      <c r="Q124" s="560"/>
      <c r="R124" s="561"/>
      <c r="S124" s="559"/>
      <c r="T124" s="168">
        <f t="shared" si="53"/>
        <v>10461699.88</v>
      </c>
      <c r="U124" s="175">
        <v>0.0</v>
      </c>
      <c r="V124" s="175">
        <v>1573860.6</v>
      </c>
      <c r="W124" s="175">
        <v>1722190.52</v>
      </c>
      <c r="X124" s="175"/>
      <c r="Y124" s="175">
        <v>4449116.42</v>
      </c>
      <c r="Z124" s="175">
        <f>SUMIF('08.26'!$J$4:$J$1000,$F124,'08.26'!$M$4:$M$1000)</f>
        <v>381225.34</v>
      </c>
      <c r="AA124" s="175">
        <v>2335307.0</v>
      </c>
      <c r="AB124" s="175"/>
      <c r="AC124" s="526" t="s">
        <v>1122</v>
      </c>
      <c r="AD124" s="276"/>
      <c r="AE124" s="528"/>
      <c r="AF124" s="528"/>
      <c r="AG124" s="528"/>
      <c r="AH124" s="529"/>
      <c r="AI124" s="276"/>
      <c r="AJ124" s="276"/>
      <c r="AK124" s="276"/>
      <c r="AL124" s="276"/>
      <c r="AM124" s="276"/>
      <c r="AN124" s="276"/>
      <c r="AO124" s="276"/>
      <c r="AP124" s="565" t="s">
        <v>824</v>
      </c>
    </row>
    <row r="125">
      <c r="A125" s="118" t="s">
        <v>1163</v>
      </c>
      <c r="B125" s="492" t="s">
        <v>867</v>
      </c>
      <c r="C125" s="494" t="s">
        <v>134</v>
      </c>
      <c r="D125" s="494" t="s">
        <v>71</v>
      </c>
      <c r="E125" s="121"/>
      <c r="F125" s="122"/>
      <c r="G125" s="122"/>
      <c r="H125" s="122"/>
      <c r="I125" s="123"/>
      <c r="J125" s="124"/>
      <c r="K125" s="125"/>
      <c r="L125" s="129">
        <f t="shared" si="41"/>
        <v>0.9401807722</v>
      </c>
      <c r="M125" s="132">
        <f t="shared" ref="M125:S125" si="56">M126+M127+M128</f>
        <v>81067813.67</v>
      </c>
      <c r="N125" s="551">
        <f t="shared" si="56"/>
        <v>82862536.65</v>
      </c>
      <c r="O125" s="551">
        <f t="shared" si="56"/>
        <v>0</v>
      </c>
      <c r="P125" s="551">
        <f t="shared" si="56"/>
        <v>0</v>
      </c>
      <c r="Q125" s="552">
        <f t="shared" si="56"/>
        <v>0</v>
      </c>
      <c r="R125" s="553">
        <f t="shared" si="56"/>
        <v>0</v>
      </c>
      <c r="S125" s="551">
        <f t="shared" si="56"/>
        <v>0</v>
      </c>
      <c r="T125" s="132">
        <f t="shared" si="53"/>
        <v>76218399.66</v>
      </c>
      <c r="U125" s="133">
        <f t="shared" ref="U125:AB125" si="57">U126+U127+U128</f>
        <v>68246995.53</v>
      </c>
      <c r="V125" s="109">
        <f t="shared" si="57"/>
        <v>1450494.53</v>
      </c>
      <c r="W125" s="109">
        <f t="shared" si="57"/>
        <v>1450494.53</v>
      </c>
      <c r="X125" s="109">
        <f t="shared" si="57"/>
        <v>1450494.53</v>
      </c>
      <c r="Y125" s="140">
        <f t="shared" si="57"/>
        <v>0</v>
      </c>
      <c r="Z125" s="140">
        <f t="shared" si="57"/>
        <v>2413280.36</v>
      </c>
      <c r="AA125" s="140">
        <f t="shared" si="57"/>
        <v>1206640.18</v>
      </c>
      <c r="AB125" s="133">
        <f t="shared" si="57"/>
        <v>0</v>
      </c>
      <c r="AC125" s="215" t="s">
        <v>134</v>
      </c>
      <c r="AD125" s="206" t="s">
        <v>847</v>
      </c>
      <c r="AE125" s="216"/>
      <c r="AF125" s="216"/>
      <c r="AG125" s="216"/>
      <c r="AH125" s="217"/>
      <c r="AI125" s="206"/>
      <c r="AJ125" s="206"/>
      <c r="AK125" s="206"/>
      <c r="AL125" s="206"/>
      <c r="AM125" s="206"/>
      <c r="AN125" s="206"/>
      <c r="AO125" s="206"/>
      <c r="AP125" s="544"/>
    </row>
    <row r="126" ht="18.75" customHeight="1">
      <c r="A126" s="118" t="s">
        <v>1163</v>
      </c>
      <c r="B126" s="148" t="s">
        <v>871</v>
      </c>
      <c r="C126" s="151" t="s">
        <v>849</v>
      </c>
      <c r="D126" s="154"/>
      <c r="E126" s="158" t="s">
        <v>291</v>
      </c>
      <c r="F126" s="159" t="s">
        <v>916</v>
      </c>
      <c r="G126" s="159" t="s">
        <v>851</v>
      </c>
      <c r="H126" s="159" t="s">
        <v>852</v>
      </c>
      <c r="I126" s="161" t="s">
        <v>322</v>
      </c>
      <c r="J126" s="484">
        <v>45292.0</v>
      </c>
      <c r="K126" s="484">
        <v>46203.0</v>
      </c>
      <c r="L126" s="166">
        <f t="shared" si="41"/>
        <v>0.9514019286</v>
      </c>
      <c r="M126" s="168">
        <v>4.995622112E7</v>
      </c>
      <c r="N126" s="559">
        <v>4.633630058E7</v>
      </c>
      <c r="O126" s="559"/>
      <c r="P126" s="559"/>
      <c r="Q126" s="560"/>
      <c r="R126" s="561"/>
      <c r="S126" s="559"/>
      <c r="T126" s="168">
        <f t="shared" si="53"/>
        <v>47528445.12</v>
      </c>
      <c r="U126" s="175">
        <v>3.955704099E7</v>
      </c>
      <c r="V126" s="175">
        <v>1450494.53</v>
      </c>
      <c r="W126" s="175">
        <v>1450494.53</v>
      </c>
      <c r="X126" s="175">
        <v>1450494.53</v>
      </c>
      <c r="Y126" s="175">
        <f>SUMIF('07.26'!$J$4:$J$1000,$F126,'07.26'!$M$4:$M$1000)</f>
        <v>0</v>
      </c>
      <c r="Z126" s="175">
        <f>SUMIF('08.26'!$J$4:$J$1000,$F126,'08.26'!$M$4:$M$1000)</f>
        <v>2413280.36</v>
      </c>
      <c r="AA126" s="175">
        <f>SUMIF('09.26'!$J$4:$J$1429,$F126,'09.26'!$M$4:$M$1429)</f>
        <v>1206640.18</v>
      </c>
      <c r="AB126" s="175"/>
      <c r="AC126" s="273" t="s">
        <v>916</v>
      </c>
      <c r="AD126" s="517"/>
      <c r="AE126" s="518"/>
      <c r="AF126" s="518"/>
      <c r="AG126" s="518"/>
      <c r="AH126" s="519"/>
      <c r="AI126" s="517"/>
      <c r="AJ126" s="517"/>
      <c r="AK126" s="517"/>
      <c r="AL126" s="517"/>
      <c r="AM126" s="517"/>
      <c r="AN126" s="517"/>
      <c r="AO126" s="517"/>
      <c r="AP126" s="564" t="s">
        <v>818</v>
      </c>
    </row>
    <row r="127" ht="18.75" customHeight="1">
      <c r="A127" s="118" t="s">
        <v>1163</v>
      </c>
      <c r="B127" s="26"/>
      <c r="C127" s="187"/>
      <c r="D127" s="107"/>
      <c r="E127" s="158" t="s">
        <v>337</v>
      </c>
      <c r="F127" s="159" t="s">
        <v>1185</v>
      </c>
      <c r="G127" s="159" t="s">
        <v>858</v>
      </c>
      <c r="H127" s="159" t="s">
        <v>852</v>
      </c>
      <c r="I127" s="161" t="s">
        <v>296</v>
      </c>
      <c r="J127" s="485">
        <v>44864.0</v>
      </c>
      <c r="K127" s="161" t="s">
        <v>374</v>
      </c>
      <c r="L127" s="166">
        <f t="shared" si="41"/>
        <v>1</v>
      </c>
      <c r="M127" s="168">
        <v>1.788881407E7</v>
      </c>
      <c r="N127" s="559">
        <v>2.412588995E7</v>
      </c>
      <c r="O127" s="559"/>
      <c r="P127" s="559"/>
      <c r="Q127" s="560"/>
      <c r="R127" s="561"/>
      <c r="S127" s="559"/>
      <c r="T127" s="168">
        <f t="shared" si="53"/>
        <v>17888814.07</v>
      </c>
      <c r="U127" s="175">
        <v>1.788881407E7</v>
      </c>
      <c r="V127" s="175"/>
      <c r="W127" s="175"/>
      <c r="X127" s="175"/>
      <c r="Y127" s="175">
        <f>SUMIF('07.26'!$J$4:$J$1000,$F127,'07.26'!$M$4:$M$1000)</f>
        <v>0</v>
      </c>
      <c r="Z127" s="175">
        <f>SUMIF('08.26'!$J$4:$J$1000,$F127,'08.26'!$M$4:$M$1000)</f>
        <v>0</v>
      </c>
      <c r="AA127" s="175">
        <f>SUMIF('09.26'!$J$4:$J$1429,$F127,'09.26'!$M$4:$M$1429)</f>
        <v>0</v>
      </c>
      <c r="AB127" s="175"/>
      <c r="AC127" s="526" t="s">
        <v>1185</v>
      </c>
      <c r="AD127" s="276"/>
      <c r="AE127" s="528"/>
      <c r="AF127" s="528"/>
      <c r="AG127" s="528"/>
      <c r="AH127" s="529"/>
      <c r="AI127" s="276"/>
      <c r="AJ127" s="276"/>
      <c r="AK127" s="276"/>
      <c r="AL127" s="276"/>
      <c r="AM127" s="276"/>
      <c r="AN127" s="276"/>
      <c r="AO127" s="276"/>
      <c r="AP127" s="565"/>
    </row>
    <row r="128" ht="18.75" customHeight="1">
      <c r="A128" s="118" t="s">
        <v>1163</v>
      </c>
      <c r="B128" s="201" t="s">
        <v>1186</v>
      </c>
      <c r="C128" s="202" t="s">
        <v>861</v>
      </c>
      <c r="D128" s="14"/>
      <c r="E128" s="158" t="s">
        <v>291</v>
      </c>
      <c r="F128" s="159" t="s">
        <v>1187</v>
      </c>
      <c r="G128" s="159" t="s">
        <v>864</v>
      </c>
      <c r="H128" s="159" t="s">
        <v>865</v>
      </c>
      <c r="I128" s="161" t="s">
        <v>296</v>
      </c>
      <c r="J128" s="484">
        <v>45033.0</v>
      </c>
      <c r="K128" s="161" t="s">
        <v>1188</v>
      </c>
      <c r="L128" s="166">
        <f t="shared" si="41"/>
        <v>0.8168586115</v>
      </c>
      <c r="M128" s="168">
        <v>1.322277848E7</v>
      </c>
      <c r="N128" s="559">
        <v>1.240034612E7</v>
      </c>
      <c r="O128" s="559"/>
      <c r="P128" s="559"/>
      <c r="Q128" s="560"/>
      <c r="R128" s="561"/>
      <c r="S128" s="559"/>
      <c r="T128" s="168">
        <f t="shared" si="53"/>
        <v>10801140.47</v>
      </c>
      <c r="U128" s="175">
        <v>1.080114047E7</v>
      </c>
      <c r="V128" s="175"/>
      <c r="W128" s="175"/>
      <c r="X128" s="175"/>
      <c r="Y128" s="175">
        <f>SUMIF('07.26'!$J$4:$J$1000,$F128,'07.26'!$M$4:$M$1000)</f>
        <v>0</v>
      </c>
      <c r="Z128" s="175">
        <f>SUMIF('08.26'!$J$4:$J$1000,$F128,'08.26'!$M$4:$M$1000)</f>
        <v>0</v>
      </c>
      <c r="AA128" s="175">
        <f>SUMIF('09.26'!$J$4:$J$1429,$F128,'09.26'!$M$4:$M$1429)</f>
        <v>0</v>
      </c>
      <c r="AB128" s="175"/>
      <c r="AC128" s="526" t="s">
        <v>1187</v>
      </c>
      <c r="AD128" s="276"/>
      <c r="AE128" s="528"/>
      <c r="AF128" s="528"/>
      <c r="AG128" s="528"/>
      <c r="AH128" s="529"/>
      <c r="AI128" s="276"/>
      <c r="AJ128" s="276"/>
      <c r="AK128" s="276"/>
      <c r="AL128" s="276"/>
      <c r="AM128" s="276"/>
      <c r="AN128" s="276"/>
      <c r="AO128" s="276"/>
      <c r="AP128" s="565"/>
    </row>
    <row r="129">
      <c r="A129" s="118" t="s">
        <v>1163</v>
      </c>
      <c r="B129" s="492" t="s">
        <v>883</v>
      </c>
      <c r="C129" s="494" t="s">
        <v>167</v>
      </c>
      <c r="D129" s="496" t="s">
        <v>161</v>
      </c>
      <c r="E129" s="121"/>
      <c r="F129" s="122"/>
      <c r="G129" s="122"/>
      <c r="H129" s="122"/>
      <c r="I129" s="123"/>
      <c r="J129" s="124"/>
      <c r="K129" s="125"/>
      <c r="L129" s="129">
        <f t="shared" si="41"/>
        <v>0.8775822853</v>
      </c>
      <c r="M129" s="132">
        <f t="shared" ref="M129:S129" si="58">M131+M130</f>
        <v>32168937.16</v>
      </c>
      <c r="N129" s="551">
        <f t="shared" si="58"/>
        <v>32168937.16</v>
      </c>
      <c r="O129" s="551">
        <f t="shared" si="58"/>
        <v>0</v>
      </c>
      <c r="P129" s="551">
        <f t="shared" si="58"/>
        <v>0</v>
      </c>
      <c r="Q129" s="552">
        <f t="shared" si="58"/>
        <v>0</v>
      </c>
      <c r="R129" s="553">
        <f t="shared" si="58"/>
        <v>0</v>
      </c>
      <c r="S129" s="551">
        <f t="shared" si="58"/>
        <v>0</v>
      </c>
      <c r="T129" s="132">
        <f t="shared" si="53"/>
        <v>28230889.39</v>
      </c>
      <c r="U129" s="133">
        <f t="shared" ref="U129:AB129" si="59">U131+U130</f>
        <v>20780719.51</v>
      </c>
      <c r="V129" s="109">
        <f t="shared" si="59"/>
        <v>1052620.84</v>
      </c>
      <c r="W129" s="109">
        <f t="shared" si="59"/>
        <v>1052620.84</v>
      </c>
      <c r="X129" s="109">
        <f t="shared" si="59"/>
        <v>1052620.84</v>
      </c>
      <c r="Y129" s="140">
        <f t="shared" si="59"/>
        <v>1052620.84</v>
      </c>
      <c r="Z129" s="140">
        <f t="shared" si="59"/>
        <v>2026764.19</v>
      </c>
      <c r="AA129" s="140">
        <f t="shared" si="59"/>
        <v>1212922.33</v>
      </c>
      <c r="AB129" s="133">
        <f t="shared" si="59"/>
        <v>0</v>
      </c>
      <c r="AC129" s="215" t="s">
        <v>167</v>
      </c>
      <c r="AD129" s="206" t="s">
        <v>847</v>
      </c>
      <c r="AE129" s="216"/>
      <c r="AF129" s="216"/>
      <c r="AG129" s="216"/>
      <c r="AH129" s="217"/>
      <c r="AI129" s="206"/>
      <c r="AJ129" s="206"/>
      <c r="AK129" s="206"/>
      <c r="AL129" s="206"/>
      <c r="AM129" s="206"/>
      <c r="AN129" s="206"/>
      <c r="AO129" s="206"/>
      <c r="AP129" s="544"/>
    </row>
    <row r="130" ht="18.75" customHeight="1">
      <c r="A130" s="118" t="s">
        <v>1163</v>
      </c>
      <c r="B130" s="148" t="s">
        <v>888</v>
      </c>
      <c r="C130" s="151" t="s">
        <v>872</v>
      </c>
      <c r="D130" s="154"/>
      <c r="E130" s="158" t="s">
        <v>291</v>
      </c>
      <c r="F130" s="159" t="s">
        <v>832</v>
      </c>
      <c r="G130" s="159" t="s">
        <v>874</v>
      </c>
      <c r="H130" s="159" t="s">
        <v>875</v>
      </c>
      <c r="I130" s="161" t="s">
        <v>322</v>
      </c>
      <c r="J130" s="484">
        <v>45658.0</v>
      </c>
      <c r="K130" s="485">
        <v>46387.0</v>
      </c>
      <c r="L130" s="166">
        <f t="shared" si="41"/>
        <v>0.8710490589</v>
      </c>
      <c r="M130" s="168">
        <f t="shared" ref="M130:M131" si="60">MAX(N130:R130)</f>
        <v>30539116.16</v>
      </c>
      <c r="N130" s="559">
        <v>3.053911616E7</v>
      </c>
      <c r="O130" s="559"/>
      <c r="P130" s="559"/>
      <c r="Q130" s="560"/>
      <c r="R130" s="561"/>
      <c r="S130" s="559"/>
      <c r="T130" s="168">
        <f t="shared" si="53"/>
        <v>26601068.39</v>
      </c>
      <c r="U130" s="175">
        <v>1.996474037E7</v>
      </c>
      <c r="V130" s="175">
        <v>1052620.84</v>
      </c>
      <c r="W130" s="175">
        <v>1052620.84</v>
      </c>
      <c r="X130" s="175">
        <v>1052620.84</v>
      </c>
      <c r="Y130" s="175">
        <f>SUMIF('07.26'!$J$4:$J$1000,$F130,'07.26'!$M$4:$M$1000)</f>
        <v>1052620.84</v>
      </c>
      <c r="Z130" s="175">
        <f>SUMIF('08.26'!$J$4:$J$1000,$F130,'08.26'!$M$4:$M$1000)</f>
        <v>1212922.33</v>
      </c>
      <c r="AA130" s="175">
        <f>SUMIF('09.26'!$J$4:$J$1429,$F130,'09.26'!$M$4:$M$1429)</f>
        <v>1212922.33</v>
      </c>
      <c r="AB130" s="175"/>
      <c r="AC130" s="526" t="s">
        <v>832</v>
      </c>
      <c r="AD130" s="276"/>
      <c r="AE130" s="528"/>
      <c r="AF130" s="528"/>
      <c r="AG130" s="528"/>
      <c r="AH130" s="529"/>
      <c r="AI130" s="276"/>
      <c r="AJ130" s="276"/>
      <c r="AK130" s="276"/>
      <c r="AL130" s="276"/>
      <c r="AM130" s="276"/>
      <c r="AN130" s="276"/>
      <c r="AO130" s="276"/>
      <c r="AP130" s="565"/>
    </row>
    <row r="131" ht="18.75" customHeight="1">
      <c r="A131" s="118" t="s">
        <v>1163</v>
      </c>
      <c r="B131" s="26"/>
      <c r="C131" s="187"/>
      <c r="D131" s="107"/>
      <c r="E131" s="158" t="s">
        <v>291</v>
      </c>
      <c r="F131" s="159" t="s">
        <v>1002</v>
      </c>
      <c r="G131" s="159" t="s">
        <v>878</v>
      </c>
      <c r="H131" s="159" t="s">
        <v>875</v>
      </c>
      <c r="I131" s="161" t="s">
        <v>879</v>
      </c>
      <c r="J131" s="484">
        <v>45912.0</v>
      </c>
      <c r="K131" s="161" t="s">
        <v>374</v>
      </c>
      <c r="L131" s="166">
        <f t="shared" si="41"/>
        <v>1</v>
      </c>
      <c r="M131" s="168">
        <f t="shared" si="60"/>
        <v>1629821</v>
      </c>
      <c r="N131" s="559">
        <v>1629821.0</v>
      </c>
      <c r="O131" s="559"/>
      <c r="P131" s="559"/>
      <c r="Q131" s="560"/>
      <c r="R131" s="561"/>
      <c r="S131" s="559"/>
      <c r="T131" s="168">
        <f t="shared" si="53"/>
        <v>1629821</v>
      </c>
      <c r="U131" s="175">
        <v>815979.14</v>
      </c>
      <c r="V131" s="175"/>
      <c r="W131" s="175"/>
      <c r="X131" s="175"/>
      <c r="Y131" s="175">
        <f>SUMIF('07.26'!$J$4:$J$1000,$F131,'07.26'!$M$4:$M$1000)</f>
        <v>0</v>
      </c>
      <c r="Z131" s="175">
        <f>SUMIF('08.26'!$J$4:$J$1000,$F131,'08.26'!$M$4:$M$1000)</f>
        <v>813841.86</v>
      </c>
      <c r="AA131" s="175">
        <f>SUMIF('09.26'!$J$4:$J$1429,$F131,'09.26'!$M$4:$M$1429)</f>
        <v>0</v>
      </c>
      <c r="AB131" s="175"/>
      <c r="AC131" s="526" t="s">
        <v>1002</v>
      </c>
      <c r="AD131" s="276"/>
      <c r="AE131" s="528"/>
      <c r="AF131" s="528"/>
      <c r="AG131" s="528"/>
      <c r="AH131" s="529"/>
      <c r="AI131" s="276"/>
      <c r="AJ131" s="276"/>
      <c r="AK131" s="276"/>
      <c r="AL131" s="276"/>
      <c r="AM131" s="276"/>
      <c r="AN131" s="276"/>
      <c r="AO131" s="276"/>
      <c r="AP131" s="565"/>
    </row>
    <row r="132">
      <c r="A132" s="118" t="s">
        <v>1163</v>
      </c>
      <c r="B132" s="492" t="s">
        <v>917</v>
      </c>
      <c r="C132" s="494" t="s">
        <v>252</v>
      </c>
      <c r="D132" s="494" t="s">
        <v>102</v>
      </c>
      <c r="E132" s="121"/>
      <c r="F132" s="122"/>
      <c r="G132" s="122"/>
      <c r="H132" s="122"/>
      <c r="I132" s="123"/>
      <c r="J132" s="124"/>
      <c r="K132" s="125"/>
      <c r="L132" s="129">
        <f t="shared" si="41"/>
        <v>0.6611433818</v>
      </c>
      <c r="M132" s="132">
        <f t="shared" ref="M132:S132" si="61">M133+M134+M135+M136</f>
        <v>72677181.78</v>
      </c>
      <c r="N132" s="551">
        <f t="shared" si="61"/>
        <v>66720957.49</v>
      </c>
      <c r="O132" s="551">
        <f t="shared" si="61"/>
        <v>0</v>
      </c>
      <c r="P132" s="551">
        <f t="shared" si="61"/>
        <v>0</v>
      </c>
      <c r="Q132" s="552">
        <f t="shared" si="61"/>
        <v>0</v>
      </c>
      <c r="R132" s="553">
        <f t="shared" si="61"/>
        <v>0</v>
      </c>
      <c r="S132" s="551">
        <f t="shared" si="61"/>
        <v>0</v>
      </c>
      <c r="T132" s="132">
        <f t="shared" si="53"/>
        <v>48050037.74</v>
      </c>
      <c r="U132" s="133">
        <f t="shared" ref="U132:AB132" si="62">U133+U134+U135+U136</f>
        <v>36951128.41</v>
      </c>
      <c r="V132" s="109">
        <f t="shared" si="62"/>
        <v>1267972.08</v>
      </c>
      <c r="W132" s="109">
        <f t="shared" si="62"/>
        <v>1418100.08</v>
      </c>
      <c r="X132" s="109">
        <f t="shared" si="62"/>
        <v>962212.47</v>
      </c>
      <c r="Y132" s="140">
        <f t="shared" si="62"/>
        <v>1051023.09</v>
      </c>
      <c r="Z132" s="140">
        <f t="shared" si="62"/>
        <v>5131629.53</v>
      </c>
      <c r="AA132" s="140">
        <f t="shared" si="62"/>
        <v>1267972.08</v>
      </c>
      <c r="AB132" s="133">
        <f t="shared" si="62"/>
        <v>0</v>
      </c>
      <c r="AC132" s="215" t="s">
        <v>252</v>
      </c>
      <c r="AD132" s="206" t="s">
        <v>847</v>
      </c>
      <c r="AE132" s="216"/>
      <c r="AF132" s="216"/>
      <c r="AG132" s="216"/>
      <c r="AH132" s="217"/>
      <c r="AI132" s="206"/>
      <c r="AJ132" s="206"/>
      <c r="AK132" s="206"/>
      <c r="AL132" s="206"/>
      <c r="AM132" s="206"/>
      <c r="AN132" s="206"/>
      <c r="AO132" s="206"/>
      <c r="AP132" s="544"/>
    </row>
    <row r="133" ht="18.75" customHeight="1">
      <c r="A133" s="118" t="s">
        <v>1163</v>
      </c>
      <c r="B133" s="148" t="s">
        <v>926</v>
      </c>
      <c r="C133" s="151" t="s">
        <v>889</v>
      </c>
      <c r="D133" s="154"/>
      <c r="E133" s="158" t="s">
        <v>291</v>
      </c>
      <c r="F133" s="159" t="s">
        <v>1153</v>
      </c>
      <c r="G133" s="159" t="s">
        <v>892</v>
      </c>
      <c r="H133" s="159" t="s">
        <v>893</v>
      </c>
      <c r="I133" s="161" t="s">
        <v>322</v>
      </c>
      <c r="J133" s="484">
        <v>45870.0</v>
      </c>
      <c r="K133" s="484">
        <v>46173.0</v>
      </c>
      <c r="L133" s="166">
        <f t="shared" si="41"/>
        <v>0.9910321302</v>
      </c>
      <c r="M133" s="168">
        <v>1.735435877E7</v>
      </c>
      <c r="N133" s="559">
        <v>1.33948109E7</v>
      </c>
      <c r="O133" s="559"/>
      <c r="P133" s="559"/>
      <c r="Q133" s="560"/>
      <c r="R133" s="561"/>
      <c r="S133" s="559"/>
      <c r="T133" s="168">
        <f t="shared" si="53"/>
        <v>17198727.14</v>
      </c>
      <c r="U133" s="175">
        <v>9746526.27</v>
      </c>
      <c r="V133" s="175">
        <v>1267972.08</v>
      </c>
      <c r="W133" s="175">
        <v>1418100.08</v>
      </c>
      <c r="X133" s="175">
        <v>962212.47</v>
      </c>
      <c r="Y133" s="175">
        <f>SUMIF('07.26'!$J$4:$J$1000,$F133,'07.26'!$M$4:$M$1000)</f>
        <v>0</v>
      </c>
      <c r="Z133" s="175">
        <f>SUMIF('08.26'!$J$4:$J$1000,$F133,'08.26'!$M$4:$M$1000)</f>
        <v>2535944.16</v>
      </c>
      <c r="AA133" s="175">
        <f>SUMIF('09.26'!$J$4:$J$1429,$F133,'09.26'!$M$4:$M$1429)</f>
        <v>1267972.08</v>
      </c>
      <c r="AB133" s="175"/>
      <c r="AC133" s="526" t="s">
        <v>1153</v>
      </c>
      <c r="AD133" s="276"/>
      <c r="AE133" s="528"/>
      <c r="AF133" s="528"/>
      <c r="AG133" s="528"/>
      <c r="AH133" s="529"/>
      <c r="AI133" s="276"/>
      <c r="AJ133" s="276"/>
      <c r="AK133" s="276"/>
      <c r="AL133" s="276"/>
      <c r="AM133" s="276"/>
      <c r="AN133" s="276"/>
      <c r="AO133" s="276"/>
      <c r="AP133" s="565"/>
    </row>
    <row r="134" ht="18.75" customHeight="1">
      <c r="A134" s="118" t="s">
        <v>1163</v>
      </c>
      <c r="B134" s="26"/>
      <c r="C134" s="187"/>
      <c r="D134" s="107"/>
      <c r="E134" s="158" t="s">
        <v>291</v>
      </c>
      <c r="F134" s="159" t="s">
        <v>1130</v>
      </c>
      <c r="G134" s="159" t="s">
        <v>900</v>
      </c>
      <c r="H134" s="159" t="s">
        <v>893</v>
      </c>
      <c r="I134" s="161" t="s">
        <v>296</v>
      </c>
      <c r="J134" s="484">
        <v>45058.0</v>
      </c>
      <c r="K134" s="161" t="s">
        <v>374</v>
      </c>
      <c r="L134" s="166">
        <f t="shared" si="41"/>
        <v>0.6654213659</v>
      </c>
      <c r="M134" s="168">
        <v>2.977173595E7</v>
      </c>
      <c r="N134" s="559">
        <v>2.777505953E7</v>
      </c>
      <c r="O134" s="559"/>
      <c r="P134" s="559"/>
      <c r="Q134" s="560"/>
      <c r="R134" s="561"/>
      <c r="S134" s="559"/>
      <c r="T134" s="168">
        <f t="shared" si="53"/>
        <v>19810749.2</v>
      </c>
      <c r="U134" s="175">
        <v>1.779220447E7</v>
      </c>
      <c r="V134" s="175"/>
      <c r="W134" s="175"/>
      <c r="X134" s="175"/>
      <c r="Y134" s="175">
        <v>218908.79</v>
      </c>
      <c r="Z134" s="175">
        <f>SUMIF('08.26'!$J$4:$J$1000,$F134,'08.26'!$M$4:$M$1000)</f>
        <v>1799635.94</v>
      </c>
      <c r="AA134" s="175">
        <f>SUMIF('09.26'!$J$4:$J$1429,$F134,'09.26'!$M$4:$M$1429)</f>
        <v>0</v>
      </c>
      <c r="AB134" s="175"/>
      <c r="AC134" s="526" t="s">
        <v>1130</v>
      </c>
      <c r="AD134" s="276"/>
      <c r="AE134" s="528"/>
      <c r="AF134" s="528"/>
      <c r="AG134" s="528"/>
      <c r="AH134" s="529"/>
      <c r="AI134" s="276"/>
      <c r="AJ134" s="276"/>
      <c r="AK134" s="276"/>
      <c r="AL134" s="276"/>
      <c r="AM134" s="276"/>
      <c r="AN134" s="276"/>
      <c r="AO134" s="276"/>
      <c r="AP134" s="565"/>
    </row>
    <row r="135" ht="18.75" customHeight="1">
      <c r="A135" s="118" t="s">
        <v>1163</v>
      </c>
      <c r="B135" s="148" t="s">
        <v>953</v>
      </c>
      <c r="C135" s="151" t="s">
        <v>904</v>
      </c>
      <c r="D135" s="154"/>
      <c r="E135" s="158" t="s">
        <v>291</v>
      </c>
      <c r="F135" s="159" t="s">
        <v>1134</v>
      </c>
      <c r="G135" s="159" t="s">
        <v>908</v>
      </c>
      <c r="H135" s="159" t="s">
        <v>909</v>
      </c>
      <c r="I135" s="161" t="s">
        <v>296</v>
      </c>
      <c r="J135" s="484">
        <v>45323.0</v>
      </c>
      <c r="K135" s="161" t="s">
        <v>374</v>
      </c>
      <c r="L135" s="166">
        <f t="shared" si="41"/>
        <v>0.4491661913</v>
      </c>
      <c r="M135" s="168">
        <f t="shared" ref="M135:M136" si="63">MAX(N135:R135)</f>
        <v>11137336.64</v>
      </c>
      <c r="N135" s="559">
        <v>1.113733664E7</v>
      </c>
      <c r="O135" s="559"/>
      <c r="P135" s="559"/>
      <c r="Q135" s="560"/>
      <c r="R135" s="561"/>
      <c r="S135" s="559"/>
      <c r="T135" s="168">
        <f t="shared" si="53"/>
        <v>5002515.08</v>
      </c>
      <c r="U135" s="175">
        <v>3374351.35</v>
      </c>
      <c r="V135" s="175"/>
      <c r="W135" s="175"/>
      <c r="X135" s="175"/>
      <c r="Y135" s="175">
        <f>SUMIF('07.26'!$J$4:$J$1000,$F135,'07.26'!$M$4:$M$1000)</f>
        <v>832114.3</v>
      </c>
      <c r="Z135" s="175">
        <f>SUMIF('08.26'!$J$4:$J$1000,$F135,'08.26'!$M$4:$M$1000)</f>
        <v>796049.43</v>
      </c>
      <c r="AA135" s="175">
        <f>SUMIF('09.26'!$J$4:$J$1429,$F135,'09.26'!$M$4:$M$1429)</f>
        <v>0</v>
      </c>
      <c r="AB135" s="175"/>
      <c r="AC135" s="526" t="s">
        <v>1134</v>
      </c>
      <c r="AD135" s="276"/>
      <c r="AE135" s="528"/>
      <c r="AF135" s="528"/>
      <c r="AG135" s="528"/>
      <c r="AH135" s="529"/>
      <c r="AI135" s="276"/>
      <c r="AJ135" s="276"/>
      <c r="AK135" s="276"/>
      <c r="AL135" s="276"/>
      <c r="AM135" s="276"/>
      <c r="AN135" s="276"/>
      <c r="AO135" s="276"/>
      <c r="AP135" s="565"/>
    </row>
    <row r="136">
      <c r="A136" s="118" t="s">
        <v>1163</v>
      </c>
      <c r="B136" s="26"/>
      <c r="C136" s="187"/>
      <c r="D136" s="107"/>
      <c r="E136" s="158" t="s">
        <v>291</v>
      </c>
      <c r="F136" s="159" t="s">
        <v>1189</v>
      </c>
      <c r="G136" s="159" t="s">
        <v>914</v>
      </c>
      <c r="H136" s="159" t="s">
        <v>909</v>
      </c>
      <c r="I136" s="161" t="s">
        <v>296</v>
      </c>
      <c r="J136" s="485">
        <v>44893.0</v>
      </c>
      <c r="K136" s="161" t="s">
        <v>374</v>
      </c>
      <c r="L136" s="166">
        <f t="shared" si="41"/>
        <v>0.4189087603</v>
      </c>
      <c r="M136" s="168">
        <f t="shared" si="63"/>
        <v>14413750.42</v>
      </c>
      <c r="N136" s="559">
        <v>1.441375042E7</v>
      </c>
      <c r="O136" s="559"/>
      <c r="P136" s="559"/>
      <c r="Q136" s="560"/>
      <c r="R136" s="561"/>
      <c r="S136" s="559"/>
      <c r="T136" s="168">
        <f t="shared" si="53"/>
        <v>6038046.32</v>
      </c>
      <c r="U136" s="175">
        <v>6038046.32</v>
      </c>
      <c r="V136" s="175"/>
      <c r="W136" s="175"/>
      <c r="X136" s="175"/>
      <c r="Y136" s="175">
        <f>SUMIF('07.26'!$J$4:$J$1000,$F136,'07.26'!$M$4:$M$1000)</f>
        <v>0</v>
      </c>
      <c r="Z136" s="175">
        <f>SUMIF('08.26'!$J$4:$J$1000,$F136,'08.26'!$M$4:$M$1000)</f>
        <v>0</v>
      </c>
      <c r="AA136" s="175">
        <f>SUMIF('09.26'!$J$4:$J$1429,$F136,'09.26'!$M$4:$M$1429)</f>
        <v>0</v>
      </c>
      <c r="AB136" s="175"/>
      <c r="AC136" s="526" t="s">
        <v>1189</v>
      </c>
      <c r="AD136" s="276"/>
      <c r="AE136" s="528"/>
      <c r="AF136" s="528"/>
      <c r="AG136" s="528"/>
      <c r="AH136" s="529"/>
      <c r="AI136" s="276"/>
      <c r="AJ136" s="276"/>
      <c r="AK136" s="276"/>
      <c r="AL136" s="276"/>
      <c r="AM136" s="276"/>
      <c r="AN136" s="276"/>
      <c r="AO136" s="276"/>
      <c r="AP136" s="565"/>
    </row>
    <row r="137">
      <c r="A137" s="118" t="s">
        <v>1163</v>
      </c>
      <c r="B137" s="492" t="s">
        <v>971</v>
      </c>
      <c r="C137" s="494" t="s">
        <v>98</v>
      </c>
      <c r="D137" s="494" t="s">
        <v>102</v>
      </c>
      <c r="E137" s="121"/>
      <c r="F137" s="122"/>
      <c r="G137" s="122"/>
      <c r="H137" s="122"/>
      <c r="I137" s="123"/>
      <c r="J137" s="124"/>
      <c r="K137" s="125"/>
      <c r="L137" s="129">
        <f t="shared" si="41"/>
        <v>0.6188302268</v>
      </c>
      <c r="M137" s="132">
        <f t="shared" ref="M137:S137" si="64">M138+M139+M140+M143+M144+M145+M146+M147+M141+M142</f>
        <v>176953006</v>
      </c>
      <c r="N137" s="551">
        <f t="shared" si="64"/>
        <v>167854572.5</v>
      </c>
      <c r="O137" s="551">
        <f t="shared" si="64"/>
        <v>2293461.5</v>
      </c>
      <c r="P137" s="551">
        <f t="shared" si="64"/>
        <v>0</v>
      </c>
      <c r="Q137" s="552">
        <f t="shared" si="64"/>
        <v>0</v>
      </c>
      <c r="R137" s="553">
        <f t="shared" si="64"/>
        <v>0</v>
      </c>
      <c r="S137" s="551">
        <f t="shared" si="64"/>
        <v>0</v>
      </c>
      <c r="T137" s="132">
        <f t="shared" si="53"/>
        <v>109503868.9</v>
      </c>
      <c r="U137" s="133">
        <f t="shared" ref="U137:AA137" si="65">SUM(U138:U147)</f>
        <v>87297463.03</v>
      </c>
      <c r="V137" s="109">
        <f t="shared" si="65"/>
        <v>3588633.69</v>
      </c>
      <c r="W137" s="109">
        <f t="shared" si="65"/>
        <v>4496576.56</v>
      </c>
      <c r="X137" s="109">
        <f t="shared" si="65"/>
        <v>4445541.15</v>
      </c>
      <c r="Y137" s="140">
        <f t="shared" si="65"/>
        <v>2435577.61</v>
      </c>
      <c r="Z137" s="140">
        <f t="shared" si="65"/>
        <v>4509756.03</v>
      </c>
      <c r="AA137" s="140">
        <f t="shared" si="65"/>
        <v>2730320.79</v>
      </c>
      <c r="AB137" s="133">
        <f>AB138+AB139+AB140+AB143+AB144+AB145+AB146+AB147+AB141</f>
        <v>0</v>
      </c>
      <c r="AC137" s="215" t="s">
        <v>98</v>
      </c>
      <c r="AD137" s="206" t="s">
        <v>925</v>
      </c>
      <c r="AE137" s="216"/>
      <c r="AF137" s="216"/>
      <c r="AG137" s="216"/>
      <c r="AH137" s="217"/>
      <c r="AI137" s="206"/>
      <c r="AJ137" s="206"/>
      <c r="AK137" s="206"/>
      <c r="AL137" s="206"/>
      <c r="AM137" s="206"/>
      <c r="AN137" s="206"/>
      <c r="AO137" s="206"/>
      <c r="AP137" s="509"/>
    </row>
    <row r="138" ht="18.75" customHeight="1">
      <c r="A138" s="118" t="s">
        <v>1163</v>
      </c>
      <c r="B138" s="148" t="s">
        <v>974</v>
      </c>
      <c r="C138" s="151" t="s">
        <v>927</v>
      </c>
      <c r="D138" s="154"/>
      <c r="E138" s="158" t="s">
        <v>291</v>
      </c>
      <c r="F138" s="159" t="s">
        <v>701</v>
      </c>
      <c r="G138" s="159" t="s">
        <v>929</v>
      </c>
      <c r="H138" s="159" t="s">
        <v>930</v>
      </c>
      <c r="I138" s="161" t="s">
        <v>322</v>
      </c>
      <c r="J138" s="484">
        <v>45078.0</v>
      </c>
      <c r="K138" s="485">
        <v>46387.0</v>
      </c>
      <c r="L138" s="166">
        <f t="shared" si="41"/>
        <v>0.435751937</v>
      </c>
      <c r="M138" s="168">
        <f>MAX(N138:R138)</f>
        <v>58150301.35</v>
      </c>
      <c r="N138" s="512">
        <v>5.815030135E7</v>
      </c>
      <c r="O138" s="512"/>
      <c r="P138" s="512"/>
      <c r="Q138" s="514"/>
      <c r="R138" s="516"/>
      <c r="S138" s="512"/>
      <c r="T138" s="168">
        <f t="shared" si="53"/>
        <v>25339106.45</v>
      </c>
      <c r="U138" s="175">
        <v>1.651536099E7</v>
      </c>
      <c r="V138" s="175">
        <v>1443907.33</v>
      </c>
      <c r="W138" s="175">
        <v>1443907.33</v>
      </c>
      <c r="X138" s="175">
        <v>1604208.82</v>
      </c>
      <c r="Y138" s="175">
        <f>SUMIF('07.26'!$J$4:$J$1000,$F138,'07.26'!$M$4:$M$1000)</f>
        <v>1604208.82</v>
      </c>
      <c r="Z138" s="175">
        <f>SUMIF('08.26'!$J$4:$J$1000,$F138,'08.26'!$M$4:$M$1000)</f>
        <v>1604208.82</v>
      </c>
      <c r="AA138" s="175">
        <f>SUMIF('09.26'!$J$4:$J$1429,$F138,'09.26'!$M$4:$M$1429)</f>
        <v>1123304.34</v>
      </c>
      <c r="AB138" s="175"/>
      <c r="AC138" s="526" t="s">
        <v>701</v>
      </c>
      <c r="AD138" s="276"/>
      <c r="AE138" s="528"/>
      <c r="AF138" s="528"/>
      <c r="AG138" s="528"/>
      <c r="AH138" s="529"/>
      <c r="AI138" s="276"/>
      <c r="AJ138" s="276"/>
      <c r="AK138" s="276"/>
      <c r="AL138" s="276"/>
      <c r="AM138" s="276"/>
      <c r="AN138" s="276"/>
      <c r="AO138" s="276"/>
      <c r="AP138" s="531"/>
    </row>
    <row r="139" ht="18.75" customHeight="1">
      <c r="A139" s="118" t="s">
        <v>1163</v>
      </c>
      <c r="B139" s="148" t="s">
        <v>1190</v>
      </c>
      <c r="C139" s="198"/>
      <c r="D139" s="199"/>
      <c r="E139" s="158" t="s">
        <v>291</v>
      </c>
      <c r="F139" s="159" t="s">
        <v>748</v>
      </c>
      <c r="G139" s="159" t="s">
        <v>938</v>
      </c>
      <c r="H139" s="159" t="s">
        <v>930</v>
      </c>
      <c r="I139" s="161" t="s">
        <v>879</v>
      </c>
      <c r="J139" s="484">
        <v>45874.0</v>
      </c>
      <c r="K139" s="161" t="s">
        <v>374</v>
      </c>
      <c r="L139" s="166">
        <f t="shared" si="41"/>
        <v>0.3861394859</v>
      </c>
      <c r="M139" s="168">
        <v>9289252.54</v>
      </c>
      <c r="N139" s="512">
        <v>9041767.34</v>
      </c>
      <c r="O139" s="512"/>
      <c r="P139" s="512"/>
      <c r="Q139" s="514"/>
      <c r="R139" s="516"/>
      <c r="S139" s="512"/>
      <c r="T139" s="168">
        <f t="shared" si="53"/>
        <v>3586947.2</v>
      </c>
      <c r="U139" s="175">
        <v>2691706.6</v>
      </c>
      <c r="V139" s="175"/>
      <c r="W139" s="175"/>
      <c r="X139" s="175">
        <v>658764.9</v>
      </c>
      <c r="Y139" s="175">
        <f>SUMIF('07.26'!$J$4:$J$1000,$F139,'07.26'!$M$4:$M$1000)</f>
        <v>159409.2</v>
      </c>
      <c r="Z139" s="175">
        <f>SUMIF('08.26'!$J$4:$J$1000,$F139,'08.26'!$M$4:$M$1000)</f>
        <v>77066.5</v>
      </c>
      <c r="AA139" s="175">
        <f>SUMIF('09.26'!$J$4:$J$1429,$F139,'09.26'!$M$4:$M$1429)</f>
        <v>0</v>
      </c>
      <c r="AB139" s="175"/>
      <c r="AC139" s="526" t="s">
        <v>748</v>
      </c>
      <c r="AD139" s="276"/>
      <c r="AE139" s="528"/>
      <c r="AF139" s="528"/>
      <c r="AG139" s="528"/>
      <c r="AH139" s="529"/>
      <c r="AI139" s="276"/>
      <c r="AJ139" s="276"/>
      <c r="AK139" s="276"/>
      <c r="AL139" s="276"/>
      <c r="AM139" s="276"/>
      <c r="AN139" s="276"/>
      <c r="AO139" s="276"/>
      <c r="AP139" s="531"/>
    </row>
    <row r="140" ht="18.75" customHeight="1">
      <c r="A140" s="118" t="s">
        <v>1163</v>
      </c>
      <c r="B140" s="148" t="s">
        <v>1191</v>
      </c>
      <c r="C140" s="198"/>
      <c r="D140" s="199"/>
      <c r="E140" s="158" t="s">
        <v>291</v>
      </c>
      <c r="F140" s="159" t="s">
        <v>1192</v>
      </c>
      <c r="G140" s="159" t="s">
        <v>938</v>
      </c>
      <c r="H140" s="159" t="s">
        <v>930</v>
      </c>
      <c r="I140" s="161" t="s">
        <v>296</v>
      </c>
      <c r="J140" s="484">
        <v>45874.0</v>
      </c>
      <c r="K140" s="161" t="s">
        <v>374</v>
      </c>
      <c r="L140" s="166">
        <f t="shared" si="41"/>
        <v>0.8151327255</v>
      </c>
      <c r="M140" s="168">
        <f t="shared" ref="M140:M144" si="66">MAX(N140:R140)</f>
        <v>17115174</v>
      </c>
      <c r="N140" s="512">
        <v>1.7115174E7</v>
      </c>
      <c r="O140" s="512"/>
      <c r="P140" s="512"/>
      <c r="Q140" s="514"/>
      <c r="R140" s="516"/>
      <c r="S140" s="512"/>
      <c r="T140" s="168">
        <f t="shared" si="53"/>
        <v>13951138.43</v>
      </c>
      <c r="U140" s="175">
        <v>1.06524373E7</v>
      </c>
      <c r="V140" s="175">
        <v>850231.38</v>
      </c>
      <c r="W140" s="175"/>
      <c r="X140" s="175">
        <v>478172.14</v>
      </c>
      <c r="Y140" s="175">
        <f>SUMIF('07.26'!$J$4:$J$1000,$F140,'07.26'!$M$4:$M$1000)</f>
        <v>0</v>
      </c>
      <c r="Z140" s="175">
        <v>1443252.69</v>
      </c>
      <c r="AA140" s="175">
        <v>527044.92</v>
      </c>
      <c r="AB140" s="175"/>
      <c r="AC140" s="526" t="s">
        <v>1192</v>
      </c>
      <c r="AD140" s="276"/>
      <c r="AE140" s="528"/>
      <c r="AF140" s="528"/>
      <c r="AG140" s="528"/>
      <c r="AH140" s="529"/>
      <c r="AI140" s="276"/>
      <c r="AJ140" s="276"/>
      <c r="AK140" s="276"/>
      <c r="AL140" s="276"/>
      <c r="AM140" s="276"/>
      <c r="AN140" s="276"/>
      <c r="AO140" s="276"/>
      <c r="AP140" s="531"/>
    </row>
    <row r="141" ht="18.75" customHeight="1">
      <c r="A141" s="118" t="s">
        <v>1163</v>
      </c>
      <c r="B141" s="148" t="s">
        <v>1193</v>
      </c>
      <c r="C141" s="198"/>
      <c r="D141" s="199"/>
      <c r="E141" s="158" t="s">
        <v>291</v>
      </c>
      <c r="F141" s="159" t="s">
        <v>1194</v>
      </c>
      <c r="G141" s="159" t="s">
        <v>938</v>
      </c>
      <c r="H141" s="159" t="s">
        <v>930</v>
      </c>
      <c r="I141" s="161" t="s">
        <v>944</v>
      </c>
      <c r="J141" s="484">
        <v>45876.0</v>
      </c>
      <c r="K141" s="161" t="s">
        <v>374</v>
      </c>
      <c r="L141" s="166">
        <f t="shared" si="41"/>
        <v>0.2629168096</v>
      </c>
      <c r="M141" s="168">
        <f t="shared" si="66"/>
        <v>15854360.8</v>
      </c>
      <c r="N141" s="512">
        <v>1.58543608E7</v>
      </c>
      <c r="O141" s="512"/>
      <c r="P141" s="512"/>
      <c r="Q141" s="514"/>
      <c r="R141" s="516"/>
      <c r="S141" s="512"/>
      <c r="T141" s="168">
        <f t="shared" si="53"/>
        <v>4168377.96</v>
      </c>
      <c r="U141" s="175">
        <v>4168377.96</v>
      </c>
      <c r="V141" s="175"/>
      <c r="W141" s="175"/>
      <c r="X141" s="175"/>
      <c r="Y141" s="175">
        <f>SUMIF('07.26'!$J$4:$J$1000,$F141,'07.26'!$M$4:$M$1000)</f>
        <v>0</v>
      </c>
      <c r="Z141" s="175">
        <f>SUMIF('08.26'!$J$4:$J$1000,$F141,'08.26'!$M$4:$M$1000)</f>
        <v>0</v>
      </c>
      <c r="AA141" s="175">
        <f>SUMIF('09.26'!$J$4:$J$1429,$F141,'09.26'!$M$4:$M$1429)</f>
        <v>0</v>
      </c>
      <c r="AB141" s="175"/>
      <c r="AC141" s="526" t="s">
        <v>1194</v>
      </c>
      <c r="AD141" s="276"/>
      <c r="AE141" s="528"/>
      <c r="AF141" s="528"/>
      <c r="AG141" s="528"/>
      <c r="AH141" s="529"/>
      <c r="AI141" s="276"/>
      <c r="AJ141" s="276"/>
      <c r="AK141" s="276"/>
      <c r="AL141" s="276"/>
      <c r="AM141" s="276"/>
      <c r="AN141" s="276"/>
      <c r="AO141" s="276"/>
      <c r="AP141" s="531"/>
    </row>
    <row r="142" ht="18.75" customHeight="1">
      <c r="A142" s="118" t="s">
        <v>1163</v>
      </c>
      <c r="B142" s="148" t="s">
        <v>1195</v>
      </c>
      <c r="C142" s="198"/>
      <c r="D142" s="199"/>
      <c r="E142" s="158" t="s">
        <v>291</v>
      </c>
      <c r="F142" s="159" t="s">
        <v>1196</v>
      </c>
      <c r="G142" s="159"/>
      <c r="H142" s="159"/>
      <c r="I142" s="161" t="s">
        <v>296</v>
      </c>
      <c r="J142" s="484">
        <v>45853.0</v>
      </c>
      <c r="K142" s="161" t="s">
        <v>374</v>
      </c>
      <c r="L142" s="166">
        <f t="shared" si="41"/>
        <v>0.8181982702</v>
      </c>
      <c r="M142" s="168">
        <f t="shared" si="66"/>
        <v>4826444.12</v>
      </c>
      <c r="N142" s="512">
        <v>4826444.12</v>
      </c>
      <c r="O142" s="512"/>
      <c r="P142" s="512"/>
      <c r="Q142" s="514"/>
      <c r="R142" s="516"/>
      <c r="S142" s="512"/>
      <c r="T142" s="168">
        <f t="shared" si="53"/>
        <v>3948988.23</v>
      </c>
      <c r="U142" s="175">
        <v>3783204.23</v>
      </c>
      <c r="V142" s="175"/>
      <c r="W142" s="175">
        <v>56728.0</v>
      </c>
      <c r="X142" s="175">
        <v>109056.0</v>
      </c>
      <c r="Y142" s="175">
        <f>SUMIF('07.26'!$J$4:$J$1000,$F142,'07.26'!$M$4:$M$1000)</f>
        <v>0</v>
      </c>
      <c r="Z142" s="175">
        <f>SUMIF('08.26'!$J$4:$J$1000,$F142,'08.26'!$M$4:$M$1000)</f>
        <v>0</v>
      </c>
      <c r="AA142" s="175">
        <f>SUMIF('09.26'!$J$4:$J$1429,$F142,'09.26'!$M$4:$M$1429)</f>
        <v>0</v>
      </c>
      <c r="AB142" s="175"/>
      <c r="AC142" s="526" t="s">
        <v>1196</v>
      </c>
      <c r="AD142" s="276"/>
      <c r="AE142" s="528"/>
      <c r="AF142" s="528"/>
      <c r="AG142" s="528"/>
      <c r="AH142" s="529"/>
      <c r="AI142" s="276"/>
      <c r="AJ142" s="276"/>
      <c r="AK142" s="276"/>
      <c r="AL142" s="276"/>
      <c r="AM142" s="276"/>
      <c r="AN142" s="276"/>
      <c r="AO142" s="276"/>
      <c r="AP142" s="531"/>
    </row>
    <row r="143" ht="18.75" customHeight="1">
      <c r="A143" s="118" t="s">
        <v>1163</v>
      </c>
      <c r="B143" s="148" t="s">
        <v>1197</v>
      </c>
      <c r="C143" s="187"/>
      <c r="D143" s="107"/>
      <c r="E143" s="158" t="s">
        <v>291</v>
      </c>
      <c r="F143" s="159" t="s">
        <v>1198</v>
      </c>
      <c r="G143" s="159" t="s">
        <v>938</v>
      </c>
      <c r="H143" s="159" t="s">
        <v>930</v>
      </c>
      <c r="I143" s="161" t="s">
        <v>949</v>
      </c>
      <c r="J143" s="484">
        <v>46087.0</v>
      </c>
      <c r="K143" s="484">
        <v>46173.0</v>
      </c>
      <c r="L143" s="166">
        <f t="shared" si="41"/>
        <v>0.430404561</v>
      </c>
      <c r="M143" s="168">
        <f t="shared" si="66"/>
        <v>2293461.5</v>
      </c>
      <c r="N143" s="512">
        <v>1980570.0</v>
      </c>
      <c r="O143" s="512">
        <v>2293461.5</v>
      </c>
      <c r="P143" s="512"/>
      <c r="Q143" s="514"/>
      <c r="R143" s="516"/>
      <c r="S143" s="512"/>
      <c r="T143" s="168">
        <f t="shared" si="53"/>
        <v>987116.29</v>
      </c>
      <c r="U143" s="175">
        <v>747724.59</v>
      </c>
      <c r="V143" s="175">
        <v>239391.7</v>
      </c>
      <c r="W143" s="175"/>
      <c r="X143" s="175"/>
      <c r="Y143" s="175">
        <f>SUMIF('07.26'!$J$4:$J$1000,$F143,'07.26'!$M$4:$M$1000)</f>
        <v>0</v>
      </c>
      <c r="Z143" s="175">
        <f>SUMIF('08.26'!$J$4:$J$1000,$F143,'08.26'!$M$4:$M$1000)</f>
        <v>0</v>
      </c>
      <c r="AA143" s="175">
        <f>SUMIF('09.26'!$J$4:$J$1429,$F143,'09.26'!$M$4:$M$1429)</f>
        <v>0</v>
      </c>
      <c r="AB143" s="175"/>
      <c r="AC143" s="526" t="s">
        <v>1198</v>
      </c>
      <c r="AD143" s="276"/>
      <c r="AE143" s="528"/>
      <c r="AF143" s="528"/>
      <c r="AG143" s="528"/>
      <c r="AH143" s="529"/>
      <c r="AI143" s="276"/>
      <c r="AJ143" s="276"/>
      <c r="AK143" s="276"/>
      <c r="AL143" s="276"/>
      <c r="AM143" s="276"/>
      <c r="AN143" s="276"/>
      <c r="AO143" s="276"/>
      <c r="AP143" s="531"/>
    </row>
    <row r="144" ht="18.75" customHeight="1">
      <c r="A144" s="118" t="s">
        <v>1163</v>
      </c>
      <c r="B144" s="148" t="s">
        <v>1199</v>
      </c>
      <c r="C144" s="151" t="s">
        <v>954</v>
      </c>
      <c r="D144" s="154"/>
      <c r="E144" s="158" t="s">
        <v>291</v>
      </c>
      <c r="F144" s="159" t="s">
        <v>1200</v>
      </c>
      <c r="G144" s="159" t="s">
        <v>956</v>
      </c>
      <c r="H144" s="159" t="s">
        <v>957</v>
      </c>
      <c r="I144" s="161" t="s">
        <v>322</v>
      </c>
      <c r="J144" s="484">
        <v>45856.0</v>
      </c>
      <c r="K144" s="484">
        <v>46142.0</v>
      </c>
      <c r="L144" s="166">
        <f t="shared" si="41"/>
        <v>0.9535238339</v>
      </c>
      <c r="M144" s="168">
        <f t="shared" si="66"/>
        <v>13796447.8</v>
      </c>
      <c r="N144" s="512">
        <v>1.37964478E7</v>
      </c>
      <c r="O144" s="512"/>
      <c r="P144" s="512"/>
      <c r="Q144" s="514"/>
      <c r="R144" s="516"/>
      <c r="S144" s="512"/>
      <c r="T144" s="168">
        <f t="shared" si="53"/>
        <v>13155241.8</v>
      </c>
      <c r="U144" s="175">
        <v>1.31552418E7</v>
      </c>
      <c r="V144" s="175"/>
      <c r="W144" s="175"/>
      <c r="X144" s="175"/>
      <c r="Y144" s="175">
        <f>SUMIF('07.26'!$J$4:$J$1000,$F144,'07.26'!$M$4:$M$1000)</f>
        <v>0</v>
      </c>
      <c r="Z144" s="175">
        <f>SUMIF('08.26'!$J$4:$J$1000,$F144,'08.26'!$M$4:$M$1000)</f>
        <v>0</v>
      </c>
      <c r="AA144" s="175">
        <f>SUMIF('09.26'!$J$4:$J$1429,$F144,'09.26'!$M$4:$M$1429)</f>
        <v>0</v>
      </c>
      <c r="AB144" s="175"/>
      <c r="AC144" s="526" t="s">
        <v>1200</v>
      </c>
      <c r="AD144" s="276"/>
      <c r="AE144" s="528"/>
      <c r="AF144" s="528"/>
      <c r="AG144" s="528"/>
      <c r="AH144" s="529"/>
      <c r="AI144" s="276"/>
      <c r="AJ144" s="276"/>
      <c r="AK144" s="276"/>
      <c r="AL144" s="276"/>
      <c r="AM144" s="276"/>
      <c r="AN144" s="276"/>
      <c r="AO144" s="276"/>
      <c r="AP144" s="531"/>
    </row>
    <row r="145" ht="18.75" customHeight="1">
      <c r="A145" s="118" t="s">
        <v>1163</v>
      </c>
      <c r="B145" s="148" t="s">
        <v>1201</v>
      </c>
      <c r="C145" s="187"/>
      <c r="D145" s="107"/>
      <c r="E145" s="158" t="s">
        <v>291</v>
      </c>
      <c r="F145" s="159" t="s">
        <v>1202</v>
      </c>
      <c r="G145" s="159" t="s">
        <v>956</v>
      </c>
      <c r="H145" s="159" t="s">
        <v>957</v>
      </c>
      <c r="I145" s="161" t="s">
        <v>296</v>
      </c>
      <c r="J145" s="484">
        <v>45770.0</v>
      </c>
      <c r="K145" s="484">
        <v>46203.0</v>
      </c>
      <c r="L145" s="166">
        <f t="shared" si="41"/>
        <v>0.9885045473</v>
      </c>
      <c r="M145" s="168">
        <v>3724413.57</v>
      </c>
      <c r="N145" s="512">
        <v>3141877.47</v>
      </c>
      <c r="O145" s="512"/>
      <c r="P145" s="512"/>
      <c r="Q145" s="514"/>
      <c r="R145" s="516"/>
      <c r="S145" s="512"/>
      <c r="T145" s="168">
        <f t="shared" si="53"/>
        <v>3681599.75</v>
      </c>
      <c r="U145" s="175">
        <v>1669410.72</v>
      </c>
      <c r="V145" s="175"/>
      <c r="W145" s="175">
        <v>1405736.93</v>
      </c>
      <c r="X145" s="175">
        <v>531813.5</v>
      </c>
      <c r="Y145" s="175">
        <v>74638.6</v>
      </c>
      <c r="Z145" s="175">
        <f>SUMIF('08.26'!$J$4:$J$1000,$F145,'08.26'!$M$4:$M$1000)</f>
        <v>0</v>
      </c>
      <c r="AA145" s="175">
        <f>SUMIF('09.26'!$J$4:$J$1429,$F145,'09.26'!$M$4:$M$1429)</f>
        <v>0</v>
      </c>
      <c r="AB145" s="175"/>
      <c r="AC145" s="526" t="s">
        <v>1202</v>
      </c>
      <c r="AD145" s="276"/>
      <c r="AE145" s="528"/>
      <c r="AF145" s="528"/>
      <c r="AG145" s="528"/>
      <c r="AH145" s="529"/>
      <c r="AI145" s="276"/>
      <c r="AJ145" s="276"/>
      <c r="AK145" s="276"/>
      <c r="AL145" s="276"/>
      <c r="AM145" s="276"/>
      <c r="AN145" s="276"/>
      <c r="AO145" s="276"/>
      <c r="AP145" s="531"/>
    </row>
    <row r="146" ht="18.75" customHeight="1">
      <c r="A146" s="118" t="s">
        <v>1163</v>
      </c>
      <c r="B146" s="148" t="s">
        <v>1203</v>
      </c>
      <c r="C146" s="151" t="s">
        <v>119</v>
      </c>
      <c r="D146" s="154"/>
      <c r="E146" s="158" t="s">
        <v>291</v>
      </c>
      <c r="F146" s="159" t="s">
        <v>731</v>
      </c>
      <c r="G146" s="159" t="s">
        <v>968</v>
      </c>
      <c r="H146" s="159" t="s">
        <v>930</v>
      </c>
      <c r="I146" s="161" t="s">
        <v>322</v>
      </c>
      <c r="J146" s="484">
        <v>45292.0</v>
      </c>
      <c r="K146" s="484">
        <v>46203.0</v>
      </c>
      <c r="L146" s="166">
        <f t="shared" si="41"/>
        <v>0.8238528571</v>
      </c>
      <c r="M146" s="168">
        <v>3.817231446E7</v>
      </c>
      <c r="N146" s="512">
        <v>3.054570428E7</v>
      </c>
      <c r="O146" s="512"/>
      <c r="P146" s="512"/>
      <c r="Q146" s="514"/>
      <c r="R146" s="516"/>
      <c r="S146" s="512"/>
      <c r="T146" s="168">
        <f t="shared" si="53"/>
        <v>31448370.33</v>
      </c>
      <c r="U146" s="175">
        <v>2.543346966E7</v>
      </c>
      <c r="V146" s="175">
        <v>1055103.28</v>
      </c>
      <c r="W146" s="175">
        <v>1039018.3</v>
      </c>
      <c r="X146" s="175">
        <v>1063525.79</v>
      </c>
      <c r="Y146" s="175">
        <f>SUMIF('07.26'!$J$4:$J$1000,$F146,'07.26'!$M$4:$M$1000)</f>
        <v>597320.99</v>
      </c>
      <c r="Z146" s="175">
        <f>SUMIF('08.26'!$J$4:$J$1000,$F146,'08.26'!$M$4:$M$1000)</f>
        <v>1179960.78</v>
      </c>
      <c r="AA146" s="175">
        <v>1079971.53</v>
      </c>
      <c r="AB146" s="175"/>
      <c r="AC146" s="526" t="s">
        <v>731</v>
      </c>
      <c r="AD146" s="276"/>
      <c r="AE146" s="528"/>
      <c r="AF146" s="528"/>
      <c r="AG146" s="528"/>
      <c r="AH146" s="529"/>
      <c r="AI146" s="276"/>
      <c r="AJ146" s="276"/>
      <c r="AK146" s="276"/>
      <c r="AL146" s="276"/>
      <c r="AM146" s="276"/>
      <c r="AN146" s="276"/>
      <c r="AO146" s="276"/>
      <c r="AP146" s="531"/>
    </row>
    <row r="147" ht="31.5" customHeight="1">
      <c r="A147" s="118" t="s">
        <v>1163</v>
      </c>
      <c r="B147" s="148" t="s">
        <v>1204</v>
      </c>
      <c r="C147" s="187"/>
      <c r="D147" s="107"/>
      <c r="E147" s="590" t="s">
        <v>291</v>
      </c>
      <c r="F147" s="272" t="s">
        <v>1205</v>
      </c>
      <c r="G147" s="272" t="s">
        <v>968</v>
      </c>
      <c r="H147" s="272" t="s">
        <v>930</v>
      </c>
      <c r="I147" s="20" t="s">
        <v>296</v>
      </c>
      <c r="J147" s="591">
        <v>45229.0</v>
      </c>
      <c r="K147" s="20" t="s">
        <v>374</v>
      </c>
      <c r="L147" s="166">
        <f t="shared" si="41"/>
        <v>0.6727181424</v>
      </c>
      <c r="M147" s="168">
        <v>1.37308359E7</v>
      </c>
      <c r="N147" s="512">
        <v>1.340192532E7</v>
      </c>
      <c r="O147" s="512"/>
      <c r="P147" s="512"/>
      <c r="Q147" s="514"/>
      <c r="R147" s="516"/>
      <c r="S147" s="512"/>
      <c r="T147" s="168">
        <f t="shared" si="53"/>
        <v>9236982.42</v>
      </c>
      <c r="U147" s="175">
        <v>8480529.18</v>
      </c>
      <c r="V147" s="175"/>
      <c r="W147" s="175">
        <v>551186.0</v>
      </c>
      <c r="X147" s="175"/>
      <c r="Y147" s="175">
        <f>SUMIF('07.26'!$J$4:$J$1000,$F147,'07.26'!$M$4:$M$1000)</f>
        <v>0</v>
      </c>
      <c r="Z147" s="175">
        <v>205267.24</v>
      </c>
      <c r="AA147" s="175">
        <f>SUMIF('09.26'!$J$4:$J$1429,$F147,'09.26'!$M$4:$M$1429)</f>
        <v>0</v>
      </c>
      <c r="AB147" s="175"/>
      <c r="AC147" s="526" t="s">
        <v>1205</v>
      </c>
      <c r="AD147" s="276"/>
      <c r="AE147" s="528"/>
      <c r="AF147" s="528"/>
      <c r="AG147" s="528"/>
      <c r="AH147" s="529"/>
      <c r="AI147" s="276"/>
      <c r="AJ147" s="276"/>
      <c r="AK147" s="276"/>
      <c r="AL147" s="276"/>
      <c r="AM147" s="276"/>
      <c r="AN147" s="276"/>
      <c r="AO147" s="276"/>
      <c r="AP147" s="531"/>
    </row>
    <row r="148">
      <c r="A148" s="594" t="s">
        <v>836</v>
      </c>
      <c r="B148" s="119" t="s">
        <v>982</v>
      </c>
      <c r="C148" s="6" t="s">
        <v>839</v>
      </c>
      <c r="D148" s="219" t="s">
        <v>161</v>
      </c>
      <c r="E148" s="121"/>
      <c r="F148" s="122"/>
      <c r="G148" s="122"/>
      <c r="H148" s="122"/>
      <c r="I148" s="123"/>
      <c r="J148" s="124"/>
      <c r="K148" s="125"/>
      <c r="L148" s="595">
        <f t="shared" si="41"/>
        <v>0.7944350023</v>
      </c>
      <c r="M148" s="132">
        <f t="shared" ref="M148:S148" si="67">M149+M150</f>
        <v>69496850.25</v>
      </c>
      <c r="N148" s="133">
        <f t="shared" si="67"/>
        <v>69496850.25</v>
      </c>
      <c r="O148" s="133">
        <f t="shared" si="67"/>
        <v>0</v>
      </c>
      <c r="P148" s="133">
        <f t="shared" si="67"/>
        <v>6565400.68</v>
      </c>
      <c r="Q148" s="134">
        <f t="shared" si="67"/>
        <v>0</v>
      </c>
      <c r="R148" s="135">
        <f t="shared" si="67"/>
        <v>0</v>
      </c>
      <c r="S148" s="133">
        <f t="shared" si="67"/>
        <v>0</v>
      </c>
      <c r="T148" s="132">
        <f t="shared" si="53"/>
        <v>55210730.39</v>
      </c>
      <c r="U148" s="133">
        <f t="shared" ref="U148:AB148" si="68">U149+U150</f>
        <v>14671573.23</v>
      </c>
      <c r="V148" s="109">
        <f t="shared" si="68"/>
        <v>12003732.83</v>
      </c>
      <c r="W148" s="109">
        <f t="shared" si="68"/>
        <v>3220777.42</v>
      </c>
      <c r="X148" s="109">
        <f t="shared" si="68"/>
        <v>10585251.01</v>
      </c>
      <c r="Y148" s="140">
        <f t="shared" si="68"/>
        <v>4681619.67</v>
      </c>
      <c r="Z148" s="140">
        <f t="shared" si="68"/>
        <v>7961352.87</v>
      </c>
      <c r="AA148" s="140">
        <f t="shared" si="68"/>
        <v>2086423.36</v>
      </c>
      <c r="AB148" s="133">
        <f t="shared" si="68"/>
        <v>0</v>
      </c>
      <c r="AC148" s="215"/>
      <c r="AD148" s="206" t="s">
        <v>440</v>
      </c>
      <c r="AE148" s="216"/>
      <c r="AF148" s="216"/>
      <c r="AG148" s="216"/>
      <c r="AH148" s="217"/>
      <c r="AI148" s="206"/>
      <c r="AJ148" s="206"/>
      <c r="AK148" s="206"/>
      <c r="AL148" s="206"/>
      <c r="AM148" s="206"/>
      <c r="AN148" s="206"/>
      <c r="AO148" s="206"/>
      <c r="AP148" s="339"/>
    </row>
    <row r="149" ht="18.75" customHeight="1">
      <c r="A149" s="118" t="s">
        <v>836</v>
      </c>
      <c r="B149" s="596" t="s">
        <v>985</v>
      </c>
      <c r="C149" s="597" t="s">
        <v>1005</v>
      </c>
      <c r="D149" s="14"/>
      <c r="E149" s="598" t="s">
        <v>291</v>
      </c>
      <c r="F149" s="599" t="s">
        <v>841</v>
      </c>
      <c r="G149" s="599"/>
      <c r="H149" s="599"/>
      <c r="I149" s="600" t="s">
        <v>1007</v>
      </c>
      <c r="J149" s="601">
        <v>46023.0</v>
      </c>
      <c r="K149" s="601">
        <v>46408.0</v>
      </c>
      <c r="L149" s="166">
        <f t="shared" si="41"/>
        <v>0.7227748514</v>
      </c>
      <c r="M149" s="168">
        <f t="shared" ref="M149:M150" si="69">MAX(N149:R149)</f>
        <v>37689126.2</v>
      </c>
      <c r="N149" s="169">
        <v>3.76891262E7</v>
      </c>
      <c r="O149" s="169"/>
      <c r="P149" s="169"/>
      <c r="Q149" s="171"/>
      <c r="R149" s="172"/>
      <c r="S149" s="169"/>
      <c r="T149" s="168">
        <f t="shared" si="53"/>
        <v>27240752.59</v>
      </c>
      <c r="U149" s="175">
        <v>5915451.6</v>
      </c>
      <c r="V149" s="175">
        <f>3440497.3+5915451.6</f>
        <v>9355948.9</v>
      </c>
      <c r="W149" s="175">
        <v>2086497.3</v>
      </c>
      <c r="X149" s="175">
        <v>1861810.19</v>
      </c>
      <c r="Y149" s="175">
        <v>1861810.2</v>
      </c>
      <c r="Z149" s="175">
        <v>4125518.2</v>
      </c>
      <c r="AA149" s="175">
        <f>SUMIF('09.26'!$J$4:$J$1429,$F149,'09.26'!$M$4:$M$1429)</f>
        <v>2033716.2</v>
      </c>
      <c r="AB149" s="175"/>
      <c r="AC149" s="604"/>
      <c r="AD149" s="343"/>
      <c r="AE149" s="528"/>
      <c r="AF149" s="528"/>
      <c r="AG149" s="528"/>
      <c r="AH149" s="605"/>
      <c r="AI149" s="343"/>
      <c r="AJ149" s="343"/>
      <c r="AK149" s="343"/>
      <c r="AL149" s="343"/>
      <c r="AM149" s="343"/>
      <c r="AN149" s="343"/>
      <c r="AO149" s="343"/>
      <c r="AP149" s="337" t="s">
        <v>1009</v>
      </c>
    </row>
    <row r="150" ht="18.75" customHeight="1">
      <c r="A150" s="118" t="s">
        <v>836</v>
      </c>
      <c r="B150" s="596" t="s">
        <v>992</v>
      </c>
      <c r="C150" s="597" t="s">
        <v>1011</v>
      </c>
      <c r="D150" s="14"/>
      <c r="E150" s="158" t="s">
        <v>291</v>
      </c>
      <c r="F150" s="606" t="s">
        <v>845</v>
      </c>
      <c r="G150" s="159"/>
      <c r="H150" s="159"/>
      <c r="I150" s="161" t="s">
        <v>296</v>
      </c>
      <c r="J150" s="607">
        <v>45748.0</v>
      </c>
      <c r="K150" s="608">
        <v>46012.0</v>
      </c>
      <c r="L150" s="166">
        <f t="shared" si="41"/>
        <v>0.879345462</v>
      </c>
      <c r="M150" s="168">
        <f t="shared" si="69"/>
        <v>31807724.05</v>
      </c>
      <c r="N150" s="169">
        <v>3.180772405E7</v>
      </c>
      <c r="O150" s="169"/>
      <c r="P150" s="169">
        <v>6565400.68</v>
      </c>
      <c r="Q150" s="171"/>
      <c r="R150" s="172"/>
      <c r="S150" s="169"/>
      <c r="T150" s="168">
        <f t="shared" si="53"/>
        <v>27969977.8</v>
      </c>
      <c r="U150" s="175">
        <v>8756121.63</v>
      </c>
      <c r="V150" s="175">
        <v>2647783.93</v>
      </c>
      <c r="W150" s="175">
        <v>1134280.12</v>
      </c>
      <c r="X150" s="175">
        <v>8723440.82</v>
      </c>
      <c r="Y150" s="175">
        <v>2819809.47</v>
      </c>
      <c r="Z150" s="175">
        <v>3835834.67</v>
      </c>
      <c r="AA150" s="175">
        <f>SUMIF('09.26'!$J$4:$J$1429,$F150,'09.26'!$M$4:$M$1429)</f>
        <v>52707.16</v>
      </c>
      <c r="AB150" s="175"/>
      <c r="AC150" s="604"/>
      <c r="AD150" s="343"/>
      <c r="AE150" s="528"/>
      <c r="AF150" s="528"/>
      <c r="AG150" s="528"/>
      <c r="AH150" s="605"/>
      <c r="AI150" s="343"/>
      <c r="AJ150" s="343"/>
      <c r="AK150" s="343"/>
      <c r="AL150" s="343"/>
      <c r="AM150" s="343"/>
      <c r="AN150" s="343"/>
      <c r="AO150" s="343"/>
      <c r="AP150" s="337" t="s">
        <v>1009</v>
      </c>
    </row>
    <row r="151">
      <c r="A151" s="118" t="s">
        <v>1207</v>
      </c>
      <c r="B151" s="119" t="s">
        <v>999</v>
      </c>
      <c r="C151" s="6" t="s">
        <v>1208</v>
      </c>
      <c r="D151" s="6" t="s">
        <v>1209</v>
      </c>
      <c r="E151" s="6"/>
      <c r="F151" s="609"/>
      <c r="G151" s="609"/>
      <c r="H151" s="609"/>
      <c r="I151" s="611"/>
      <c r="J151" s="492"/>
      <c r="K151" s="492"/>
      <c r="L151" s="129">
        <f t="shared" si="41"/>
        <v>0.009679463978</v>
      </c>
      <c r="M151" s="132">
        <f t="shared" ref="M151:S151" si="70">M152+M154</f>
        <v>15509949.76</v>
      </c>
      <c r="N151" s="133">
        <f t="shared" si="70"/>
        <v>37689126.2</v>
      </c>
      <c r="O151" s="133">
        <f t="shared" si="70"/>
        <v>0</v>
      </c>
      <c r="P151" s="133">
        <f t="shared" si="70"/>
        <v>0</v>
      </c>
      <c r="Q151" s="133">
        <f t="shared" si="70"/>
        <v>0</v>
      </c>
      <c r="R151" s="133">
        <f t="shared" si="70"/>
        <v>0</v>
      </c>
      <c r="S151" s="133">
        <f t="shared" si="70"/>
        <v>0</v>
      </c>
      <c r="T151" s="132">
        <f t="shared" si="53"/>
        <v>150128</v>
      </c>
      <c r="U151" s="75">
        <v>0.0</v>
      </c>
      <c r="V151" s="139">
        <f t="shared" ref="V151:Z151" si="71">V152+V154</f>
        <v>0</v>
      </c>
      <c r="W151" s="139">
        <f t="shared" si="71"/>
        <v>0</v>
      </c>
      <c r="X151" s="139">
        <f t="shared" si="71"/>
        <v>0</v>
      </c>
      <c r="Y151" s="140">
        <f t="shared" si="71"/>
        <v>0</v>
      </c>
      <c r="Z151" s="140">
        <f t="shared" si="71"/>
        <v>0</v>
      </c>
      <c r="AA151" s="79">
        <f>AA152+AA153</f>
        <v>150128</v>
      </c>
      <c r="AB151" s="133">
        <f>AB152+AB154</f>
        <v>0</v>
      </c>
      <c r="AC151" s="215"/>
      <c r="AD151" s="206" t="s">
        <v>1210</v>
      </c>
      <c r="AE151" s="621"/>
      <c r="AF151" s="621"/>
      <c r="AG151" s="621"/>
      <c r="AH151" s="622"/>
      <c r="AI151" s="622"/>
      <c r="AJ151" s="622"/>
      <c r="AK151" s="622"/>
      <c r="AL151" s="622"/>
      <c r="AM151" s="622"/>
      <c r="AN151" s="622"/>
      <c r="AO151" s="622"/>
      <c r="AP151" s="84"/>
    </row>
    <row r="152">
      <c r="A152" s="118" t="s">
        <v>1207</v>
      </c>
      <c r="B152" s="596" t="s">
        <v>1004</v>
      </c>
      <c r="C152" s="624" t="s">
        <v>1211</v>
      </c>
      <c r="D152" s="154"/>
      <c r="E152" s="158" t="s">
        <v>291</v>
      </c>
      <c r="F152" s="159" t="s">
        <v>1212</v>
      </c>
      <c r="G152" s="159"/>
      <c r="H152" s="159"/>
      <c r="I152" s="161" t="s">
        <v>1007</v>
      </c>
      <c r="J152" s="607">
        <v>46276.0</v>
      </c>
      <c r="K152" s="607">
        <v>46630.0</v>
      </c>
      <c r="L152" s="166">
        <v>0.0</v>
      </c>
      <c r="M152" s="168">
        <v>1.550994976E7</v>
      </c>
      <c r="N152" s="169">
        <v>3.76891262E7</v>
      </c>
      <c r="O152" s="169"/>
      <c r="P152" s="169"/>
      <c r="Q152" s="169"/>
      <c r="R152" s="169"/>
      <c r="S152" s="169"/>
      <c r="T152" s="168">
        <f t="shared" si="53"/>
        <v>150128</v>
      </c>
      <c r="U152" s="175">
        <v>0.0</v>
      </c>
      <c r="V152" s="175">
        <v>0.0</v>
      </c>
      <c r="W152" s="175">
        <v>0.0</v>
      </c>
      <c r="X152" s="175">
        <v>0.0</v>
      </c>
      <c r="Y152" s="175">
        <v>0.0</v>
      </c>
      <c r="Z152" s="175">
        <v>0.0</v>
      </c>
      <c r="AA152" s="175">
        <v>150128.0</v>
      </c>
      <c r="AB152" s="175">
        <v>0.0</v>
      </c>
      <c r="AC152" s="604"/>
      <c r="AD152" s="343"/>
      <c r="AE152" s="621"/>
      <c r="AF152" s="621"/>
      <c r="AG152" s="621"/>
      <c r="AH152" s="622"/>
      <c r="AI152" s="622"/>
      <c r="AJ152" s="622"/>
      <c r="AK152" s="622"/>
      <c r="AL152" s="622"/>
      <c r="AM152" s="622"/>
      <c r="AN152" s="622"/>
      <c r="AO152" s="622"/>
      <c r="AP152" s="84"/>
    </row>
    <row r="153">
      <c r="A153" s="118" t="s">
        <v>1207</v>
      </c>
      <c r="B153" s="596" t="s">
        <v>1010</v>
      </c>
      <c r="C153" s="187"/>
      <c r="D153" s="107"/>
      <c r="E153" s="158" t="s">
        <v>291</v>
      </c>
      <c r="F153" s="159" t="s">
        <v>1213</v>
      </c>
      <c r="G153" s="159"/>
      <c r="H153" s="159"/>
      <c r="I153" s="161" t="s">
        <v>296</v>
      </c>
      <c r="J153" s="607"/>
      <c r="K153" s="608"/>
      <c r="L153" s="166">
        <v>0.0</v>
      </c>
      <c r="M153" s="168">
        <v>0.0</v>
      </c>
      <c r="N153" s="169">
        <v>2.524232337E7</v>
      </c>
      <c r="O153" s="169"/>
      <c r="P153" s="169"/>
      <c r="Q153" s="169"/>
      <c r="R153" s="169"/>
      <c r="S153" s="169"/>
      <c r="T153" s="168">
        <f t="shared" si="53"/>
        <v>0</v>
      </c>
      <c r="U153" s="175">
        <v>0.0</v>
      </c>
      <c r="V153" s="175">
        <v>0.0</v>
      </c>
      <c r="W153" s="175">
        <v>0.0</v>
      </c>
      <c r="X153" s="175">
        <v>0.0</v>
      </c>
      <c r="Y153" s="175">
        <v>0.0</v>
      </c>
      <c r="Z153" s="175">
        <v>0.0</v>
      </c>
      <c r="AA153" s="175">
        <v>0.0</v>
      </c>
      <c r="AB153" s="175">
        <v>0.0</v>
      </c>
      <c r="AC153" s="604"/>
      <c r="AD153" s="343"/>
      <c r="AE153" s="621"/>
      <c r="AF153" s="621"/>
      <c r="AG153" s="621"/>
      <c r="AH153" s="622"/>
      <c r="AI153" s="622"/>
      <c r="AJ153" s="622"/>
      <c r="AK153" s="622"/>
      <c r="AL153" s="622"/>
      <c r="AM153" s="622"/>
      <c r="AN153" s="622"/>
      <c r="AO153" s="622"/>
      <c r="AP153" s="84"/>
    </row>
    <row r="154">
      <c r="A154" s="629"/>
      <c r="E154" s="348"/>
      <c r="F154" s="631"/>
      <c r="G154" s="348"/>
      <c r="H154" s="348"/>
      <c r="I154" s="632"/>
      <c r="J154" s="632" t="s">
        <v>1015</v>
      </c>
      <c r="K154" s="632"/>
      <c r="L154" s="633"/>
      <c r="M154" s="348"/>
      <c r="N154" s="348"/>
      <c r="O154" s="348"/>
      <c r="P154" s="348"/>
      <c r="Q154" s="348"/>
      <c r="R154" s="634"/>
      <c r="S154" s="348"/>
      <c r="T154" s="348"/>
      <c r="U154" s="348"/>
      <c r="V154" s="348"/>
      <c r="W154" s="348"/>
      <c r="X154" s="348"/>
      <c r="Y154" s="348"/>
      <c r="Z154" s="348"/>
      <c r="AA154" s="348"/>
      <c r="AB154" s="348"/>
      <c r="AC154" s="635"/>
      <c r="AD154" s="636"/>
      <c r="AE154" s="621"/>
      <c r="AF154" s="621"/>
      <c r="AG154" s="621"/>
      <c r="AH154" s="622"/>
      <c r="AI154" s="622"/>
      <c r="AJ154" s="622"/>
      <c r="AK154" s="622"/>
      <c r="AL154" s="622"/>
      <c r="AM154" s="622"/>
      <c r="AN154" s="622"/>
      <c r="AO154" s="622"/>
      <c r="AP154" s="84"/>
    </row>
    <row r="155" ht="30.0" customHeight="1">
      <c r="A155" s="637"/>
      <c r="B155" s="638"/>
      <c r="C155" s="638"/>
      <c r="D155" s="638"/>
      <c r="E155" s="639"/>
      <c r="F155" s="639"/>
      <c r="G155" s="639"/>
      <c r="H155" s="639"/>
      <c r="I155" s="639"/>
      <c r="J155" s="639" t="s">
        <v>1016</v>
      </c>
      <c r="K155" s="640"/>
      <c r="L155" s="641"/>
      <c r="M155" s="360">
        <f t="shared" ref="M155:S155" si="72">M156+M157+M158+M159+M160+M161+M162+M163+M164+M165+M166+M167+M168+M169+M170</f>
        <v>809559127</v>
      </c>
      <c r="N155" s="360">
        <f t="shared" si="72"/>
        <v>833896840.2</v>
      </c>
      <c r="O155" s="360">
        <f t="shared" si="72"/>
        <v>0</v>
      </c>
      <c r="P155" s="360">
        <f t="shared" si="72"/>
        <v>27896907.03</v>
      </c>
      <c r="Q155" s="643">
        <f t="shared" si="72"/>
        <v>0</v>
      </c>
      <c r="R155" s="644">
        <f t="shared" si="72"/>
        <v>0</v>
      </c>
      <c r="S155" s="360">
        <f t="shared" si="72"/>
        <v>0</v>
      </c>
      <c r="T155" s="360">
        <f t="shared" ref="T155:T170" si="74">SUM(U155:AA155)</f>
        <v>452772154.6</v>
      </c>
      <c r="U155" s="360">
        <f t="shared" ref="U155:AA155" si="73">SUM(U156:U170)</f>
        <v>310521157.6</v>
      </c>
      <c r="V155" s="360">
        <f t="shared" si="73"/>
        <v>20811860.88</v>
      </c>
      <c r="W155" s="360">
        <f t="shared" si="73"/>
        <v>15226692.85</v>
      </c>
      <c r="X155" s="360">
        <f t="shared" si="73"/>
        <v>36842476.79</v>
      </c>
      <c r="Y155" s="360">
        <f t="shared" si="73"/>
        <v>13578097.21</v>
      </c>
      <c r="Z155" s="360">
        <f t="shared" si="73"/>
        <v>18458205.13</v>
      </c>
      <c r="AA155" s="360">
        <f t="shared" si="73"/>
        <v>37333664.17</v>
      </c>
      <c r="AB155" s="370">
        <f>AB156+AB157+AB158+AB159+AB160+AB161+AB162+AB163+AB164+AB165+AB166+AB167+AB168+AB169</f>
        <v>0</v>
      </c>
      <c r="AC155" s="376"/>
      <c r="AD155" s="645"/>
      <c r="AE155" s="646"/>
      <c r="AF155" s="646"/>
      <c r="AG155" s="646"/>
      <c r="AH155" s="376"/>
      <c r="AI155" s="376"/>
      <c r="AJ155" s="376"/>
      <c r="AK155" s="376"/>
      <c r="AL155" s="376"/>
      <c r="AM155" s="376"/>
      <c r="AN155" s="376"/>
      <c r="AO155" s="376"/>
      <c r="AP155" s="377"/>
    </row>
    <row r="156" ht="18.75" customHeight="1">
      <c r="A156" s="118" t="s">
        <v>836</v>
      </c>
      <c r="B156" s="147" t="s">
        <v>149</v>
      </c>
      <c r="C156" s="142" t="s">
        <v>1124</v>
      </c>
      <c r="D156" s="149" t="s">
        <v>228</v>
      </c>
      <c r="E156" s="158" t="s">
        <v>291</v>
      </c>
      <c r="F156" s="142" t="s">
        <v>1215</v>
      </c>
      <c r="G156" s="142" t="s">
        <v>1032</v>
      </c>
      <c r="H156" s="142" t="s">
        <v>1033</v>
      </c>
      <c r="I156" s="155" t="s">
        <v>996</v>
      </c>
      <c r="J156" s="149" t="s">
        <v>997</v>
      </c>
      <c r="K156" s="149"/>
      <c r="L156" s="647">
        <f t="shared" ref="L156:L170" si="75">T156/M156</f>
        <v>0.6194579679</v>
      </c>
      <c r="M156" s="648">
        <f t="shared" ref="M156:M158" si="76">MAX(N156:R156)</f>
        <v>44217238.76</v>
      </c>
      <c r="N156" s="380">
        <v>4.421723876E7</v>
      </c>
      <c r="O156" s="380"/>
      <c r="P156" s="380"/>
      <c r="Q156" s="649"/>
      <c r="R156" s="650"/>
      <c r="S156" s="380"/>
      <c r="T156" s="648">
        <f t="shared" si="74"/>
        <v>27390720.87</v>
      </c>
      <c r="U156" s="651">
        <v>1.1296E7</v>
      </c>
      <c r="V156" s="652"/>
      <c r="W156" s="653">
        <v>1.094365947E7</v>
      </c>
      <c r="X156" s="653">
        <v>3268921.55</v>
      </c>
      <c r="Y156" s="655">
        <f>SUMIF('07.26'!$J$4:$J$1000,$F156,'07.26'!$M$4:$M$1000)</f>
        <v>0</v>
      </c>
      <c r="Z156" s="656">
        <v>1882139.85</v>
      </c>
      <c r="AA156" s="655">
        <f>SUMIF('09.26'!$J$4:$J$1429,$F156,'09.26'!$M$4:$M$1429)</f>
        <v>0</v>
      </c>
      <c r="AB156" s="167"/>
      <c r="AC156" s="141" t="s">
        <v>1215</v>
      </c>
      <c r="AD156" s="142" t="s">
        <v>1037</v>
      </c>
      <c r="AE156" s="143"/>
      <c r="AF156" s="143"/>
      <c r="AG156" s="143"/>
      <c r="AH156" s="145"/>
      <c r="AI156" s="142"/>
      <c r="AJ156" s="142"/>
      <c r="AK156" s="142"/>
      <c r="AL156" s="142"/>
      <c r="AM156" s="142"/>
      <c r="AN156" s="142"/>
      <c r="AO156" s="142"/>
      <c r="AP156" s="142"/>
    </row>
    <row r="157" ht="18.75" customHeight="1">
      <c r="A157" s="118" t="s">
        <v>836</v>
      </c>
      <c r="B157" s="147" t="s">
        <v>344</v>
      </c>
      <c r="C157" s="142" t="s">
        <v>1131</v>
      </c>
      <c r="D157" s="149" t="s">
        <v>228</v>
      </c>
      <c r="E157" s="158" t="s">
        <v>291</v>
      </c>
      <c r="F157" s="142" t="s">
        <v>1217</v>
      </c>
      <c r="G157" s="142" t="s">
        <v>1040</v>
      </c>
      <c r="H157" s="142" t="s">
        <v>1041</v>
      </c>
      <c r="I157" s="155" t="s">
        <v>996</v>
      </c>
      <c r="J157" s="149" t="s">
        <v>1042</v>
      </c>
      <c r="K157" s="149"/>
      <c r="L157" s="647">
        <f t="shared" si="75"/>
        <v>0.2426194024</v>
      </c>
      <c r="M157" s="648">
        <f t="shared" si="76"/>
        <v>106707241.5</v>
      </c>
      <c r="N157" s="380">
        <v>1.0670724151E8</v>
      </c>
      <c r="O157" s="380"/>
      <c r="P157" s="380"/>
      <c r="Q157" s="649"/>
      <c r="R157" s="650"/>
      <c r="S157" s="380"/>
      <c r="T157" s="648">
        <f t="shared" si="74"/>
        <v>25889247.17</v>
      </c>
      <c r="U157" s="651">
        <v>0.0</v>
      </c>
      <c r="V157" s="652"/>
      <c r="W157" s="652"/>
      <c r="X157" s="652"/>
      <c r="Y157" s="655">
        <f>SUMIF('07.26'!$J$4:$J$1000,$F157,'07.26'!$M$4:$M$1000)</f>
        <v>0</v>
      </c>
      <c r="Z157" s="656">
        <v>1.657606528E7</v>
      </c>
      <c r="AA157" s="656">
        <v>9313181.89</v>
      </c>
      <c r="AB157" s="167"/>
      <c r="AC157" s="141" t="s">
        <v>1217</v>
      </c>
      <c r="AD157" s="142" t="s">
        <v>1037</v>
      </c>
      <c r="AE157" s="143"/>
      <c r="AF157" s="143"/>
      <c r="AG157" s="143"/>
      <c r="AH157" s="145"/>
      <c r="AI157" s="142"/>
      <c r="AJ157" s="142"/>
      <c r="AK157" s="142"/>
      <c r="AL157" s="142"/>
      <c r="AM157" s="142"/>
      <c r="AN157" s="142"/>
      <c r="AO157" s="142"/>
      <c r="AP157" s="142"/>
    </row>
    <row r="158" ht="18.75" customHeight="1">
      <c r="A158" s="118" t="s">
        <v>1163</v>
      </c>
      <c r="B158" s="147" t="s">
        <v>365</v>
      </c>
      <c r="C158" s="142" t="s">
        <v>1043</v>
      </c>
      <c r="D158" s="149" t="s">
        <v>228</v>
      </c>
      <c r="E158" s="158" t="s">
        <v>291</v>
      </c>
      <c r="F158" s="142" t="s">
        <v>1218</v>
      </c>
      <c r="G158" s="142" t="s">
        <v>1045</v>
      </c>
      <c r="H158" s="142" t="s">
        <v>1046</v>
      </c>
      <c r="I158" s="155" t="s">
        <v>296</v>
      </c>
      <c r="J158" s="147" t="s">
        <v>1219</v>
      </c>
      <c r="K158" s="147" t="s">
        <v>1220</v>
      </c>
      <c r="L158" s="647">
        <f t="shared" si="75"/>
        <v>0.3924256932</v>
      </c>
      <c r="M158" s="648">
        <f t="shared" si="76"/>
        <v>16748362.03</v>
      </c>
      <c r="N158" s="380">
        <v>9232713.19</v>
      </c>
      <c r="O158" s="380"/>
      <c r="P158" s="380">
        <v>1.674836203E7</v>
      </c>
      <c r="Q158" s="649"/>
      <c r="R158" s="650"/>
      <c r="S158" s="380"/>
      <c r="T158" s="648">
        <f t="shared" si="74"/>
        <v>6572487.58</v>
      </c>
      <c r="U158" s="651">
        <v>6572487.58</v>
      </c>
      <c r="V158" s="652">
        <v>0.0</v>
      </c>
      <c r="W158" s="652"/>
      <c r="X158" s="652"/>
      <c r="Y158" s="655">
        <f>SUMIF('07.26'!$J$4:$J$1000,$F158,'07.26'!$M$4:$M$1000)</f>
        <v>0</v>
      </c>
      <c r="Z158" s="655">
        <f>SUMIF('08.26'!$J$4:$J$1000,$F158,'08.26'!$M$4:$M$1000)</f>
        <v>0</v>
      </c>
      <c r="AA158" s="655">
        <f>SUMIF('09.26'!$J$4:$J$1429,$F158,'09.26'!$M$4:$M$1429)</f>
        <v>0</v>
      </c>
      <c r="AB158" s="167"/>
      <c r="AC158" s="141" t="s">
        <v>1218</v>
      </c>
      <c r="AD158" s="142" t="s">
        <v>1049</v>
      </c>
      <c r="AE158" s="143"/>
      <c r="AF158" s="143"/>
      <c r="AG158" s="143"/>
      <c r="AH158" s="145"/>
      <c r="AI158" s="142"/>
      <c r="AJ158" s="142"/>
      <c r="AK158" s="142"/>
      <c r="AL158" s="142"/>
      <c r="AM158" s="142"/>
      <c r="AN158" s="142"/>
      <c r="AO158" s="142"/>
      <c r="AP158" s="142" t="s">
        <v>1050</v>
      </c>
    </row>
    <row r="159" ht="18.75" customHeight="1">
      <c r="A159" s="118" t="s">
        <v>1163</v>
      </c>
      <c r="B159" s="147" t="s">
        <v>438</v>
      </c>
      <c r="C159" s="657" t="s">
        <v>1051</v>
      </c>
      <c r="D159" s="149" t="s">
        <v>228</v>
      </c>
      <c r="E159" s="158" t="s">
        <v>291</v>
      </c>
      <c r="F159" s="142" t="s">
        <v>1029</v>
      </c>
      <c r="G159" s="142" t="s">
        <v>1053</v>
      </c>
      <c r="H159" s="142" t="s">
        <v>1054</v>
      </c>
      <c r="I159" s="155" t="s">
        <v>322</v>
      </c>
      <c r="J159" s="147" t="s">
        <v>1222</v>
      </c>
      <c r="K159" s="147" t="s">
        <v>1223</v>
      </c>
      <c r="L159" s="647">
        <f t="shared" si="75"/>
        <v>0.2845012958</v>
      </c>
      <c r="M159" s="658">
        <v>8.541456149E7</v>
      </c>
      <c r="N159" s="380">
        <v>8.715746144E7</v>
      </c>
      <c r="O159" s="380"/>
      <c r="P159" s="380"/>
      <c r="Q159" s="649"/>
      <c r="R159" s="650"/>
      <c r="S159" s="380"/>
      <c r="T159" s="648">
        <f t="shared" si="74"/>
        <v>24300553.42</v>
      </c>
      <c r="U159" s="651">
        <v>1.4237388420000002E7</v>
      </c>
      <c r="V159" s="653">
        <f t="shared" ref="V159:V160" si="77">1187500+2500000</f>
        <v>3687500</v>
      </c>
      <c r="W159" s="652"/>
      <c r="X159" s="653">
        <v>2791670.0</v>
      </c>
      <c r="Y159" s="655">
        <f>SUMIF('07.26'!$J$4:$J$1000,$F159,'07.26'!$M$4:$M$1000)</f>
        <v>1187500</v>
      </c>
      <c r="Z159" s="655">
        <f>SUMIF('08.26'!$J$4:$J$1000,$F159,'08.26'!$M$4:$M$1000)</f>
        <v>0</v>
      </c>
      <c r="AA159" s="656">
        <v>2396495.0</v>
      </c>
      <c r="AB159" s="167"/>
      <c r="AC159" s="141" t="s">
        <v>1029</v>
      </c>
      <c r="AD159" s="142" t="s">
        <v>1049</v>
      </c>
      <c r="AE159" s="143"/>
      <c r="AF159" s="143"/>
      <c r="AG159" s="143"/>
      <c r="AH159" s="145"/>
      <c r="AI159" s="142"/>
      <c r="AJ159" s="142"/>
      <c r="AK159" s="142"/>
      <c r="AL159" s="142"/>
      <c r="AM159" s="142"/>
      <c r="AN159" s="142"/>
      <c r="AO159" s="142"/>
      <c r="AP159" s="142" t="s">
        <v>1050</v>
      </c>
    </row>
    <row r="160" ht="18.75" customHeight="1">
      <c r="A160" s="118" t="s">
        <v>1163</v>
      </c>
      <c r="B160" s="147" t="s">
        <v>446</v>
      </c>
      <c r="C160" s="657" t="s">
        <v>1056</v>
      </c>
      <c r="D160" s="149" t="s">
        <v>228</v>
      </c>
      <c r="E160" s="158" t="s">
        <v>291</v>
      </c>
      <c r="F160" s="142" t="s">
        <v>1029</v>
      </c>
      <c r="G160" s="142" t="s">
        <v>1053</v>
      </c>
      <c r="H160" s="142" t="s">
        <v>1054</v>
      </c>
      <c r="I160" s="155" t="s">
        <v>322</v>
      </c>
      <c r="J160" s="147" t="s">
        <v>1222</v>
      </c>
      <c r="K160" s="147" t="s">
        <v>1223</v>
      </c>
      <c r="L160" s="647">
        <f t="shared" si="75"/>
        <v>0.4592917406</v>
      </c>
      <c r="M160" s="658">
        <v>7.662606507E7</v>
      </c>
      <c r="N160" s="380">
        <v>1.1069776137E8</v>
      </c>
      <c r="O160" s="380"/>
      <c r="P160" s="380"/>
      <c r="Q160" s="649"/>
      <c r="R160" s="650"/>
      <c r="S160" s="380"/>
      <c r="T160" s="648">
        <f t="shared" si="74"/>
        <v>35193718.8</v>
      </c>
      <c r="U160" s="651">
        <v>1.4649312670000002E7</v>
      </c>
      <c r="V160" s="653">
        <f t="shared" si="77"/>
        <v>3687500</v>
      </c>
      <c r="W160" s="652"/>
      <c r="X160" s="652"/>
      <c r="Y160" s="655"/>
      <c r="Z160" s="655">
        <f>SUMIF('08.26'!$J$4:$J$1000,$F160,'08.26'!$M$4:$M$1000)</f>
        <v>0</v>
      </c>
      <c r="AA160" s="656">
        <v>1.685690613E7</v>
      </c>
      <c r="AB160" s="167"/>
      <c r="AC160" s="141" t="s">
        <v>1029</v>
      </c>
      <c r="AD160" s="142" t="s">
        <v>1049</v>
      </c>
      <c r="AE160" s="143"/>
      <c r="AF160" s="143"/>
      <c r="AG160" s="143"/>
      <c r="AH160" s="145"/>
      <c r="AI160" s="142"/>
      <c r="AJ160" s="142"/>
      <c r="AK160" s="142"/>
      <c r="AL160" s="142"/>
      <c r="AM160" s="142"/>
      <c r="AN160" s="142"/>
      <c r="AO160" s="142"/>
      <c r="AP160" s="142" t="s">
        <v>1050</v>
      </c>
    </row>
    <row r="161" ht="18.75" customHeight="1">
      <c r="A161" s="118" t="s">
        <v>1163</v>
      </c>
      <c r="B161" s="147" t="s">
        <v>497</v>
      </c>
      <c r="C161" s="657" t="s">
        <v>1060</v>
      </c>
      <c r="D161" s="149" t="s">
        <v>228</v>
      </c>
      <c r="E161" s="158" t="s">
        <v>291</v>
      </c>
      <c r="F161" s="142" t="s">
        <v>1224</v>
      </c>
      <c r="G161" s="142" t="s">
        <v>1053</v>
      </c>
      <c r="H161" s="142" t="s">
        <v>1054</v>
      </c>
      <c r="I161" s="155" t="s">
        <v>296</v>
      </c>
      <c r="J161" s="147" t="s">
        <v>1222</v>
      </c>
      <c r="K161" s="147" t="s">
        <v>1225</v>
      </c>
      <c r="L161" s="647">
        <f t="shared" si="75"/>
        <v>0.6468513544</v>
      </c>
      <c r="M161" s="648">
        <f t="shared" ref="M161:M168" si="78">MAX(N161:R161)</f>
        <v>5132903.05</v>
      </c>
      <c r="N161" s="380">
        <v>5132903.05</v>
      </c>
      <c r="O161" s="380"/>
      <c r="P161" s="380"/>
      <c r="Q161" s="649"/>
      <c r="R161" s="650"/>
      <c r="S161" s="380"/>
      <c r="T161" s="648">
        <f t="shared" si="74"/>
        <v>3320225.29</v>
      </c>
      <c r="U161" s="651">
        <v>0.0</v>
      </c>
      <c r="V161" s="652">
        <v>0.0</v>
      </c>
      <c r="W161" s="652">
        <v>0.0</v>
      </c>
      <c r="X161" s="652">
        <v>3320225.29</v>
      </c>
      <c r="Y161" s="655">
        <f>SUMIF('07.26'!$J$4:$J$1000,$F161,'07.26'!$M$4:$M$1000)</f>
        <v>0</v>
      </c>
      <c r="Z161" s="655">
        <f>SUMIF('08.26'!$J$4:$J$1000,$F161,'08.26'!$M$4:$M$1000)</f>
        <v>0</v>
      </c>
      <c r="AA161" s="655">
        <f>SUMIF('09.26'!$J$4:$J$1429,$F161,'09.26'!$M$4:$M$1429)</f>
        <v>0</v>
      </c>
      <c r="AB161" s="167"/>
      <c r="AC161" s="141" t="s">
        <v>1224</v>
      </c>
      <c r="AD161" s="142" t="s">
        <v>1063</v>
      </c>
      <c r="AE161" s="143"/>
      <c r="AF161" s="143"/>
      <c r="AG161" s="143"/>
      <c r="AH161" s="145"/>
      <c r="AI161" s="142"/>
      <c r="AJ161" s="142"/>
      <c r="AK161" s="142"/>
      <c r="AL161" s="142"/>
      <c r="AM161" s="142"/>
      <c r="AN161" s="142"/>
      <c r="AO161" s="142"/>
      <c r="AP161" s="142"/>
    </row>
    <row r="162" ht="18.75" customHeight="1">
      <c r="A162" s="118" t="s">
        <v>1163</v>
      </c>
      <c r="B162" s="147" t="s">
        <v>611</v>
      </c>
      <c r="C162" s="659" t="s">
        <v>1064</v>
      </c>
      <c r="D162" s="149" t="s">
        <v>228</v>
      </c>
      <c r="E162" s="158" t="s">
        <v>291</v>
      </c>
      <c r="F162" s="142" t="s">
        <v>1059</v>
      </c>
      <c r="G162" s="142" t="s">
        <v>1067</v>
      </c>
      <c r="H162" s="142" t="s">
        <v>1068</v>
      </c>
      <c r="I162" s="155" t="s">
        <v>296</v>
      </c>
      <c r="J162" s="147" t="s">
        <v>1226</v>
      </c>
      <c r="K162" s="147" t="s">
        <v>1227</v>
      </c>
      <c r="L162" s="647">
        <f t="shared" si="75"/>
        <v>0.7404984309</v>
      </c>
      <c r="M162" s="648">
        <f t="shared" si="78"/>
        <v>65974957.5</v>
      </c>
      <c r="N162" s="380">
        <v>6.59749575E7</v>
      </c>
      <c r="O162" s="380"/>
      <c r="P162" s="380"/>
      <c r="Q162" s="649"/>
      <c r="R162" s="650"/>
      <c r="S162" s="380"/>
      <c r="T162" s="648">
        <f t="shared" si="74"/>
        <v>48854352.51</v>
      </c>
      <c r="U162" s="651">
        <v>3.8313457019999996E7</v>
      </c>
      <c r="V162" s="652">
        <v>2142915.88</v>
      </c>
      <c r="W162" s="653">
        <v>0.0</v>
      </c>
      <c r="X162" s="653">
        <f>1061497+3319306.53</f>
        <v>4380803.53</v>
      </c>
      <c r="Y162" s="655">
        <f>SUMIF('07.26'!$J$4:$J$1000,$F162,'07.26'!$M$4:$M$1000)</f>
        <v>4017176.08</v>
      </c>
      <c r="Z162" s="655">
        <f>SUMIF('08.26'!$J$4:$J$1000,$F162,'08.26'!$M$4:$M$1000)</f>
        <v>0</v>
      </c>
      <c r="AA162" s="655">
        <f>SUMIF('09.26'!$J$4:$J$1429,$F162,'09.26'!$M$4:$M$1429)</f>
        <v>0</v>
      </c>
      <c r="AB162" s="167"/>
      <c r="AC162" s="141" t="s">
        <v>1059</v>
      </c>
      <c r="AD162" s="142" t="s">
        <v>1049</v>
      </c>
      <c r="AE162" s="143"/>
      <c r="AF162" s="143"/>
      <c r="AG162" s="143"/>
      <c r="AH162" s="145"/>
      <c r="AI162" s="142"/>
      <c r="AJ162" s="142"/>
      <c r="AK162" s="142"/>
      <c r="AL162" s="142"/>
      <c r="AM162" s="142"/>
      <c r="AN162" s="142"/>
      <c r="AO162" s="142"/>
      <c r="AP162" s="142"/>
    </row>
    <row r="163" ht="18.75" customHeight="1">
      <c r="A163" s="118" t="s">
        <v>1163</v>
      </c>
      <c r="B163" s="147" t="s">
        <v>637</v>
      </c>
      <c r="C163" s="659" t="s">
        <v>1071</v>
      </c>
      <c r="D163" s="149" t="s">
        <v>228</v>
      </c>
      <c r="E163" s="158" t="s">
        <v>291</v>
      </c>
      <c r="F163" s="142" t="s">
        <v>1059</v>
      </c>
      <c r="G163" s="142" t="s">
        <v>1067</v>
      </c>
      <c r="H163" s="142" t="s">
        <v>1068</v>
      </c>
      <c r="I163" s="155" t="s">
        <v>296</v>
      </c>
      <c r="J163" s="147" t="s">
        <v>1226</v>
      </c>
      <c r="K163" s="147" t="s">
        <v>1227</v>
      </c>
      <c r="L163" s="647">
        <f t="shared" si="75"/>
        <v>0.6024244606</v>
      </c>
      <c r="M163" s="648">
        <f t="shared" si="78"/>
        <v>30376942.5</v>
      </c>
      <c r="N163" s="380">
        <v>3.03769425E7</v>
      </c>
      <c r="O163" s="380"/>
      <c r="P163" s="380"/>
      <c r="Q163" s="649"/>
      <c r="R163" s="650"/>
      <c r="S163" s="380"/>
      <c r="T163" s="648">
        <f t="shared" si="74"/>
        <v>18299813.2</v>
      </c>
      <c r="U163" s="651">
        <v>1.33214312E7</v>
      </c>
      <c r="V163" s="652">
        <v>0.0</v>
      </c>
      <c r="W163" s="653">
        <v>0.0</v>
      </c>
      <c r="X163" s="653">
        <v>4978382.0</v>
      </c>
      <c r="Y163" s="655"/>
      <c r="Z163" s="655">
        <f>SUMIF('08.26'!$J$4:$J$1000,$F163,'08.26'!$M$4:$M$1000)</f>
        <v>0</v>
      </c>
      <c r="AA163" s="655">
        <f>SUMIF('09.26'!$J$4:$J$1429,$F163,'09.26'!$M$4:$M$1429)</f>
        <v>0</v>
      </c>
      <c r="AB163" s="167"/>
      <c r="AC163" s="141" t="s">
        <v>1059</v>
      </c>
      <c r="AD163" s="142" t="s">
        <v>1049</v>
      </c>
      <c r="AE163" s="143"/>
      <c r="AF163" s="143"/>
      <c r="AG163" s="143"/>
      <c r="AH163" s="145"/>
      <c r="AI163" s="142"/>
      <c r="AJ163" s="142"/>
      <c r="AK163" s="142"/>
      <c r="AL163" s="142"/>
      <c r="AM163" s="142"/>
      <c r="AN163" s="142"/>
      <c r="AO163" s="142"/>
      <c r="AP163" s="142"/>
    </row>
    <row r="164" ht="18.75" customHeight="1">
      <c r="A164" s="118" t="s">
        <v>1163</v>
      </c>
      <c r="B164" s="147" t="s">
        <v>653</v>
      </c>
      <c r="C164" s="659" t="s">
        <v>1075</v>
      </c>
      <c r="D164" s="149" t="s">
        <v>228</v>
      </c>
      <c r="E164" s="158" t="s">
        <v>291</v>
      </c>
      <c r="F164" s="142" t="s">
        <v>1070</v>
      </c>
      <c r="G164" s="142" t="s">
        <v>1067</v>
      </c>
      <c r="H164" s="142" t="s">
        <v>1068</v>
      </c>
      <c r="I164" s="155" t="s">
        <v>322</v>
      </c>
      <c r="J164" s="147" t="s">
        <v>1230</v>
      </c>
      <c r="K164" s="147" t="s">
        <v>1231</v>
      </c>
      <c r="L164" s="647">
        <f t="shared" si="75"/>
        <v>0.6673927914</v>
      </c>
      <c r="M164" s="648">
        <f t="shared" si="78"/>
        <v>89020636.54</v>
      </c>
      <c r="N164" s="380">
        <v>8.902063654E7</v>
      </c>
      <c r="O164" s="380"/>
      <c r="P164" s="380"/>
      <c r="Q164" s="649"/>
      <c r="R164" s="650"/>
      <c r="S164" s="380"/>
      <c r="T164" s="648">
        <f t="shared" si="74"/>
        <v>59411731.11</v>
      </c>
      <c r="U164" s="651">
        <v>4.892987639E7</v>
      </c>
      <c r="V164" s="652">
        <v>3070000.0</v>
      </c>
      <c r="W164" s="653">
        <v>0.0</v>
      </c>
      <c r="X164" s="653">
        <f>747120.84+4034517.75</f>
        <v>4781638.59</v>
      </c>
      <c r="Y164" s="655">
        <f>SUMIF('07.26'!$J$4:$J$1000,$F164,'07.26'!$M$4:$M$1000)</f>
        <v>2630216.13</v>
      </c>
      <c r="Z164" s="655">
        <f>SUMIF('08.26'!$J$4:$J$1000,$F164,'08.26'!$M$4:$M$1000)</f>
        <v>0</v>
      </c>
      <c r="AA164" s="655">
        <f>SUMIF('09.26'!$J$4:$J$1429,$F164,'09.26'!$M$4:$M$1429)</f>
        <v>0</v>
      </c>
      <c r="AB164" s="167"/>
      <c r="AC164" s="141" t="s">
        <v>1070</v>
      </c>
      <c r="AD164" s="142" t="s">
        <v>1049</v>
      </c>
      <c r="AE164" s="143"/>
      <c r="AF164" s="143"/>
      <c r="AG164" s="143"/>
      <c r="AH164" s="145"/>
      <c r="AI164" s="142"/>
      <c r="AJ164" s="142"/>
      <c r="AK164" s="142"/>
      <c r="AL164" s="142"/>
      <c r="AM164" s="142"/>
      <c r="AN164" s="142"/>
      <c r="AO164" s="142"/>
      <c r="AP164" s="142"/>
    </row>
    <row r="165" ht="18.75" customHeight="1">
      <c r="A165" s="118" t="s">
        <v>1163</v>
      </c>
      <c r="B165" s="147" t="s">
        <v>755</v>
      </c>
      <c r="C165" s="142" t="s">
        <v>1019</v>
      </c>
      <c r="D165" s="149" t="s">
        <v>228</v>
      </c>
      <c r="E165" s="158" t="s">
        <v>291</v>
      </c>
      <c r="F165" s="142" t="s">
        <v>1020</v>
      </c>
      <c r="G165" s="142" t="s">
        <v>1081</v>
      </c>
      <c r="H165" s="142" t="s">
        <v>1082</v>
      </c>
      <c r="I165" s="155" t="s">
        <v>322</v>
      </c>
      <c r="J165" s="147" t="s">
        <v>1232</v>
      </c>
      <c r="K165" s="147" t="s">
        <v>1231</v>
      </c>
      <c r="L165" s="647">
        <f t="shared" si="75"/>
        <v>0.9233369649</v>
      </c>
      <c r="M165" s="648">
        <f t="shared" si="78"/>
        <v>98643397.97</v>
      </c>
      <c r="N165" s="380">
        <v>9.864339797E7</v>
      </c>
      <c r="O165" s="380"/>
      <c r="P165" s="380"/>
      <c r="Q165" s="649"/>
      <c r="R165" s="650"/>
      <c r="S165" s="380"/>
      <c r="T165" s="648">
        <f t="shared" si="74"/>
        <v>91081095.69</v>
      </c>
      <c r="U165" s="651">
        <v>8.357581569E7</v>
      </c>
      <c r="V165" s="652">
        <v>1940250.0</v>
      </c>
      <c r="W165" s="652">
        <v>1865030.0</v>
      </c>
      <c r="X165" s="652">
        <v>1850000.0</v>
      </c>
      <c r="Y165" s="655">
        <f>SUMIF('07.26'!$J$4:$J$1000,$F165,'07.26'!$M$4:$M$1000)</f>
        <v>1850000</v>
      </c>
      <c r="Z165" s="655">
        <f>SUMIF('08.26'!$J$4:$J$1000,$F165,'08.26'!$M$4:$M$1000)</f>
        <v>0</v>
      </c>
      <c r="AA165" s="655">
        <f>SUMIF('09.26'!$J$4:$J$1429,$F165,'09.26'!$M$4:$M$1429)</f>
        <v>0</v>
      </c>
      <c r="AB165" s="167"/>
      <c r="AC165" s="141" t="s">
        <v>1020</v>
      </c>
      <c r="AD165" s="142" t="s">
        <v>1037</v>
      </c>
      <c r="AE165" s="143"/>
      <c r="AF165" s="143"/>
      <c r="AG165" s="143"/>
      <c r="AH165" s="145"/>
      <c r="AI165" s="142"/>
      <c r="AJ165" s="142"/>
      <c r="AK165" s="142"/>
      <c r="AL165" s="142"/>
      <c r="AM165" s="142"/>
      <c r="AN165" s="142"/>
      <c r="AO165" s="142"/>
      <c r="AP165" s="142"/>
    </row>
    <row r="166" ht="18.75" customHeight="1">
      <c r="A166" s="118" t="s">
        <v>1163</v>
      </c>
      <c r="B166" s="147" t="s">
        <v>774</v>
      </c>
      <c r="C166" s="142" t="s">
        <v>1022</v>
      </c>
      <c r="D166" s="149" t="s">
        <v>228</v>
      </c>
      <c r="E166" s="158" t="s">
        <v>291</v>
      </c>
      <c r="F166" s="142" t="s">
        <v>1023</v>
      </c>
      <c r="G166" s="142" t="s">
        <v>1086</v>
      </c>
      <c r="H166" s="142" t="s">
        <v>1082</v>
      </c>
      <c r="I166" s="155" t="s">
        <v>322</v>
      </c>
      <c r="J166" s="147" t="s">
        <v>1233</v>
      </c>
      <c r="K166" s="147" t="s">
        <v>1234</v>
      </c>
      <c r="L166" s="647">
        <f t="shared" si="75"/>
        <v>0.7235987871</v>
      </c>
      <c r="M166" s="648">
        <f t="shared" si="78"/>
        <v>120899880.3</v>
      </c>
      <c r="N166" s="380">
        <v>1.208998803E8</v>
      </c>
      <c r="O166" s="380"/>
      <c r="P166" s="380"/>
      <c r="Q166" s="649"/>
      <c r="R166" s="650"/>
      <c r="S166" s="380"/>
      <c r="T166" s="648">
        <f t="shared" si="74"/>
        <v>87483006.75</v>
      </c>
      <c r="U166" s="651">
        <v>7.66684026E7</v>
      </c>
      <c r="V166" s="652">
        <v>2083695.0</v>
      </c>
      <c r="W166" s="652"/>
      <c r="X166" s="653">
        <v>3816863.0</v>
      </c>
      <c r="Y166" s="655">
        <f>SUMIF('07.26'!$J$4:$J$1000,$F166,'07.26'!$M$4:$M$1000)</f>
        <v>1793205</v>
      </c>
      <c r="Z166" s="655">
        <f>SUMIF('08.26'!$J$4:$J$1000,$F166,'08.26'!$M$4:$M$1000)</f>
        <v>0</v>
      </c>
      <c r="AA166" s="656">
        <v>3120841.15</v>
      </c>
      <c r="AB166" s="167"/>
      <c r="AC166" s="141" t="s">
        <v>1023</v>
      </c>
      <c r="AD166" s="142" t="s">
        <v>1037</v>
      </c>
      <c r="AE166" s="143"/>
      <c r="AF166" s="143"/>
      <c r="AG166" s="143"/>
      <c r="AH166" s="145"/>
      <c r="AI166" s="142"/>
      <c r="AJ166" s="142"/>
      <c r="AK166" s="142"/>
      <c r="AL166" s="142"/>
      <c r="AM166" s="142"/>
      <c r="AN166" s="142"/>
      <c r="AO166" s="142"/>
      <c r="AP166" s="142"/>
    </row>
    <row r="167" ht="18.75" customHeight="1">
      <c r="A167" s="118" t="s">
        <v>1163</v>
      </c>
      <c r="B167" s="147" t="s">
        <v>787</v>
      </c>
      <c r="C167" s="142" t="s">
        <v>1236</v>
      </c>
      <c r="D167" s="149" t="s">
        <v>228</v>
      </c>
      <c r="E167" s="158" t="s">
        <v>291</v>
      </c>
      <c r="F167" s="142" t="s">
        <v>1238</v>
      </c>
      <c r="G167" s="142" t="s">
        <v>1090</v>
      </c>
      <c r="H167" s="142" t="s">
        <v>1091</v>
      </c>
      <c r="I167" s="155" t="s">
        <v>296</v>
      </c>
      <c r="J167" s="147" t="s">
        <v>1239</v>
      </c>
      <c r="K167" s="147" t="s">
        <v>1240</v>
      </c>
      <c r="L167" s="647">
        <f t="shared" si="75"/>
        <v>0.8302140773</v>
      </c>
      <c r="M167" s="648">
        <f t="shared" si="78"/>
        <v>11148545</v>
      </c>
      <c r="N167" s="380">
        <v>9999069.8</v>
      </c>
      <c r="O167" s="380"/>
      <c r="P167" s="380">
        <v>1.1148545E7</v>
      </c>
      <c r="Q167" s="649"/>
      <c r="R167" s="650"/>
      <c r="S167" s="380"/>
      <c r="T167" s="648">
        <f t="shared" si="74"/>
        <v>9255679</v>
      </c>
      <c r="U167" s="651">
        <v>2956986.0</v>
      </c>
      <c r="V167" s="652">
        <v>0.0</v>
      </c>
      <c r="W167" s="652"/>
      <c r="X167" s="652">
        <v>6298693.0</v>
      </c>
      <c r="Y167" s="655">
        <f>SUMIF('07.26'!$J$4:$J$1000,$F167,'07.26'!$M$4:$M$1000)</f>
        <v>0</v>
      </c>
      <c r="Z167" s="655">
        <f>SUMIF('08.26'!$J$4:$J$1000,$F167,'08.26'!$M$4:$M$1000)</f>
        <v>0</v>
      </c>
      <c r="AA167" s="655">
        <f>SUMIF('09.26'!$J$4:$J$1429,$F167,'09.26'!$M$4:$M$1429)</f>
        <v>0</v>
      </c>
      <c r="AB167" s="167"/>
      <c r="AC167" s="141" t="s">
        <v>1238</v>
      </c>
      <c r="AD167" s="142" t="s">
        <v>1037</v>
      </c>
      <c r="AE167" s="143"/>
      <c r="AF167" s="143"/>
      <c r="AG167" s="143"/>
      <c r="AH167" s="145"/>
      <c r="AI167" s="142"/>
      <c r="AJ167" s="142"/>
      <c r="AK167" s="142"/>
      <c r="AL167" s="142"/>
      <c r="AM167" s="142"/>
      <c r="AN167" s="142"/>
      <c r="AO167" s="142"/>
      <c r="AP167" s="142" t="s">
        <v>1050</v>
      </c>
    </row>
    <row r="168" ht="18.75" customHeight="1">
      <c r="A168" s="118" t="s">
        <v>260</v>
      </c>
      <c r="B168" s="147" t="s">
        <v>804</v>
      </c>
      <c r="C168" s="142" t="s">
        <v>1074</v>
      </c>
      <c r="D168" s="149" t="s">
        <v>228</v>
      </c>
      <c r="E168" s="158" t="s">
        <v>291</v>
      </c>
      <c r="F168" s="142" t="s">
        <v>1077</v>
      </c>
      <c r="G168" s="142" t="s">
        <v>84</v>
      </c>
      <c r="H168" s="142" t="s">
        <v>1095</v>
      </c>
      <c r="I168" s="155" t="s">
        <v>1096</v>
      </c>
      <c r="J168" s="663">
        <v>45992.0</v>
      </c>
      <c r="K168" s="149" t="s">
        <v>1242</v>
      </c>
      <c r="L168" s="664">
        <f t="shared" si="75"/>
        <v>0.193047454</v>
      </c>
      <c r="M168" s="648">
        <f t="shared" si="78"/>
        <v>52774606.28</v>
      </c>
      <c r="N168" s="380">
        <v>5.277460628E7</v>
      </c>
      <c r="O168" s="380"/>
      <c r="P168" s="380"/>
      <c r="Q168" s="649"/>
      <c r="R168" s="650"/>
      <c r="S168" s="380"/>
      <c r="T168" s="648">
        <f t="shared" si="74"/>
        <v>10188003.38</v>
      </c>
      <c r="U168" s="651">
        <v>0.0</v>
      </c>
      <c r="V168" s="652">
        <v>4200000.0</v>
      </c>
      <c r="W168" s="652">
        <v>2418003.38</v>
      </c>
      <c r="X168" s="652"/>
      <c r="Y168" s="655">
        <f>SUMIF('07.26'!$J$4:$J$1000,$F168,'07.26'!$M$4:$M$1000)</f>
        <v>2100000</v>
      </c>
      <c r="Z168" s="655">
        <f>SUMIF('08.26'!$J$4:$J$1000,$F168,'08.26'!$M$4:$M$1000)</f>
        <v>0</v>
      </c>
      <c r="AA168" s="655">
        <f>SUMIF('09.26'!$J$4:$J$1429,$F168,'09.26'!$M$4:$M$1429)</f>
        <v>1470000</v>
      </c>
      <c r="AB168" s="167"/>
      <c r="AC168" s="141" t="s">
        <v>1077</v>
      </c>
      <c r="AD168" s="142" t="s">
        <v>1100</v>
      </c>
      <c r="AE168" s="143"/>
      <c r="AF168" s="143"/>
      <c r="AG168" s="143"/>
      <c r="AH168" s="145"/>
      <c r="AI168" s="142"/>
      <c r="AJ168" s="142"/>
      <c r="AK168" s="142"/>
      <c r="AL168" s="142"/>
      <c r="AM168" s="142"/>
      <c r="AN168" s="142"/>
      <c r="AO168" s="142"/>
      <c r="AP168" s="84"/>
    </row>
    <row r="169" ht="18.75" customHeight="1">
      <c r="A169" s="118" t="s">
        <v>260</v>
      </c>
      <c r="B169" s="147" t="s">
        <v>825</v>
      </c>
      <c r="C169" s="142" t="s">
        <v>1235</v>
      </c>
      <c r="D169" s="149" t="s">
        <v>228</v>
      </c>
      <c r="E169" s="158" t="s">
        <v>291</v>
      </c>
      <c r="F169" s="142" t="s">
        <v>1243</v>
      </c>
      <c r="G169" s="142" t="s">
        <v>1103</v>
      </c>
      <c r="H169" s="142" t="s">
        <v>1104</v>
      </c>
      <c r="I169" s="155" t="s">
        <v>322</v>
      </c>
      <c r="J169" s="663">
        <v>46023.0</v>
      </c>
      <c r="K169" s="149" t="s">
        <v>1244</v>
      </c>
      <c r="L169" s="664">
        <f t="shared" si="75"/>
        <v>1</v>
      </c>
      <c r="M169" s="648">
        <v>4176240.0</v>
      </c>
      <c r="N169" s="380">
        <v>3062030.0</v>
      </c>
      <c r="O169" s="380"/>
      <c r="P169" s="380"/>
      <c r="Q169" s="649"/>
      <c r="R169" s="650"/>
      <c r="S169" s="380"/>
      <c r="T169" s="648">
        <f t="shared" si="74"/>
        <v>4176240</v>
      </c>
      <c r="U169" s="651">
        <v>0.0</v>
      </c>
      <c r="V169" s="652"/>
      <c r="W169" s="652"/>
      <c r="X169" s="652"/>
      <c r="Y169" s="655">
        <f>SUMIF('07.26'!$J$4:$J$1000,$F169,'07.26'!$M$4:$M$1000)</f>
        <v>0</v>
      </c>
      <c r="Z169" s="655">
        <f>SUMIF('08.26'!$J$4:$J$1000,$F169,'08.26'!$M$4:$M$1000)</f>
        <v>0</v>
      </c>
      <c r="AA169" s="655">
        <f>SUMIF('09.26'!$J$4:$J$1429,$F169,'09.26'!$M$4:$M$1429)</f>
        <v>4176240</v>
      </c>
      <c r="AB169" s="167"/>
      <c r="AC169" s="141" t="s">
        <v>1243</v>
      </c>
      <c r="AD169" s="142" t="s">
        <v>448</v>
      </c>
      <c r="AE169" s="143"/>
      <c r="AF169" s="143"/>
      <c r="AG169" s="143"/>
      <c r="AH169" s="145"/>
      <c r="AI169" s="142"/>
      <c r="AJ169" s="142"/>
      <c r="AK169" s="142"/>
      <c r="AL169" s="142"/>
      <c r="AM169" s="142"/>
      <c r="AN169" s="142"/>
      <c r="AO169" s="142"/>
      <c r="AP169" s="84"/>
    </row>
    <row r="170" ht="18.75" customHeight="1">
      <c r="A170" s="118" t="s">
        <v>822</v>
      </c>
      <c r="B170" s="147" t="s">
        <v>842</v>
      </c>
      <c r="C170" s="142" t="s">
        <v>1106</v>
      </c>
      <c r="D170" s="149" t="s">
        <v>228</v>
      </c>
      <c r="E170" s="158" t="s">
        <v>291</v>
      </c>
      <c r="F170" s="142" t="s">
        <v>1107</v>
      </c>
      <c r="G170" s="142" t="s">
        <v>1108</v>
      </c>
      <c r="H170" s="142" t="s">
        <v>1109</v>
      </c>
      <c r="I170" s="155" t="s">
        <v>1110</v>
      </c>
      <c r="J170" s="663">
        <v>46167.0</v>
      </c>
      <c r="K170" s="663">
        <v>46203.0</v>
      </c>
      <c r="L170" s="664">
        <f t="shared" si="75"/>
        <v>0.798374507</v>
      </c>
      <c r="M170" s="648">
        <v>1697548.98</v>
      </c>
      <c r="N170" s="380"/>
      <c r="O170" s="380"/>
      <c r="P170" s="380"/>
      <c r="Q170" s="649"/>
      <c r="R170" s="667"/>
      <c r="S170" s="380"/>
      <c r="T170" s="648">
        <f t="shared" si="74"/>
        <v>1355279.83</v>
      </c>
      <c r="U170" s="651">
        <v>0.0</v>
      </c>
      <c r="V170" s="652"/>
      <c r="W170" s="652"/>
      <c r="X170" s="653">
        <v>1355279.83</v>
      </c>
      <c r="Y170" s="655">
        <f>SUMIF('07.26'!$J$4:$J$1000,$F170,'07.26'!$M$4:$M$1000)</f>
        <v>0</v>
      </c>
      <c r="Z170" s="655">
        <f>SUMIF('08.26'!$J$4:$J$1000,$F170,'08.26'!$M$4:$M$1000)</f>
        <v>0</v>
      </c>
      <c r="AA170" s="655">
        <f>SUMIF('09.26'!$J$4:$J$1429,$F170,'09.26'!$M$4:$M$1429)</f>
        <v>0</v>
      </c>
      <c r="AB170" s="167"/>
      <c r="AC170" s="141" t="s">
        <v>1107</v>
      </c>
      <c r="AD170" s="142" t="s">
        <v>1112</v>
      </c>
      <c r="AE170" s="143"/>
      <c r="AF170" s="143"/>
      <c r="AG170" s="143"/>
      <c r="AH170" s="145"/>
      <c r="AI170" s="142"/>
      <c r="AJ170" s="142"/>
      <c r="AK170" s="142"/>
      <c r="AL170" s="142"/>
      <c r="AM170" s="142"/>
      <c r="AN170" s="142"/>
      <c r="AO170" s="142"/>
      <c r="AP170" s="84"/>
    </row>
  </sheetData>
  <autoFilter ref="$B$4:$AP$170"/>
  <mergeCells count="109">
    <mergeCell ref="V3:X3"/>
    <mergeCell ref="Y3:AA3"/>
    <mergeCell ref="J4:K4"/>
    <mergeCell ref="V6:X6"/>
    <mergeCell ref="Y6:AA6"/>
    <mergeCell ref="B9:B10"/>
    <mergeCell ref="C9:D10"/>
    <mergeCell ref="C14:D14"/>
    <mergeCell ref="B16:B18"/>
    <mergeCell ref="C16:D18"/>
    <mergeCell ref="C19:D19"/>
    <mergeCell ref="B21:B22"/>
    <mergeCell ref="B11:B13"/>
    <mergeCell ref="C11:D13"/>
    <mergeCell ref="C21:D22"/>
    <mergeCell ref="C23:D23"/>
    <mergeCell ref="C24:D24"/>
    <mergeCell ref="C25:D25"/>
    <mergeCell ref="B26:B28"/>
    <mergeCell ref="C26:D28"/>
    <mergeCell ref="B29:B32"/>
    <mergeCell ref="B40:B41"/>
    <mergeCell ref="B42:B43"/>
    <mergeCell ref="B44:B45"/>
    <mergeCell ref="B46:B47"/>
    <mergeCell ref="B55:B56"/>
    <mergeCell ref="C29:D32"/>
    <mergeCell ref="C33:D33"/>
    <mergeCell ref="C34:D34"/>
    <mergeCell ref="C36:D36"/>
    <mergeCell ref="B38:B39"/>
    <mergeCell ref="C38:D39"/>
    <mergeCell ref="C40:D41"/>
    <mergeCell ref="C42:D43"/>
    <mergeCell ref="C44:D45"/>
    <mergeCell ref="C46:D47"/>
    <mergeCell ref="C48:D48"/>
    <mergeCell ref="C49:D49"/>
    <mergeCell ref="C50:D50"/>
    <mergeCell ref="C51:D51"/>
    <mergeCell ref="C52:D52"/>
    <mergeCell ref="H65:H66"/>
    <mergeCell ref="H68:H70"/>
    <mergeCell ref="B123:B124"/>
    <mergeCell ref="C123:D124"/>
    <mergeCell ref="B126:B127"/>
    <mergeCell ref="C126:D127"/>
    <mergeCell ref="C128:D128"/>
    <mergeCell ref="B130:B131"/>
    <mergeCell ref="C130:D131"/>
    <mergeCell ref="C146:D147"/>
    <mergeCell ref="C149:D149"/>
    <mergeCell ref="C150:D150"/>
    <mergeCell ref="C152:D153"/>
    <mergeCell ref="B133:B134"/>
    <mergeCell ref="C133:D134"/>
    <mergeCell ref="B135:B136"/>
    <mergeCell ref="C135:D136"/>
    <mergeCell ref="C138:D143"/>
    <mergeCell ref="C144:D145"/>
    <mergeCell ref="C90:D92"/>
    <mergeCell ref="C93:D94"/>
    <mergeCell ref="C83:D83"/>
    <mergeCell ref="C84:D84"/>
    <mergeCell ref="C85:D85"/>
    <mergeCell ref="C87:D88"/>
    <mergeCell ref="C96:D96"/>
    <mergeCell ref="C53:D53"/>
    <mergeCell ref="C55:D56"/>
    <mergeCell ref="A58:A59"/>
    <mergeCell ref="C58:D59"/>
    <mergeCell ref="C60:D61"/>
    <mergeCell ref="H60:H61"/>
    <mergeCell ref="H62:H64"/>
    <mergeCell ref="C62:D64"/>
    <mergeCell ref="C65:D67"/>
    <mergeCell ref="C68:D70"/>
    <mergeCell ref="C71:D72"/>
    <mergeCell ref="H71:H72"/>
    <mergeCell ref="H73:H74"/>
    <mergeCell ref="C73:D75"/>
    <mergeCell ref="C76:D77"/>
    <mergeCell ref="G76:G77"/>
    <mergeCell ref="H76:H77"/>
    <mergeCell ref="C78:D79"/>
    <mergeCell ref="G78:G79"/>
    <mergeCell ref="H78:H79"/>
    <mergeCell ref="C80:D81"/>
    <mergeCell ref="C97:D101"/>
    <mergeCell ref="C102:D102"/>
    <mergeCell ref="C103:D103"/>
    <mergeCell ref="C104:D104"/>
    <mergeCell ref="C105:D105"/>
    <mergeCell ref="C106:D106"/>
    <mergeCell ref="C107:D107"/>
    <mergeCell ref="C109:D110"/>
    <mergeCell ref="C112:D113"/>
    <mergeCell ref="C115:D116"/>
    <mergeCell ref="C118:D119"/>
    <mergeCell ref="C120:D120"/>
    <mergeCell ref="C121:D121"/>
    <mergeCell ref="H87:H88"/>
    <mergeCell ref="H90:H91"/>
    <mergeCell ref="G80:G81"/>
    <mergeCell ref="H80:H81"/>
    <mergeCell ref="H97:H99"/>
    <mergeCell ref="H109:H110"/>
    <mergeCell ref="H115:H116"/>
    <mergeCell ref="H93:H94"/>
  </mergeCells>
  <conditionalFormatting sqref="L1:L170">
    <cfRule type="cellIs" dxfId="8" priority="1" operator="greaterThan">
      <formula>1</formula>
    </cfRule>
  </conditionalFormatting>
  <conditionalFormatting sqref="L1:L170">
    <cfRule type="cellIs" dxfId="9" priority="2" operator="equal">
      <formula>1</formula>
    </cfRule>
  </conditionalFormatting>
  <conditionalFormatting sqref="L1:L170">
    <cfRule type="cellIs" dxfId="10" priority="3" operator="equal">
      <formula>0</formula>
    </cfRule>
  </conditionalFormatting>
  <dataValidations>
    <dataValidation type="list" allowBlank="1" showErrorMessage="1" sqref="E9:E14 E16:E19 E21:E34 E36 E38:E53 E55:E56 E58:E81 E83:E85 E87:E88 E90:E94 E96:E107 E109:E110 E112:E113 E115:E116 E118:E121 E123:E124 E126:E128 E130:E131 E133:E136 E138:E147 E149:E150 E152:E153 E156:E170">
      <formula1>"Активный,Подать на закрытие,В процессе закрытия,Закрыт,Продление"</formula1>
    </dataValidation>
  </dataValidations>
  <printOptions horizontalCentered="1"/>
  <pageMargins bottom="1.0" footer="0.0" header="0.0" left="1.0" right="1.0" top="1.0"/>
  <pageSetup fitToHeight="0" paperSize="9"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 outlineLevelCol="1"/>
  <cols>
    <col customWidth="1" min="1" max="1" width="8.25"/>
    <col customWidth="1" min="2" max="2" width="27.63"/>
    <col customWidth="1" min="3" max="3" width="24.13"/>
    <col customWidth="1" min="4" max="4" width="29.75"/>
    <col customWidth="1" hidden="1" min="5" max="5" width="72.88"/>
    <col customWidth="1" hidden="1" min="6" max="6" width="34.75"/>
    <col customWidth="1" min="7" max="7" width="23.25"/>
    <col customWidth="1" min="8" max="8" width="22.38"/>
    <col customWidth="1" min="9" max="9" width="15.13"/>
    <col customWidth="1" hidden="1" min="10" max="17" width="15.13" outlineLevel="1"/>
    <col collapsed="1" customWidth="1" min="18" max="18" width="14.5"/>
    <col customWidth="1" hidden="1" min="19" max="24" width="14.5" outlineLevel="1"/>
    <col collapsed="1" customWidth="1" min="25" max="25" width="37.0"/>
    <col customWidth="1" min="26" max="26" width="36.75"/>
  </cols>
  <sheetData>
    <row r="1">
      <c r="A1" s="10" t="s">
        <v>38</v>
      </c>
    </row>
    <row r="2">
      <c r="A2" s="29" t="s">
        <v>220</v>
      </c>
    </row>
    <row r="3" ht="55.5" customHeight="1">
      <c r="A3" s="56" t="s">
        <v>175</v>
      </c>
      <c r="B3" s="53" t="s">
        <v>176</v>
      </c>
      <c r="C3" s="53" t="s">
        <v>26</v>
      </c>
      <c r="D3" s="53" t="s">
        <v>178</v>
      </c>
      <c r="E3" s="53" t="s">
        <v>179</v>
      </c>
      <c r="F3" s="53" t="s">
        <v>180</v>
      </c>
      <c r="G3" s="53" t="s">
        <v>181</v>
      </c>
      <c r="H3" s="59" t="s">
        <v>182</v>
      </c>
      <c r="I3" s="59" t="s">
        <v>183</v>
      </c>
      <c r="J3" s="60" t="s">
        <v>184</v>
      </c>
      <c r="K3" s="60" t="s">
        <v>185</v>
      </c>
      <c r="L3" s="60" t="s">
        <v>225</v>
      </c>
      <c r="M3" s="60" t="s">
        <v>227</v>
      </c>
      <c r="N3" s="60"/>
      <c r="O3" s="60"/>
      <c r="P3" s="60"/>
      <c r="Q3" s="60" t="s">
        <v>190</v>
      </c>
      <c r="R3" s="59" t="s">
        <v>191</v>
      </c>
      <c r="S3" s="60" t="s">
        <v>192</v>
      </c>
      <c r="T3" s="60" t="s">
        <v>194</v>
      </c>
      <c r="U3" s="60" t="s">
        <v>195</v>
      </c>
      <c r="V3" s="60"/>
      <c r="W3" s="60"/>
      <c r="X3" s="60" t="s">
        <v>190</v>
      </c>
      <c r="Y3" s="53" t="s">
        <v>200</v>
      </c>
      <c r="Z3" s="59" t="s">
        <v>202</v>
      </c>
    </row>
    <row r="4" ht="36.75" customHeight="1">
      <c r="A4" s="97" t="s">
        <v>205</v>
      </c>
      <c r="B4" s="11"/>
      <c r="C4" s="11"/>
      <c r="D4" s="11"/>
      <c r="E4" s="11"/>
      <c r="F4" s="11"/>
      <c r="G4" s="11"/>
      <c r="H4" s="14"/>
      <c r="I4" s="74">
        <f t="shared" ref="I4:Q4" si="1">I6+I132</f>
        <v>3136447679</v>
      </c>
      <c r="J4" s="75">
        <f t="shared" si="1"/>
        <v>3100521350</v>
      </c>
      <c r="K4" s="75">
        <f t="shared" si="1"/>
        <v>135009117.8</v>
      </c>
      <c r="L4" s="75">
        <f t="shared" si="1"/>
        <v>86949270.75</v>
      </c>
      <c r="M4" s="75">
        <f t="shared" si="1"/>
        <v>0</v>
      </c>
      <c r="N4" s="75">
        <f t="shared" si="1"/>
        <v>0</v>
      </c>
      <c r="O4" s="75">
        <f t="shared" si="1"/>
        <v>0</v>
      </c>
      <c r="P4" s="75">
        <f t="shared" si="1"/>
        <v>0</v>
      </c>
      <c r="Q4" s="75">
        <f t="shared" si="1"/>
        <v>0</v>
      </c>
      <c r="R4" s="74">
        <f>SUM(S4:W4)</f>
        <v>1724587856</v>
      </c>
      <c r="S4" s="75">
        <f t="shared" ref="S4:X4" si="2">S6+S132</f>
        <v>1595813591</v>
      </c>
      <c r="T4" s="75">
        <f t="shared" si="2"/>
        <v>124295815.9</v>
      </c>
      <c r="U4" s="75">
        <f t="shared" si="2"/>
        <v>4478449.4</v>
      </c>
      <c r="V4" s="75">
        <f t="shared" si="2"/>
        <v>0</v>
      </c>
      <c r="W4" s="75">
        <f t="shared" si="2"/>
        <v>0</v>
      </c>
      <c r="X4" s="75">
        <f t="shared" si="2"/>
        <v>0</v>
      </c>
      <c r="Y4" s="82"/>
      <c r="Z4" s="84"/>
    </row>
    <row r="5">
      <c r="A5" s="105" t="s">
        <v>221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4"/>
      <c r="Z5" s="84"/>
    </row>
    <row r="6" ht="24.0" customHeight="1">
      <c r="A6" s="96" t="s">
        <v>230</v>
      </c>
      <c r="B6" s="106"/>
      <c r="C6" s="106"/>
      <c r="D6" s="106"/>
      <c r="E6" s="106"/>
      <c r="F6" s="106"/>
      <c r="G6" s="106"/>
      <c r="H6" s="107"/>
      <c r="I6" s="111">
        <f t="shared" ref="I6:Q6" si="3">I7+I13+I17+I31+I33+I47+I66+I70+I73+I87+I90+I92+I95+I98+I101+I105+I108+I123+I125+I44+I113+I128</f>
        <v>2288055419</v>
      </c>
      <c r="J6" s="112">
        <f t="shared" si="3"/>
        <v>2253826639</v>
      </c>
      <c r="K6" s="112">
        <f t="shared" si="3"/>
        <v>135009117.8</v>
      </c>
      <c r="L6" s="112">
        <f t="shared" si="3"/>
        <v>86949270.75</v>
      </c>
      <c r="M6" s="112">
        <f t="shared" si="3"/>
        <v>0</v>
      </c>
      <c r="N6" s="112">
        <f t="shared" si="3"/>
        <v>0</v>
      </c>
      <c r="O6" s="112">
        <f t="shared" si="3"/>
        <v>0</v>
      </c>
      <c r="P6" s="112">
        <f t="shared" si="3"/>
        <v>0</v>
      </c>
      <c r="Q6" s="112">
        <f t="shared" si="3"/>
        <v>0</v>
      </c>
      <c r="R6" s="111">
        <f t="shared" ref="R6:R104" si="6">SUM(S6:W6)</f>
        <v>1392282773</v>
      </c>
      <c r="S6" s="112">
        <f t="shared" ref="S6:X6" si="4">S7+S13+S17+S31+S33+S47+S66+S70+S73+S87+S90+S92+S95+S98+S101+S105+S108+S123+S125+S44+S113+S128</f>
        <v>1279320369</v>
      </c>
      <c r="T6" s="112">
        <f t="shared" si="4"/>
        <v>108483955</v>
      </c>
      <c r="U6" s="112">
        <f t="shared" si="4"/>
        <v>4478449.4</v>
      </c>
      <c r="V6" s="112">
        <f t="shared" si="4"/>
        <v>0</v>
      </c>
      <c r="W6" s="112">
        <f t="shared" si="4"/>
        <v>0</v>
      </c>
      <c r="X6" s="112">
        <f t="shared" si="4"/>
        <v>0</v>
      </c>
      <c r="Y6" s="144"/>
      <c r="Z6" s="146"/>
    </row>
    <row r="7">
      <c r="A7" s="147" t="s">
        <v>149</v>
      </c>
      <c r="B7" s="149" t="s">
        <v>160</v>
      </c>
      <c r="C7" s="149" t="s">
        <v>161</v>
      </c>
      <c r="D7" s="152"/>
      <c r="E7" s="152"/>
      <c r="F7" s="152"/>
      <c r="G7" s="155"/>
      <c r="H7" s="156"/>
      <c r="I7" s="164">
        <f t="shared" ref="I7:Q7" si="5">SUM(I8:I12)</f>
        <v>78450355.24</v>
      </c>
      <c r="J7" s="167">
        <f t="shared" si="5"/>
        <v>78450355.24</v>
      </c>
      <c r="K7" s="167">
        <f t="shared" si="5"/>
        <v>0</v>
      </c>
      <c r="L7" s="167">
        <f t="shared" si="5"/>
        <v>0</v>
      </c>
      <c r="M7" s="167">
        <f t="shared" si="5"/>
        <v>0</v>
      </c>
      <c r="N7" s="167">
        <f t="shared" si="5"/>
        <v>0</v>
      </c>
      <c r="O7" s="167">
        <f t="shared" si="5"/>
        <v>0</v>
      </c>
      <c r="P7" s="167">
        <f t="shared" si="5"/>
        <v>0</v>
      </c>
      <c r="Q7" s="167">
        <f t="shared" si="5"/>
        <v>0</v>
      </c>
      <c r="R7" s="164">
        <f t="shared" si="6"/>
        <v>62463522.8</v>
      </c>
      <c r="S7" s="167">
        <f t="shared" ref="S7:X7" si="7">SUM(S8:S12)</f>
        <v>48808766.79</v>
      </c>
      <c r="T7" s="167">
        <f t="shared" si="7"/>
        <v>9176306.61</v>
      </c>
      <c r="U7" s="167">
        <f t="shared" si="7"/>
        <v>4478449.4</v>
      </c>
      <c r="V7" s="167">
        <f t="shared" si="7"/>
        <v>0</v>
      </c>
      <c r="W7" s="167">
        <f t="shared" si="7"/>
        <v>0</v>
      </c>
      <c r="X7" s="167">
        <f t="shared" si="7"/>
        <v>0</v>
      </c>
      <c r="Y7" s="142" t="s">
        <v>282</v>
      </c>
      <c r="Z7" s="146"/>
    </row>
    <row r="8" ht="18.75" customHeight="1">
      <c r="A8" s="177" t="s">
        <v>283</v>
      </c>
      <c r="B8" s="179" t="s">
        <v>284</v>
      </c>
      <c r="C8" s="154"/>
      <c r="D8" s="180" t="s">
        <v>314</v>
      </c>
      <c r="E8" s="180" t="s">
        <v>294</v>
      </c>
      <c r="F8" s="180" t="s">
        <v>10</v>
      </c>
      <c r="G8" s="158" t="s">
        <v>296</v>
      </c>
      <c r="H8" s="183" t="s">
        <v>316</v>
      </c>
      <c r="I8" s="188">
        <f t="shared" ref="I8:I12" si="8">MAX(J8:P8)</f>
        <v>19044343.44</v>
      </c>
      <c r="J8" s="169">
        <v>1.904434344E7</v>
      </c>
      <c r="K8" s="169"/>
      <c r="L8" s="169"/>
      <c r="M8" s="169"/>
      <c r="N8" s="169"/>
      <c r="O8" s="169"/>
      <c r="P8" s="169"/>
      <c r="Q8" s="169"/>
      <c r="R8" s="188">
        <f t="shared" si="6"/>
        <v>12136392.64</v>
      </c>
      <c r="S8" s="169">
        <v>6367680.44</v>
      </c>
      <c r="T8" s="169">
        <v>2082960.0</v>
      </c>
      <c r="U8" s="169">
        <v>3685752.2</v>
      </c>
      <c r="V8" s="169"/>
      <c r="W8" s="169"/>
      <c r="X8" s="169"/>
      <c r="Y8" s="182"/>
      <c r="Z8" s="186"/>
    </row>
    <row r="9" ht="18.75" customHeight="1">
      <c r="A9" s="26"/>
      <c r="B9" s="187"/>
      <c r="C9" s="107"/>
      <c r="D9" s="180" t="s">
        <v>324</v>
      </c>
      <c r="E9" s="180" t="s">
        <v>294</v>
      </c>
      <c r="F9" s="180" t="s">
        <v>8</v>
      </c>
      <c r="G9" s="158" t="s">
        <v>322</v>
      </c>
      <c r="H9" s="183" t="s">
        <v>325</v>
      </c>
      <c r="I9" s="188">
        <f t="shared" si="8"/>
        <v>29591768.04</v>
      </c>
      <c r="J9" s="169">
        <v>2.959176804E7</v>
      </c>
      <c r="K9" s="169"/>
      <c r="L9" s="169"/>
      <c r="M9" s="169"/>
      <c r="N9" s="169"/>
      <c r="O9" s="169"/>
      <c r="P9" s="169"/>
      <c r="Q9" s="169"/>
      <c r="R9" s="188">
        <f t="shared" si="6"/>
        <v>31349327.13</v>
      </c>
      <c r="S9" s="169">
        <v>2.459176804E7</v>
      </c>
      <c r="T9" s="169">
        <v>6757559.09</v>
      </c>
      <c r="U9" s="169"/>
      <c r="V9" s="169"/>
      <c r="W9" s="169"/>
      <c r="X9" s="169"/>
      <c r="Y9" s="183"/>
      <c r="Z9" s="190" t="s">
        <v>326</v>
      </c>
    </row>
    <row r="10" ht="18.75" customHeight="1">
      <c r="A10" s="177" t="s">
        <v>327</v>
      </c>
      <c r="B10" s="179" t="s">
        <v>328</v>
      </c>
      <c r="C10" s="154"/>
      <c r="D10" s="180" t="s">
        <v>329</v>
      </c>
      <c r="E10" s="180" t="s">
        <v>330</v>
      </c>
      <c r="F10" s="180" t="s">
        <v>4</v>
      </c>
      <c r="G10" s="158" t="s">
        <v>296</v>
      </c>
      <c r="H10" s="183" t="s">
        <v>331</v>
      </c>
      <c r="I10" s="188">
        <f t="shared" si="8"/>
        <v>1292350.92</v>
      </c>
      <c r="J10" s="169">
        <v>1292350.92</v>
      </c>
      <c r="K10" s="169"/>
      <c r="L10" s="169"/>
      <c r="M10" s="169"/>
      <c r="N10" s="169"/>
      <c r="O10" s="169"/>
      <c r="P10" s="169"/>
      <c r="Q10" s="169"/>
      <c r="R10" s="188">
        <f t="shared" si="6"/>
        <v>1242897.72</v>
      </c>
      <c r="S10" s="169">
        <v>1242897.72</v>
      </c>
      <c r="T10" s="169"/>
      <c r="U10" s="169"/>
      <c r="V10" s="169"/>
      <c r="W10" s="169"/>
      <c r="X10" s="169"/>
      <c r="Y10" s="183"/>
      <c r="Z10" s="190" t="s">
        <v>332</v>
      </c>
    </row>
    <row r="11" ht="18.75" customHeight="1">
      <c r="A11" s="26"/>
      <c r="B11" s="187"/>
      <c r="C11" s="107"/>
      <c r="D11" s="180" t="s">
        <v>333</v>
      </c>
      <c r="E11" s="180" t="s">
        <v>334</v>
      </c>
      <c r="F11" s="180" t="s">
        <v>4</v>
      </c>
      <c r="G11" s="158" t="s">
        <v>322</v>
      </c>
      <c r="H11" s="183" t="s">
        <v>325</v>
      </c>
      <c r="I11" s="188">
        <f t="shared" si="8"/>
        <v>4436583.12</v>
      </c>
      <c r="J11" s="169">
        <v>4436583.12</v>
      </c>
      <c r="K11" s="169"/>
      <c r="L11" s="169"/>
      <c r="M11" s="169"/>
      <c r="N11" s="169"/>
      <c r="O11" s="169"/>
      <c r="P11" s="169"/>
      <c r="Q11" s="169"/>
      <c r="R11" s="188">
        <f t="shared" si="6"/>
        <v>0</v>
      </c>
      <c r="S11" s="169">
        <v>0.0</v>
      </c>
      <c r="T11" s="169"/>
      <c r="U11" s="169"/>
      <c r="V11" s="169"/>
      <c r="W11" s="169"/>
      <c r="X11" s="169"/>
      <c r="Y11" s="183"/>
      <c r="Z11" s="190" t="s">
        <v>335</v>
      </c>
    </row>
    <row r="12" ht="18.75" customHeight="1">
      <c r="A12" s="194" t="s">
        <v>336</v>
      </c>
      <c r="B12" s="195" t="s">
        <v>339</v>
      </c>
      <c r="C12" s="14"/>
      <c r="D12" s="180" t="s">
        <v>340</v>
      </c>
      <c r="E12" s="180" t="s">
        <v>341</v>
      </c>
      <c r="F12" s="180" t="s">
        <v>2</v>
      </c>
      <c r="G12" s="158" t="s">
        <v>296</v>
      </c>
      <c r="H12" s="183" t="s">
        <v>342</v>
      </c>
      <c r="I12" s="188">
        <f t="shared" si="8"/>
        <v>24085309.72</v>
      </c>
      <c r="J12" s="169">
        <v>2.408530972E7</v>
      </c>
      <c r="K12" s="169"/>
      <c r="L12" s="169"/>
      <c r="M12" s="169"/>
      <c r="N12" s="169"/>
      <c r="O12" s="169"/>
      <c r="P12" s="169"/>
      <c r="Q12" s="169"/>
      <c r="R12" s="188">
        <f t="shared" si="6"/>
        <v>17734905.31</v>
      </c>
      <c r="S12" s="169">
        <v>1.660642059E7</v>
      </c>
      <c r="T12" s="169">
        <v>335787.52</v>
      </c>
      <c r="U12" s="169">
        <v>792697.2</v>
      </c>
      <c r="V12" s="169"/>
      <c r="W12" s="169"/>
      <c r="X12" s="169"/>
      <c r="Y12" s="183"/>
      <c r="Z12" s="190" t="s">
        <v>343</v>
      </c>
    </row>
    <row r="13">
      <c r="A13" s="147" t="s">
        <v>344</v>
      </c>
      <c r="B13" s="149" t="s">
        <v>186</v>
      </c>
      <c r="C13" s="149" t="s">
        <v>71</v>
      </c>
      <c r="D13" s="152"/>
      <c r="E13" s="152"/>
      <c r="F13" s="152"/>
      <c r="G13" s="155"/>
      <c r="H13" s="156"/>
      <c r="I13" s="164">
        <f t="shared" ref="I13:Q13" si="9">SUM(I14:I16)</f>
        <v>32508599.41</v>
      </c>
      <c r="J13" s="167">
        <f t="shared" si="9"/>
        <v>32508599.41</v>
      </c>
      <c r="K13" s="167">
        <f t="shared" si="9"/>
        <v>0</v>
      </c>
      <c r="L13" s="167">
        <f t="shared" si="9"/>
        <v>0</v>
      </c>
      <c r="M13" s="167">
        <f t="shared" si="9"/>
        <v>0</v>
      </c>
      <c r="N13" s="167">
        <f t="shared" si="9"/>
        <v>0</v>
      </c>
      <c r="O13" s="167">
        <f t="shared" si="9"/>
        <v>0</v>
      </c>
      <c r="P13" s="167">
        <f t="shared" si="9"/>
        <v>0</v>
      </c>
      <c r="Q13" s="167">
        <f t="shared" si="9"/>
        <v>0</v>
      </c>
      <c r="R13" s="164">
        <f t="shared" si="6"/>
        <v>32724256.39</v>
      </c>
      <c r="S13" s="167">
        <f t="shared" ref="S13:X13" si="10">SUM(S14:S16)</f>
        <v>30148166.39</v>
      </c>
      <c r="T13" s="167">
        <f t="shared" si="10"/>
        <v>2576090</v>
      </c>
      <c r="U13" s="167">
        <f t="shared" si="10"/>
        <v>0</v>
      </c>
      <c r="V13" s="167">
        <f t="shared" si="10"/>
        <v>0</v>
      </c>
      <c r="W13" s="167">
        <f t="shared" si="10"/>
        <v>0</v>
      </c>
      <c r="X13" s="167">
        <f t="shared" si="10"/>
        <v>0</v>
      </c>
      <c r="Y13" s="142" t="s">
        <v>346</v>
      </c>
      <c r="Z13" s="200"/>
    </row>
    <row r="14" ht="18.75" customHeight="1">
      <c r="A14" s="177" t="s">
        <v>347</v>
      </c>
      <c r="B14" s="179" t="s">
        <v>328</v>
      </c>
      <c r="C14" s="154"/>
      <c r="D14" s="180" t="s">
        <v>349</v>
      </c>
      <c r="E14" s="180" t="s">
        <v>350</v>
      </c>
      <c r="F14" s="180" t="s">
        <v>35</v>
      </c>
      <c r="G14" s="158" t="s">
        <v>351</v>
      </c>
      <c r="H14" s="183" t="s">
        <v>352</v>
      </c>
      <c r="I14" s="188">
        <f t="shared" ref="I14:I16" si="11">MAX(J14:P14)</f>
        <v>2612967.7</v>
      </c>
      <c r="J14" s="169">
        <v>2612967.7</v>
      </c>
      <c r="K14" s="169"/>
      <c r="L14" s="169"/>
      <c r="M14" s="169"/>
      <c r="N14" s="169"/>
      <c r="O14" s="169"/>
      <c r="P14" s="169"/>
      <c r="Q14" s="169"/>
      <c r="R14" s="188">
        <f t="shared" si="6"/>
        <v>1927288.8</v>
      </c>
      <c r="S14" s="169">
        <v>1927288.8</v>
      </c>
      <c r="T14" s="169"/>
      <c r="U14" s="169"/>
      <c r="V14" s="169"/>
      <c r="W14" s="169"/>
      <c r="X14" s="169"/>
      <c r="Y14" s="182"/>
      <c r="Z14" s="186"/>
    </row>
    <row r="15" ht="18.75" customHeight="1">
      <c r="A15" s="26"/>
      <c r="B15" s="187"/>
      <c r="C15" s="107"/>
      <c r="D15" s="180" t="s">
        <v>353</v>
      </c>
      <c r="E15" s="180" t="s">
        <v>354</v>
      </c>
      <c r="F15" s="180" t="s">
        <v>32</v>
      </c>
      <c r="G15" s="158" t="s">
        <v>355</v>
      </c>
      <c r="H15" s="183" t="s">
        <v>356</v>
      </c>
      <c r="I15" s="188">
        <f t="shared" si="11"/>
        <v>926200</v>
      </c>
      <c r="J15" s="169">
        <f>766200+160000</f>
        <v>926200</v>
      </c>
      <c r="K15" s="169"/>
      <c r="L15" s="169"/>
      <c r="M15" s="169"/>
      <c r="N15" s="169"/>
      <c r="O15" s="169"/>
      <c r="P15" s="169"/>
      <c r="Q15" s="169"/>
      <c r="R15" s="188">
        <f t="shared" si="6"/>
        <v>766200</v>
      </c>
      <c r="S15" s="169">
        <v>766200.0</v>
      </c>
      <c r="T15" s="169"/>
      <c r="U15" s="169"/>
      <c r="V15" s="169"/>
      <c r="W15" s="169"/>
      <c r="X15" s="169"/>
      <c r="Y15" s="183"/>
      <c r="Z15" s="190" t="s">
        <v>358</v>
      </c>
    </row>
    <row r="16" ht="18.75" customHeight="1">
      <c r="A16" s="194" t="s">
        <v>359</v>
      </c>
      <c r="B16" s="195" t="s">
        <v>360</v>
      </c>
      <c r="C16" s="14"/>
      <c r="D16" s="180" t="s">
        <v>361</v>
      </c>
      <c r="E16" s="180" t="s">
        <v>362</v>
      </c>
      <c r="F16" s="180" t="s">
        <v>28</v>
      </c>
      <c r="G16" s="158" t="s">
        <v>322</v>
      </c>
      <c r="H16" s="183" t="s">
        <v>363</v>
      </c>
      <c r="I16" s="188">
        <f t="shared" si="11"/>
        <v>28969431.71</v>
      </c>
      <c r="J16" s="169">
        <v>2.896943171E7</v>
      </c>
      <c r="K16" s="169"/>
      <c r="L16" s="169"/>
      <c r="M16" s="169"/>
      <c r="N16" s="169"/>
      <c r="O16" s="169"/>
      <c r="P16" s="169"/>
      <c r="Q16" s="169"/>
      <c r="R16" s="188">
        <f t="shared" si="6"/>
        <v>30030767.59</v>
      </c>
      <c r="S16" s="169">
        <v>2.745467759E7</v>
      </c>
      <c r="T16" s="169">
        <v>2576090.0</v>
      </c>
      <c r="U16" s="169"/>
      <c r="V16" s="169"/>
      <c r="W16" s="169"/>
      <c r="X16" s="169"/>
      <c r="Y16" s="182"/>
      <c r="Z16" s="190" t="s">
        <v>364</v>
      </c>
    </row>
    <row r="17" ht="31.5" customHeight="1">
      <c r="A17" s="147" t="s">
        <v>365</v>
      </c>
      <c r="B17" s="149" t="s">
        <v>214</v>
      </c>
      <c r="C17" s="149" t="s">
        <v>71</v>
      </c>
      <c r="D17" s="152"/>
      <c r="E17" s="152"/>
      <c r="F17" s="152"/>
      <c r="G17" s="155"/>
      <c r="H17" s="156"/>
      <c r="I17" s="164">
        <f t="shared" ref="I17:Q17" si="12">SUM(I18:I30)</f>
        <v>367728516.7</v>
      </c>
      <c r="J17" s="167">
        <f t="shared" si="12"/>
        <v>344487912.6</v>
      </c>
      <c r="K17" s="167">
        <f t="shared" si="12"/>
        <v>51161864.44</v>
      </c>
      <c r="L17" s="167">
        <f t="shared" si="12"/>
        <v>81516997.43</v>
      </c>
      <c r="M17" s="167">
        <f t="shared" si="12"/>
        <v>0</v>
      </c>
      <c r="N17" s="167">
        <f t="shared" si="12"/>
        <v>0</v>
      </c>
      <c r="O17" s="167">
        <f t="shared" si="12"/>
        <v>0</v>
      </c>
      <c r="P17" s="167">
        <f t="shared" si="12"/>
        <v>0</v>
      </c>
      <c r="Q17" s="167">
        <f t="shared" si="12"/>
        <v>0</v>
      </c>
      <c r="R17" s="164">
        <f t="shared" si="6"/>
        <v>186882858.4</v>
      </c>
      <c r="S17" s="167">
        <f t="shared" ref="S17:X17" si="13">SUM(S18:S30)</f>
        <v>176644394.3</v>
      </c>
      <c r="T17" s="167">
        <f t="shared" si="13"/>
        <v>10238464.09</v>
      </c>
      <c r="U17" s="167">
        <f t="shared" si="13"/>
        <v>0</v>
      </c>
      <c r="V17" s="167">
        <f t="shared" si="13"/>
        <v>0</v>
      </c>
      <c r="W17" s="167">
        <f t="shared" si="13"/>
        <v>0</v>
      </c>
      <c r="X17" s="167">
        <f t="shared" si="13"/>
        <v>0</v>
      </c>
      <c r="Y17" s="142" t="s">
        <v>367</v>
      </c>
      <c r="Z17" s="146"/>
    </row>
    <row r="18" ht="18.75" customHeight="1">
      <c r="A18" s="177" t="s">
        <v>368</v>
      </c>
      <c r="B18" s="179" t="s">
        <v>328</v>
      </c>
      <c r="C18" s="154"/>
      <c r="D18" s="180" t="s">
        <v>369</v>
      </c>
      <c r="E18" s="180" t="s">
        <v>370</v>
      </c>
      <c r="F18" s="180" t="s">
        <v>45</v>
      </c>
      <c r="G18" s="158" t="s">
        <v>296</v>
      </c>
      <c r="H18" s="183" t="s">
        <v>371</v>
      </c>
      <c r="I18" s="188">
        <f t="shared" ref="I18:I30" si="14">MAX(J18:P18)</f>
        <v>16837903.77</v>
      </c>
      <c r="J18" s="169">
        <v>1.683790377E7</v>
      </c>
      <c r="K18" s="169"/>
      <c r="L18" s="169"/>
      <c r="M18" s="169"/>
      <c r="N18" s="169"/>
      <c r="O18" s="169"/>
      <c r="P18" s="169"/>
      <c r="Q18" s="169"/>
      <c r="R18" s="188">
        <f t="shared" si="6"/>
        <v>14923013.29</v>
      </c>
      <c r="S18" s="169">
        <v>9159594.36</v>
      </c>
      <c r="T18" s="169">
        <v>5763418.93</v>
      </c>
      <c r="U18" s="169"/>
      <c r="V18" s="169"/>
      <c r="W18" s="169"/>
      <c r="X18" s="169"/>
      <c r="Y18" s="183"/>
      <c r="Z18" s="190"/>
    </row>
    <row r="19" ht="18.75" customHeight="1">
      <c r="A19" s="26"/>
      <c r="B19" s="187"/>
      <c r="C19" s="107"/>
      <c r="D19" s="180" t="s">
        <v>375</v>
      </c>
      <c r="E19" s="180" t="s">
        <v>376</v>
      </c>
      <c r="F19" s="180" t="s">
        <v>45</v>
      </c>
      <c r="G19" s="158" t="s">
        <v>377</v>
      </c>
      <c r="H19" s="183" t="s">
        <v>378</v>
      </c>
      <c r="I19" s="188">
        <f t="shared" si="14"/>
        <v>898226.71</v>
      </c>
      <c r="J19" s="169">
        <v>898226.71</v>
      </c>
      <c r="K19" s="169"/>
      <c r="L19" s="169"/>
      <c r="M19" s="169"/>
      <c r="N19" s="169"/>
      <c r="O19" s="169"/>
      <c r="P19" s="169"/>
      <c r="Q19" s="169"/>
      <c r="R19" s="188">
        <f t="shared" si="6"/>
        <v>625826.21</v>
      </c>
      <c r="S19" s="169">
        <v>578276.21</v>
      </c>
      <c r="T19" s="169">
        <v>47550.0</v>
      </c>
      <c r="U19" s="169"/>
      <c r="V19" s="169"/>
      <c r="W19" s="169"/>
      <c r="X19" s="169"/>
      <c r="Y19" s="183"/>
      <c r="Z19" s="190"/>
    </row>
    <row r="20" ht="18.75" customHeight="1">
      <c r="A20" s="194" t="s">
        <v>379</v>
      </c>
      <c r="B20" s="195" t="s">
        <v>380</v>
      </c>
      <c r="C20" s="14"/>
      <c r="D20" s="180" t="s">
        <v>381</v>
      </c>
      <c r="E20" s="180" t="s">
        <v>382</v>
      </c>
      <c r="F20" s="180" t="s">
        <v>45</v>
      </c>
      <c r="G20" s="158" t="s">
        <v>322</v>
      </c>
      <c r="H20" s="183" t="s">
        <v>383</v>
      </c>
      <c r="I20" s="188">
        <f t="shared" si="14"/>
        <v>81516997.43</v>
      </c>
      <c r="J20" s="169">
        <v>6.055277729E7</v>
      </c>
      <c r="K20" s="169"/>
      <c r="L20" s="169">
        <v>8.151699743E7</v>
      </c>
      <c r="M20" s="169"/>
      <c r="N20" s="169"/>
      <c r="O20" s="169"/>
      <c r="P20" s="169"/>
      <c r="Q20" s="169"/>
      <c r="R20" s="188">
        <f t="shared" si="6"/>
        <v>29552777.29</v>
      </c>
      <c r="S20" s="169">
        <v>2.955277729E7</v>
      </c>
      <c r="T20" s="169"/>
      <c r="U20" s="169"/>
      <c r="V20" s="169"/>
      <c r="W20" s="169"/>
      <c r="X20" s="169"/>
      <c r="Y20" s="183"/>
      <c r="Z20" s="190" t="s">
        <v>384</v>
      </c>
    </row>
    <row r="21" ht="18.75" customHeight="1">
      <c r="A21" s="194" t="s">
        <v>385</v>
      </c>
      <c r="B21" s="195" t="s">
        <v>386</v>
      </c>
      <c r="C21" s="14"/>
      <c r="D21" s="180" t="s">
        <v>387</v>
      </c>
      <c r="E21" s="180" t="s">
        <v>388</v>
      </c>
      <c r="F21" s="180" t="s">
        <v>45</v>
      </c>
      <c r="G21" s="158" t="s">
        <v>322</v>
      </c>
      <c r="H21" s="183" t="s">
        <v>390</v>
      </c>
      <c r="I21" s="188">
        <f t="shared" si="14"/>
        <v>32050455.64</v>
      </c>
      <c r="J21" s="169">
        <v>3.205045564E7</v>
      </c>
      <c r="K21" s="169"/>
      <c r="L21" s="169"/>
      <c r="M21" s="169"/>
      <c r="N21" s="169"/>
      <c r="O21" s="169"/>
      <c r="P21" s="169"/>
      <c r="Q21" s="169"/>
      <c r="R21" s="188">
        <f t="shared" si="6"/>
        <v>19344111.88</v>
      </c>
      <c r="S21" s="169">
        <v>1.779169341E7</v>
      </c>
      <c r="T21" s="169">
        <v>1552418.47</v>
      </c>
      <c r="U21" s="169"/>
      <c r="V21" s="169"/>
      <c r="W21" s="169"/>
      <c r="X21" s="169"/>
      <c r="Y21" s="183"/>
      <c r="Z21" s="190"/>
    </row>
    <row r="22" ht="18.75" customHeight="1">
      <c r="A22" s="194" t="s">
        <v>392</v>
      </c>
      <c r="B22" s="195" t="s">
        <v>393</v>
      </c>
      <c r="C22" s="14"/>
      <c r="D22" s="180" t="s">
        <v>394</v>
      </c>
      <c r="E22" s="180" t="s">
        <v>395</v>
      </c>
      <c r="F22" s="180" t="s">
        <v>45</v>
      </c>
      <c r="G22" s="158" t="s">
        <v>322</v>
      </c>
      <c r="H22" s="183" t="s">
        <v>396</v>
      </c>
      <c r="I22" s="188">
        <f t="shared" si="14"/>
        <v>3609538.23</v>
      </c>
      <c r="J22" s="169">
        <v>3609538.23</v>
      </c>
      <c r="K22" s="169"/>
      <c r="L22" s="169"/>
      <c r="M22" s="169"/>
      <c r="N22" s="169"/>
      <c r="O22" s="169"/>
      <c r="P22" s="169"/>
      <c r="Q22" s="169"/>
      <c r="R22" s="188">
        <f t="shared" si="6"/>
        <v>2628002.65</v>
      </c>
      <c r="S22" s="169">
        <v>1424823.24</v>
      </c>
      <c r="T22" s="169">
        <v>1203179.41</v>
      </c>
      <c r="U22" s="169"/>
      <c r="V22" s="169"/>
      <c r="W22" s="169"/>
      <c r="X22" s="169"/>
      <c r="Y22" s="183"/>
      <c r="Z22" s="190"/>
    </row>
    <row r="23" ht="18.75" customHeight="1">
      <c r="A23" s="177" t="s">
        <v>397</v>
      </c>
      <c r="B23" s="179" t="s">
        <v>398</v>
      </c>
      <c r="C23" s="154"/>
      <c r="D23" s="180" t="s">
        <v>399</v>
      </c>
      <c r="E23" s="180" t="s">
        <v>401</v>
      </c>
      <c r="F23" s="180" t="s">
        <v>45</v>
      </c>
      <c r="G23" s="158" t="s">
        <v>322</v>
      </c>
      <c r="H23" s="183" t="s">
        <v>402</v>
      </c>
      <c r="I23" s="188">
        <f t="shared" si="14"/>
        <v>63374747.19</v>
      </c>
      <c r="J23" s="169">
        <v>6.337474719E7</v>
      </c>
      <c r="K23" s="169"/>
      <c r="L23" s="169"/>
      <c r="M23" s="169"/>
      <c r="N23" s="169"/>
      <c r="O23" s="169"/>
      <c r="P23" s="169"/>
      <c r="Q23" s="169"/>
      <c r="R23" s="188">
        <f t="shared" si="6"/>
        <v>19781197</v>
      </c>
      <c r="S23" s="169">
        <v>1.9781197E7</v>
      </c>
      <c r="T23" s="169"/>
      <c r="U23" s="169"/>
      <c r="V23" s="169"/>
      <c r="W23" s="169"/>
      <c r="X23" s="169"/>
      <c r="Y23" s="183"/>
      <c r="Z23" s="190" t="s">
        <v>403</v>
      </c>
    </row>
    <row r="24" ht="18.75" customHeight="1">
      <c r="A24" s="197"/>
      <c r="B24" s="198"/>
      <c r="C24" s="199"/>
      <c r="D24" s="180" t="s">
        <v>404</v>
      </c>
      <c r="E24" s="180" t="s">
        <v>405</v>
      </c>
      <c r="F24" s="180" t="s">
        <v>45</v>
      </c>
      <c r="G24" s="158" t="s">
        <v>296</v>
      </c>
      <c r="H24" s="183" t="s">
        <v>406</v>
      </c>
      <c r="I24" s="188">
        <f t="shared" si="14"/>
        <v>51161864.44</v>
      </c>
      <c r="J24" s="169">
        <v>4.888548045E7</v>
      </c>
      <c r="K24" s="169">
        <v>5.116186444E7</v>
      </c>
      <c r="L24" s="169"/>
      <c r="M24" s="169"/>
      <c r="N24" s="169"/>
      <c r="O24" s="169"/>
      <c r="P24" s="169"/>
      <c r="Q24" s="169"/>
      <c r="R24" s="188">
        <f t="shared" si="6"/>
        <v>34782710.61</v>
      </c>
      <c r="S24" s="169">
        <v>3.393456192E7</v>
      </c>
      <c r="T24" s="169">
        <v>848148.69</v>
      </c>
      <c r="U24" s="169"/>
      <c r="V24" s="169"/>
      <c r="W24" s="169"/>
      <c r="X24" s="169"/>
      <c r="Y24" s="183"/>
      <c r="Z24" s="190"/>
    </row>
    <row r="25" ht="18.75" customHeight="1">
      <c r="A25" s="26"/>
      <c r="B25" s="187"/>
      <c r="C25" s="107"/>
      <c r="D25" s="204" t="s">
        <v>407</v>
      </c>
      <c r="E25" s="204" t="s">
        <v>408</v>
      </c>
      <c r="F25" s="180" t="s">
        <v>45</v>
      </c>
      <c r="G25" s="158" t="s">
        <v>377</v>
      </c>
      <c r="H25" s="183" t="s">
        <v>409</v>
      </c>
      <c r="I25" s="188">
        <f t="shared" si="14"/>
        <v>6133744.19</v>
      </c>
      <c r="J25" s="169">
        <v>6133744.19</v>
      </c>
      <c r="K25" s="169"/>
      <c r="L25" s="169"/>
      <c r="M25" s="169"/>
      <c r="N25" s="169"/>
      <c r="O25" s="169"/>
      <c r="P25" s="169"/>
      <c r="Q25" s="169"/>
      <c r="R25" s="188">
        <f t="shared" si="6"/>
        <v>5795967.25</v>
      </c>
      <c r="S25" s="169">
        <v>5399130.12</v>
      </c>
      <c r="T25" s="169">
        <v>396837.13</v>
      </c>
      <c r="U25" s="169"/>
      <c r="V25" s="169"/>
      <c r="W25" s="169"/>
      <c r="X25" s="169"/>
      <c r="Y25" s="183"/>
      <c r="Z25" s="190"/>
    </row>
    <row r="26" ht="18.75" customHeight="1">
      <c r="A26" s="177" t="s">
        <v>412</v>
      </c>
      <c r="B26" s="179" t="s">
        <v>413</v>
      </c>
      <c r="C26" s="154"/>
      <c r="D26" s="180" t="s">
        <v>414</v>
      </c>
      <c r="E26" s="180" t="s">
        <v>415</v>
      </c>
      <c r="F26" s="180" t="s">
        <v>45</v>
      </c>
      <c r="G26" s="158" t="s">
        <v>322</v>
      </c>
      <c r="H26" s="183" t="s">
        <v>416</v>
      </c>
      <c r="I26" s="188">
        <f t="shared" si="14"/>
        <v>27959055.3</v>
      </c>
      <c r="J26" s="169">
        <v>2.79590553E7</v>
      </c>
      <c r="K26" s="169"/>
      <c r="L26" s="169"/>
      <c r="M26" s="169"/>
      <c r="N26" s="169"/>
      <c r="O26" s="169"/>
      <c r="P26" s="169"/>
      <c r="Q26" s="169"/>
      <c r="R26" s="188">
        <f t="shared" si="6"/>
        <v>18115509.8</v>
      </c>
      <c r="S26" s="169">
        <v>1.81155098E7</v>
      </c>
      <c r="T26" s="169"/>
      <c r="U26" s="169"/>
      <c r="V26" s="169"/>
      <c r="W26" s="169"/>
      <c r="X26" s="169"/>
      <c r="Y26" s="183"/>
      <c r="Z26" s="190" t="s">
        <v>417</v>
      </c>
    </row>
    <row r="27" ht="18.75" customHeight="1">
      <c r="A27" s="197"/>
      <c r="B27" s="198"/>
      <c r="C27" s="199"/>
      <c r="D27" s="180" t="s">
        <v>418</v>
      </c>
      <c r="E27" s="180"/>
      <c r="F27" s="205" t="s">
        <v>146</v>
      </c>
      <c r="G27" s="158" t="s">
        <v>322</v>
      </c>
      <c r="H27" s="183" t="s">
        <v>420</v>
      </c>
      <c r="I27" s="188">
        <f t="shared" si="14"/>
        <v>13929745.48</v>
      </c>
      <c r="J27" s="169">
        <v>1.392974548E7</v>
      </c>
      <c r="K27" s="169"/>
      <c r="L27" s="169"/>
      <c r="M27" s="169"/>
      <c r="N27" s="169"/>
      <c r="O27" s="169"/>
      <c r="P27" s="169"/>
      <c r="Q27" s="169"/>
      <c r="R27" s="188">
        <f t="shared" si="6"/>
        <v>0</v>
      </c>
      <c r="S27" s="169">
        <v>0.0</v>
      </c>
      <c r="T27" s="169"/>
      <c r="U27" s="169"/>
      <c r="V27" s="169"/>
      <c r="W27" s="169"/>
      <c r="X27" s="169"/>
      <c r="Y27" s="183"/>
      <c r="Z27" s="190" t="s">
        <v>421</v>
      </c>
    </row>
    <row r="28" ht="18.75" customHeight="1">
      <c r="A28" s="197"/>
      <c r="B28" s="198"/>
      <c r="C28" s="199"/>
      <c r="D28" s="180" t="s">
        <v>422</v>
      </c>
      <c r="E28" s="180" t="s">
        <v>423</v>
      </c>
      <c r="F28" s="180" t="s">
        <v>45</v>
      </c>
      <c r="G28" s="158" t="s">
        <v>296</v>
      </c>
      <c r="H28" s="183" t="s">
        <v>424</v>
      </c>
      <c r="I28" s="188">
        <f t="shared" si="14"/>
        <v>44924741.1</v>
      </c>
      <c r="J28" s="169">
        <v>4.49247411E7</v>
      </c>
      <c r="K28" s="169"/>
      <c r="L28" s="169"/>
      <c r="M28" s="169"/>
      <c r="N28" s="169"/>
      <c r="O28" s="169"/>
      <c r="P28" s="169"/>
      <c r="Q28" s="169"/>
      <c r="R28" s="188">
        <f t="shared" si="6"/>
        <v>40985839.98</v>
      </c>
      <c r="S28" s="169">
        <v>4.090683098E7</v>
      </c>
      <c r="T28" s="169">
        <v>79009.0</v>
      </c>
      <c r="U28" s="169"/>
      <c r="V28" s="169"/>
      <c r="W28" s="169"/>
      <c r="X28" s="169"/>
      <c r="Y28" s="183"/>
      <c r="Z28" s="190" t="s">
        <v>425</v>
      </c>
    </row>
    <row r="29" ht="18.75" customHeight="1">
      <c r="A29" s="26"/>
      <c r="B29" s="187"/>
      <c r="C29" s="107"/>
      <c r="D29" s="180" t="s">
        <v>426</v>
      </c>
      <c r="E29" s="180" t="s">
        <v>427</v>
      </c>
      <c r="F29" s="205" t="s">
        <v>146</v>
      </c>
      <c r="G29" s="158" t="s">
        <v>296</v>
      </c>
      <c r="H29" s="183" t="s">
        <v>428</v>
      </c>
      <c r="I29" s="188">
        <f t="shared" si="14"/>
        <v>347902.46</v>
      </c>
      <c r="J29" s="169">
        <v>347902.46</v>
      </c>
      <c r="K29" s="169"/>
      <c r="L29" s="169"/>
      <c r="M29" s="169"/>
      <c r="N29" s="169"/>
      <c r="O29" s="169"/>
      <c r="P29" s="169"/>
      <c r="Q29" s="169"/>
      <c r="R29" s="188">
        <f t="shared" si="6"/>
        <v>347902.46</v>
      </c>
      <c r="S29" s="169">
        <v>0.0</v>
      </c>
      <c r="T29" s="169">
        <v>347902.46</v>
      </c>
      <c r="U29" s="169"/>
      <c r="V29" s="169"/>
      <c r="W29" s="169"/>
      <c r="X29" s="169"/>
      <c r="Y29" s="183"/>
      <c r="Z29" s="190" t="s">
        <v>430</v>
      </c>
    </row>
    <row r="30" ht="18.75" customHeight="1">
      <c r="A30" s="194" t="s">
        <v>432</v>
      </c>
      <c r="B30" s="195" t="s">
        <v>433</v>
      </c>
      <c r="C30" s="14"/>
      <c r="D30" s="180" t="s">
        <v>434</v>
      </c>
      <c r="E30" s="180" t="s">
        <v>435</v>
      </c>
      <c r="F30" s="180" t="s">
        <v>146</v>
      </c>
      <c r="G30" s="158" t="s">
        <v>296</v>
      </c>
      <c r="H30" s="183" t="s">
        <v>436</v>
      </c>
      <c r="I30" s="188">
        <f t="shared" si="14"/>
        <v>24983594.79</v>
      </c>
      <c r="J30" s="169">
        <v>2.498359479E7</v>
      </c>
      <c r="K30" s="169"/>
      <c r="L30" s="169"/>
      <c r="M30" s="169"/>
      <c r="N30" s="169"/>
      <c r="O30" s="169"/>
      <c r="P30" s="169"/>
      <c r="Q30" s="169"/>
      <c r="R30" s="188">
        <f t="shared" si="6"/>
        <v>0</v>
      </c>
      <c r="S30" s="169">
        <v>0.0</v>
      </c>
      <c r="T30" s="169"/>
      <c r="U30" s="169"/>
      <c r="V30" s="169"/>
      <c r="W30" s="169"/>
      <c r="X30" s="169"/>
      <c r="Y30" s="183"/>
      <c r="Z30" s="190" t="s">
        <v>437</v>
      </c>
    </row>
    <row r="31">
      <c r="A31" s="147" t="s">
        <v>438</v>
      </c>
      <c r="B31" s="149" t="s">
        <v>219</v>
      </c>
      <c r="C31" s="149" t="s">
        <v>71</v>
      </c>
      <c r="D31" s="152"/>
      <c r="E31" s="152"/>
      <c r="F31" s="152"/>
      <c r="G31" s="155"/>
      <c r="H31" s="156"/>
      <c r="I31" s="164">
        <f t="shared" ref="I31:Q31" si="15">SUM(I32)</f>
        <v>47432904.15</v>
      </c>
      <c r="J31" s="167">
        <f t="shared" si="15"/>
        <v>47432904.15</v>
      </c>
      <c r="K31" s="167">
        <f t="shared" si="15"/>
        <v>0</v>
      </c>
      <c r="L31" s="167">
        <f t="shared" si="15"/>
        <v>0</v>
      </c>
      <c r="M31" s="167">
        <f t="shared" si="15"/>
        <v>0</v>
      </c>
      <c r="N31" s="167">
        <f t="shared" si="15"/>
        <v>0</v>
      </c>
      <c r="O31" s="167">
        <f t="shared" si="15"/>
        <v>0</v>
      </c>
      <c r="P31" s="167">
        <f t="shared" si="15"/>
        <v>0</v>
      </c>
      <c r="Q31" s="167">
        <f t="shared" si="15"/>
        <v>0</v>
      </c>
      <c r="R31" s="164">
        <f t="shared" si="6"/>
        <v>45684203.56</v>
      </c>
      <c r="S31" s="167">
        <f t="shared" ref="S31:X31" si="16">SUM(S32)</f>
        <v>45684203.56</v>
      </c>
      <c r="T31" s="167">
        <f t="shared" si="16"/>
        <v>0</v>
      </c>
      <c r="U31" s="167">
        <f t="shared" si="16"/>
        <v>0</v>
      </c>
      <c r="V31" s="167">
        <f t="shared" si="16"/>
        <v>0</v>
      </c>
      <c r="W31" s="167">
        <f t="shared" si="16"/>
        <v>0</v>
      </c>
      <c r="X31" s="167">
        <f t="shared" si="16"/>
        <v>0</v>
      </c>
      <c r="Y31" s="206" t="s">
        <v>440</v>
      </c>
      <c r="Z31" s="146"/>
    </row>
    <row r="32" ht="18.75" customHeight="1">
      <c r="A32" s="194" t="s">
        <v>441</v>
      </c>
      <c r="B32" s="195" t="s">
        <v>328</v>
      </c>
      <c r="C32" s="14"/>
      <c r="D32" s="180" t="s">
        <v>442</v>
      </c>
      <c r="E32" s="180" t="s">
        <v>443</v>
      </c>
      <c r="F32" s="180" t="s">
        <v>76</v>
      </c>
      <c r="G32" s="158" t="s">
        <v>322</v>
      </c>
      <c r="H32" s="183" t="s">
        <v>444</v>
      </c>
      <c r="I32" s="188">
        <f>MAX(J32:P32)</f>
        <v>47432904.15</v>
      </c>
      <c r="J32" s="169">
        <v>4.743290415E7</v>
      </c>
      <c r="K32" s="169"/>
      <c r="L32" s="169"/>
      <c r="M32" s="169"/>
      <c r="N32" s="169"/>
      <c r="O32" s="169"/>
      <c r="P32" s="169"/>
      <c r="Q32" s="169"/>
      <c r="R32" s="188">
        <f t="shared" si="6"/>
        <v>45684203.56</v>
      </c>
      <c r="S32" s="169">
        <v>4.568420356E7</v>
      </c>
      <c r="T32" s="169"/>
      <c r="U32" s="169"/>
      <c r="V32" s="169"/>
      <c r="W32" s="169"/>
      <c r="X32" s="169"/>
      <c r="Y32" s="182"/>
      <c r="Z32" s="190" t="s">
        <v>445</v>
      </c>
    </row>
    <row r="33" ht="18.75" customHeight="1">
      <c r="A33" s="147" t="s">
        <v>446</v>
      </c>
      <c r="B33" s="152" t="s">
        <v>237</v>
      </c>
      <c r="C33" s="152" t="s">
        <v>161</v>
      </c>
      <c r="D33" s="152"/>
      <c r="E33" s="152"/>
      <c r="F33" s="152"/>
      <c r="G33" s="155"/>
      <c r="H33" s="156"/>
      <c r="I33" s="164">
        <f t="shared" ref="I33:Q33" si="17">SUM(I34:I43)</f>
        <v>232927974.6</v>
      </c>
      <c r="J33" s="167">
        <f t="shared" si="17"/>
        <v>228941234.2</v>
      </c>
      <c r="K33" s="167">
        <f t="shared" si="17"/>
        <v>55222907.31</v>
      </c>
      <c r="L33" s="167">
        <f t="shared" si="17"/>
        <v>0</v>
      </c>
      <c r="M33" s="167">
        <f t="shared" si="17"/>
        <v>0</v>
      </c>
      <c r="N33" s="167">
        <f t="shared" si="17"/>
        <v>0</v>
      </c>
      <c r="O33" s="167">
        <f t="shared" si="17"/>
        <v>0</v>
      </c>
      <c r="P33" s="167">
        <f t="shared" si="17"/>
        <v>0</v>
      </c>
      <c r="Q33" s="167">
        <f t="shared" si="17"/>
        <v>0</v>
      </c>
      <c r="R33" s="164">
        <f t="shared" si="6"/>
        <v>132891429.5</v>
      </c>
      <c r="S33" s="167">
        <f t="shared" ref="S33:X33" si="18">SUM(S34:S43)</f>
        <v>124884231.8</v>
      </c>
      <c r="T33" s="167">
        <f t="shared" si="18"/>
        <v>8007197.72</v>
      </c>
      <c r="U33" s="167">
        <f t="shared" si="18"/>
        <v>0</v>
      </c>
      <c r="V33" s="167">
        <f t="shared" si="18"/>
        <v>0</v>
      </c>
      <c r="W33" s="167">
        <f t="shared" si="18"/>
        <v>0</v>
      </c>
      <c r="X33" s="167">
        <f t="shared" si="18"/>
        <v>0</v>
      </c>
      <c r="Y33" s="142" t="s">
        <v>448</v>
      </c>
      <c r="Z33" s="146"/>
    </row>
    <row r="34" ht="18.75" customHeight="1">
      <c r="A34" s="177" t="s">
        <v>449</v>
      </c>
      <c r="B34" s="179" t="s">
        <v>450</v>
      </c>
      <c r="C34" s="154"/>
      <c r="D34" s="180" t="s">
        <v>451</v>
      </c>
      <c r="E34" s="180" t="s">
        <v>452</v>
      </c>
      <c r="F34" s="180" t="s">
        <v>140</v>
      </c>
      <c r="G34" s="158" t="s">
        <v>296</v>
      </c>
      <c r="H34" s="183" t="s">
        <v>453</v>
      </c>
      <c r="I34" s="188">
        <f t="shared" ref="I34:I43" si="19">MAX(J34:P34)</f>
        <v>25582775.79</v>
      </c>
      <c r="J34" s="169">
        <v>2.516140379E7</v>
      </c>
      <c r="K34" s="169">
        <v>2.558277579E7</v>
      </c>
      <c r="L34" s="169"/>
      <c r="M34" s="169"/>
      <c r="N34" s="169"/>
      <c r="O34" s="169"/>
      <c r="P34" s="169"/>
      <c r="Q34" s="169"/>
      <c r="R34" s="188">
        <f t="shared" si="6"/>
        <v>23058124.38</v>
      </c>
      <c r="S34" s="169">
        <v>2.305812438E7</v>
      </c>
      <c r="T34" s="169"/>
      <c r="U34" s="169"/>
      <c r="V34" s="169"/>
      <c r="W34" s="169"/>
      <c r="X34" s="169"/>
      <c r="Y34" s="182"/>
      <c r="Z34" s="186"/>
    </row>
    <row r="35" ht="18.75" customHeight="1">
      <c r="A35" s="26"/>
      <c r="B35" s="187"/>
      <c r="C35" s="107"/>
      <c r="D35" s="180" t="s">
        <v>455</v>
      </c>
      <c r="E35" s="180" t="s">
        <v>452</v>
      </c>
      <c r="F35" s="180" t="s">
        <v>120</v>
      </c>
      <c r="G35" s="158" t="s">
        <v>322</v>
      </c>
      <c r="H35" s="183" t="s">
        <v>420</v>
      </c>
      <c r="I35" s="188">
        <f t="shared" si="19"/>
        <v>30729117.31</v>
      </c>
      <c r="J35" s="169">
        <v>3.072911731E7</v>
      </c>
      <c r="K35" s="169"/>
      <c r="L35" s="169"/>
      <c r="M35" s="169"/>
      <c r="N35" s="169"/>
      <c r="O35" s="169"/>
      <c r="P35" s="169"/>
      <c r="Q35" s="169"/>
      <c r="R35" s="188">
        <f t="shared" si="6"/>
        <v>19787637.25</v>
      </c>
      <c r="S35" s="169">
        <v>1.843020401E7</v>
      </c>
      <c r="T35" s="169">
        <v>1357433.24</v>
      </c>
      <c r="U35" s="169"/>
      <c r="V35" s="169"/>
      <c r="W35" s="169"/>
      <c r="X35" s="169"/>
      <c r="Y35" s="182"/>
      <c r="Z35" s="186"/>
    </row>
    <row r="36" ht="18.75" customHeight="1">
      <c r="A36" s="177" t="s">
        <v>456</v>
      </c>
      <c r="B36" s="179" t="s">
        <v>457</v>
      </c>
      <c r="C36" s="154"/>
      <c r="D36" s="180" t="s">
        <v>458</v>
      </c>
      <c r="E36" s="180" t="s">
        <v>460</v>
      </c>
      <c r="F36" s="180" t="s">
        <v>128</v>
      </c>
      <c r="G36" s="158" t="s">
        <v>296</v>
      </c>
      <c r="H36" s="183" t="s">
        <v>461</v>
      </c>
      <c r="I36" s="188">
        <f t="shared" si="19"/>
        <v>14060668.61</v>
      </c>
      <c r="J36" s="169">
        <v>1.406066861E7</v>
      </c>
      <c r="K36" s="169"/>
      <c r="L36" s="169"/>
      <c r="M36" s="169"/>
      <c r="N36" s="169"/>
      <c r="O36" s="169"/>
      <c r="P36" s="169"/>
      <c r="Q36" s="169"/>
      <c r="R36" s="188">
        <f t="shared" si="6"/>
        <v>3414910.95</v>
      </c>
      <c r="S36" s="169">
        <v>2491884.78</v>
      </c>
      <c r="T36" s="169">
        <v>923026.17</v>
      </c>
      <c r="U36" s="169"/>
      <c r="V36" s="169"/>
      <c r="W36" s="169"/>
      <c r="X36" s="169"/>
      <c r="Y36" s="182"/>
      <c r="Z36" s="190" t="s">
        <v>462</v>
      </c>
    </row>
    <row r="37" ht="18.75" customHeight="1">
      <c r="A37" s="26"/>
      <c r="B37" s="187"/>
      <c r="C37" s="107"/>
      <c r="D37" s="180" t="s">
        <v>463</v>
      </c>
      <c r="E37" s="180" t="s">
        <v>464</v>
      </c>
      <c r="F37" s="180" t="s">
        <v>130</v>
      </c>
      <c r="G37" s="158" t="s">
        <v>322</v>
      </c>
      <c r="H37" s="183" t="s">
        <v>465</v>
      </c>
      <c r="I37" s="188">
        <f t="shared" si="19"/>
        <v>29506539.53</v>
      </c>
      <c r="J37" s="169">
        <v>2.950653953E7</v>
      </c>
      <c r="K37" s="169"/>
      <c r="L37" s="169"/>
      <c r="M37" s="169"/>
      <c r="N37" s="169"/>
      <c r="O37" s="169"/>
      <c r="P37" s="169"/>
      <c r="Q37" s="169"/>
      <c r="R37" s="188">
        <f t="shared" si="6"/>
        <v>15487867.54</v>
      </c>
      <c r="S37" s="169">
        <v>1.400086316E7</v>
      </c>
      <c r="T37" s="169">
        <v>1487004.38</v>
      </c>
      <c r="U37" s="169"/>
      <c r="V37" s="169"/>
      <c r="W37" s="169"/>
      <c r="X37" s="169"/>
      <c r="Y37" s="182"/>
      <c r="Z37" s="186"/>
    </row>
    <row r="38" ht="18.75" customHeight="1">
      <c r="A38" s="177" t="s">
        <v>466</v>
      </c>
      <c r="B38" s="179" t="s">
        <v>467</v>
      </c>
      <c r="C38" s="154"/>
      <c r="D38" s="180" t="s">
        <v>468</v>
      </c>
      <c r="E38" s="180" t="s">
        <v>469</v>
      </c>
      <c r="F38" s="180" t="s">
        <v>123</v>
      </c>
      <c r="G38" s="158" t="s">
        <v>296</v>
      </c>
      <c r="H38" s="183" t="s">
        <v>470</v>
      </c>
      <c r="I38" s="188">
        <f t="shared" si="19"/>
        <v>29640131.52</v>
      </c>
      <c r="J38" s="169">
        <v>2.60747631E7</v>
      </c>
      <c r="K38" s="169">
        <v>2.964013152E7</v>
      </c>
      <c r="L38" s="169"/>
      <c r="M38" s="169"/>
      <c r="N38" s="169"/>
      <c r="O38" s="169"/>
      <c r="P38" s="169"/>
      <c r="Q38" s="169"/>
      <c r="R38" s="188">
        <f t="shared" si="6"/>
        <v>20672517.31</v>
      </c>
      <c r="S38" s="169">
        <v>1.928742989E7</v>
      </c>
      <c r="T38" s="169">
        <v>1385087.42</v>
      </c>
      <c r="U38" s="169"/>
      <c r="V38" s="169"/>
      <c r="W38" s="169"/>
      <c r="X38" s="169"/>
      <c r="Y38" s="182"/>
      <c r="Z38" s="186"/>
    </row>
    <row r="39" ht="18.75" customHeight="1">
      <c r="A39" s="26"/>
      <c r="B39" s="187"/>
      <c r="C39" s="107"/>
      <c r="D39" s="180" t="s">
        <v>472</v>
      </c>
      <c r="E39" s="180" t="s">
        <v>473</v>
      </c>
      <c r="F39" s="180" t="s">
        <v>100</v>
      </c>
      <c r="G39" s="158" t="s">
        <v>322</v>
      </c>
      <c r="H39" s="183" t="s">
        <v>474</v>
      </c>
      <c r="I39" s="188">
        <f t="shared" si="19"/>
        <v>31238625.34</v>
      </c>
      <c r="J39" s="169">
        <v>3.123862534E7</v>
      </c>
      <c r="K39" s="169"/>
      <c r="L39" s="169"/>
      <c r="M39" s="169"/>
      <c r="N39" s="169"/>
      <c r="O39" s="169"/>
      <c r="P39" s="169"/>
      <c r="Q39" s="169"/>
      <c r="R39" s="188">
        <f t="shared" si="6"/>
        <v>17049675.62</v>
      </c>
      <c r="S39" s="169">
        <v>1.529724425E7</v>
      </c>
      <c r="T39" s="169">
        <v>1752431.37</v>
      </c>
      <c r="U39" s="169"/>
      <c r="V39" s="169"/>
      <c r="W39" s="169"/>
      <c r="X39" s="169"/>
      <c r="Y39" s="182"/>
      <c r="Z39" s="186"/>
    </row>
    <row r="40" ht="18.75" customHeight="1">
      <c r="A40" s="177" t="s">
        <v>475</v>
      </c>
      <c r="B40" s="179" t="s">
        <v>476</v>
      </c>
      <c r="C40" s="154"/>
      <c r="D40" s="180" t="s">
        <v>477</v>
      </c>
      <c r="E40" s="180" t="s">
        <v>478</v>
      </c>
      <c r="F40" s="180" t="s">
        <v>132</v>
      </c>
      <c r="G40" s="158" t="s">
        <v>296</v>
      </c>
      <c r="H40" s="183" t="s">
        <v>479</v>
      </c>
      <c r="I40" s="188">
        <f t="shared" si="19"/>
        <v>37903821.53</v>
      </c>
      <c r="J40" s="169">
        <v>3.790382153E7</v>
      </c>
      <c r="K40" s="169"/>
      <c r="L40" s="169"/>
      <c r="M40" s="169"/>
      <c r="N40" s="169"/>
      <c r="O40" s="169"/>
      <c r="P40" s="169"/>
      <c r="Q40" s="169"/>
      <c r="R40" s="188">
        <f t="shared" si="6"/>
        <v>20414612.4</v>
      </c>
      <c r="S40" s="169">
        <v>2.04146124E7</v>
      </c>
      <c r="T40" s="169"/>
      <c r="U40" s="169"/>
      <c r="V40" s="169"/>
      <c r="W40" s="169"/>
      <c r="X40" s="169"/>
      <c r="Y40" s="182"/>
      <c r="Z40" s="186"/>
    </row>
    <row r="41" ht="18.75" customHeight="1">
      <c r="A41" s="26"/>
      <c r="B41" s="187"/>
      <c r="C41" s="107"/>
      <c r="D41" s="180" t="s">
        <v>481</v>
      </c>
      <c r="E41" s="180" t="s">
        <v>482</v>
      </c>
      <c r="F41" s="180" t="s">
        <v>136</v>
      </c>
      <c r="G41" s="158" t="s">
        <v>322</v>
      </c>
      <c r="H41" s="183" t="s">
        <v>483</v>
      </c>
      <c r="I41" s="188">
        <f t="shared" si="19"/>
        <v>13944071.68</v>
      </c>
      <c r="J41" s="169">
        <v>1.394407168E7</v>
      </c>
      <c r="K41" s="169"/>
      <c r="L41" s="169"/>
      <c r="M41" s="169"/>
      <c r="N41" s="169"/>
      <c r="O41" s="169"/>
      <c r="P41" s="169"/>
      <c r="Q41" s="169"/>
      <c r="R41" s="188">
        <f t="shared" si="6"/>
        <v>4198148.58</v>
      </c>
      <c r="S41" s="169">
        <v>3095933.44</v>
      </c>
      <c r="T41" s="169">
        <v>1102215.14</v>
      </c>
      <c r="U41" s="169"/>
      <c r="V41" s="169"/>
      <c r="W41" s="169"/>
      <c r="X41" s="169"/>
      <c r="Y41" s="182"/>
      <c r="Z41" s="186"/>
    </row>
    <row r="42" ht="18.75" customHeight="1">
      <c r="A42" s="194" t="s">
        <v>484</v>
      </c>
      <c r="B42" s="195" t="s">
        <v>485</v>
      </c>
      <c r="C42" s="14"/>
      <c r="D42" s="180" t="s">
        <v>486</v>
      </c>
      <c r="E42" s="180" t="s">
        <v>487</v>
      </c>
      <c r="F42" s="180" t="s">
        <v>138</v>
      </c>
      <c r="G42" s="158" t="s">
        <v>296</v>
      </c>
      <c r="H42" s="183" t="s">
        <v>488</v>
      </c>
      <c r="I42" s="188">
        <f t="shared" si="19"/>
        <v>7871572.23</v>
      </c>
      <c r="J42" s="169">
        <v>7871572.23</v>
      </c>
      <c r="K42" s="169"/>
      <c r="L42" s="169"/>
      <c r="M42" s="169"/>
      <c r="N42" s="169"/>
      <c r="O42" s="169"/>
      <c r="P42" s="169"/>
      <c r="Q42" s="169"/>
      <c r="R42" s="188">
        <f t="shared" si="6"/>
        <v>0</v>
      </c>
      <c r="S42" s="169">
        <v>0.0</v>
      </c>
      <c r="T42" s="169"/>
      <c r="U42" s="169"/>
      <c r="V42" s="169"/>
      <c r="W42" s="169"/>
      <c r="X42" s="169"/>
      <c r="Y42" s="182"/>
      <c r="Z42" s="190" t="s">
        <v>489</v>
      </c>
    </row>
    <row r="43" ht="18.75" customHeight="1">
      <c r="A43" s="194" t="s">
        <v>490</v>
      </c>
      <c r="B43" s="195" t="s">
        <v>492</v>
      </c>
      <c r="C43" s="14"/>
      <c r="D43" s="180" t="s">
        <v>493</v>
      </c>
      <c r="E43" s="180" t="s">
        <v>494</v>
      </c>
      <c r="F43" s="180" t="s">
        <v>107</v>
      </c>
      <c r="G43" s="158" t="s">
        <v>296</v>
      </c>
      <c r="H43" s="183" t="s">
        <v>495</v>
      </c>
      <c r="I43" s="188">
        <f t="shared" si="19"/>
        <v>12450651.09</v>
      </c>
      <c r="J43" s="169">
        <v>1.245065109E7</v>
      </c>
      <c r="K43" s="169"/>
      <c r="L43" s="169"/>
      <c r="M43" s="169"/>
      <c r="N43" s="169"/>
      <c r="O43" s="169"/>
      <c r="P43" s="169"/>
      <c r="Q43" s="169"/>
      <c r="R43" s="188">
        <f t="shared" si="6"/>
        <v>8807935.5</v>
      </c>
      <c r="S43" s="169">
        <v>8807935.5</v>
      </c>
      <c r="T43" s="169"/>
      <c r="U43" s="169"/>
      <c r="V43" s="169"/>
      <c r="W43" s="169"/>
      <c r="X43" s="169"/>
      <c r="Y43" s="182"/>
      <c r="Z43" s="190" t="s">
        <v>496</v>
      </c>
    </row>
    <row r="44" ht="18.75" customHeight="1">
      <c r="A44" s="147" t="s">
        <v>497</v>
      </c>
      <c r="B44" s="152" t="s">
        <v>256</v>
      </c>
      <c r="C44" s="152" t="s">
        <v>71</v>
      </c>
      <c r="D44" s="152"/>
      <c r="E44" s="152"/>
      <c r="F44" s="152"/>
      <c r="G44" s="155"/>
      <c r="H44" s="156"/>
      <c r="I44" s="164">
        <f t="shared" ref="I44:Q44" si="20">SUM(I45:I46)</f>
        <v>73781115.74</v>
      </c>
      <c r="J44" s="167">
        <f t="shared" si="20"/>
        <v>73781115.74</v>
      </c>
      <c r="K44" s="167">
        <f t="shared" si="20"/>
        <v>0</v>
      </c>
      <c r="L44" s="167">
        <f t="shared" si="20"/>
        <v>0</v>
      </c>
      <c r="M44" s="167">
        <f t="shared" si="20"/>
        <v>0</v>
      </c>
      <c r="N44" s="167">
        <f t="shared" si="20"/>
        <v>0</v>
      </c>
      <c r="O44" s="167">
        <f t="shared" si="20"/>
        <v>0</v>
      </c>
      <c r="P44" s="167">
        <f t="shared" si="20"/>
        <v>0</v>
      </c>
      <c r="Q44" s="167">
        <f t="shared" si="20"/>
        <v>0</v>
      </c>
      <c r="R44" s="164">
        <f t="shared" si="6"/>
        <v>41136359.03</v>
      </c>
      <c r="S44" s="167">
        <f t="shared" ref="S44:X44" si="21">SUM(S45:S46)</f>
        <v>34871402.81</v>
      </c>
      <c r="T44" s="167">
        <f t="shared" si="21"/>
        <v>6264956.22</v>
      </c>
      <c r="U44" s="167">
        <f t="shared" si="21"/>
        <v>0</v>
      </c>
      <c r="V44" s="167">
        <f t="shared" si="21"/>
        <v>0</v>
      </c>
      <c r="W44" s="167">
        <f t="shared" si="21"/>
        <v>0</v>
      </c>
      <c r="X44" s="167">
        <f t="shared" si="21"/>
        <v>0</v>
      </c>
      <c r="Y44" s="206" t="s">
        <v>440</v>
      </c>
      <c r="Z44" s="146"/>
    </row>
    <row r="45" ht="18.75" customHeight="1">
      <c r="A45" s="177" t="s">
        <v>500</v>
      </c>
      <c r="B45" s="179" t="s">
        <v>328</v>
      </c>
      <c r="C45" s="154"/>
      <c r="D45" s="180" t="s">
        <v>501</v>
      </c>
      <c r="E45" s="180" t="s">
        <v>502</v>
      </c>
      <c r="F45" s="205" t="s">
        <v>152</v>
      </c>
      <c r="G45" s="158" t="s">
        <v>296</v>
      </c>
      <c r="H45" s="183" t="s">
        <v>503</v>
      </c>
      <c r="I45" s="188">
        <f t="shared" ref="I45:I46" si="22">MAX(J45:P45)</f>
        <v>9072442.1</v>
      </c>
      <c r="J45" s="169">
        <v>9072442.1</v>
      </c>
      <c r="K45" s="169"/>
      <c r="L45" s="169"/>
      <c r="M45" s="169"/>
      <c r="N45" s="169"/>
      <c r="O45" s="169"/>
      <c r="P45" s="169"/>
      <c r="Q45" s="169"/>
      <c r="R45" s="210">
        <f t="shared" si="6"/>
        <v>6156511.21</v>
      </c>
      <c r="S45" s="169">
        <v>2069668.71</v>
      </c>
      <c r="T45" s="169">
        <v>4086842.5</v>
      </c>
      <c r="U45" s="169"/>
      <c r="V45" s="169"/>
      <c r="W45" s="169"/>
      <c r="X45" s="169"/>
      <c r="Y45" s="182"/>
      <c r="Z45" s="190" t="s">
        <v>505</v>
      </c>
    </row>
    <row r="46" ht="18.75" customHeight="1">
      <c r="A46" s="26"/>
      <c r="B46" s="187"/>
      <c r="C46" s="107"/>
      <c r="D46" s="180" t="s">
        <v>506</v>
      </c>
      <c r="E46" s="180" t="s">
        <v>507</v>
      </c>
      <c r="F46" s="205" t="s">
        <v>152</v>
      </c>
      <c r="G46" s="158" t="s">
        <v>322</v>
      </c>
      <c r="H46" s="183" t="s">
        <v>508</v>
      </c>
      <c r="I46" s="188">
        <f t="shared" si="22"/>
        <v>64708673.64</v>
      </c>
      <c r="J46" s="169">
        <v>6.470867364E7</v>
      </c>
      <c r="K46" s="169"/>
      <c r="L46" s="169"/>
      <c r="M46" s="169"/>
      <c r="N46" s="169"/>
      <c r="O46" s="169"/>
      <c r="P46" s="169"/>
      <c r="Q46" s="169"/>
      <c r="R46" s="210">
        <f t="shared" si="6"/>
        <v>34979847.82</v>
      </c>
      <c r="S46" s="169">
        <v>3.28017341E7</v>
      </c>
      <c r="T46" s="169">
        <v>2178113.72</v>
      </c>
      <c r="U46" s="169"/>
      <c r="V46" s="169"/>
      <c r="W46" s="169"/>
      <c r="X46" s="169"/>
      <c r="Y46" s="182"/>
      <c r="Z46" s="186"/>
    </row>
    <row r="47">
      <c r="A47" s="147" t="s">
        <v>509</v>
      </c>
      <c r="B47" s="152" t="s">
        <v>213</v>
      </c>
      <c r="C47" s="152" t="s">
        <v>102</v>
      </c>
      <c r="D47" s="152"/>
      <c r="E47" s="152"/>
      <c r="F47" s="152"/>
      <c r="G47" s="155"/>
      <c r="H47" s="156"/>
      <c r="I47" s="164">
        <f t="shared" ref="I47:Q47" si="23">SUM(I48:I65)</f>
        <v>345526424.3</v>
      </c>
      <c r="J47" s="167">
        <f t="shared" si="23"/>
        <v>343425851.7</v>
      </c>
      <c r="K47" s="167">
        <f t="shared" si="23"/>
        <v>0</v>
      </c>
      <c r="L47" s="167">
        <f t="shared" si="23"/>
        <v>0</v>
      </c>
      <c r="M47" s="167">
        <f t="shared" si="23"/>
        <v>0</v>
      </c>
      <c r="N47" s="167">
        <f t="shared" si="23"/>
        <v>0</v>
      </c>
      <c r="O47" s="167">
        <f t="shared" si="23"/>
        <v>0</v>
      </c>
      <c r="P47" s="167">
        <f t="shared" si="23"/>
        <v>0</v>
      </c>
      <c r="Q47" s="167">
        <f t="shared" si="23"/>
        <v>0</v>
      </c>
      <c r="R47" s="164">
        <f t="shared" si="6"/>
        <v>227319272.1</v>
      </c>
      <c r="S47" s="167">
        <f t="shared" ref="S47:X47" si="24">SUM(S48:S65)</f>
        <v>217837667.5</v>
      </c>
      <c r="T47" s="167">
        <f t="shared" si="24"/>
        <v>9481604.6</v>
      </c>
      <c r="U47" s="167">
        <f t="shared" si="24"/>
        <v>0</v>
      </c>
      <c r="V47" s="167">
        <f t="shared" si="24"/>
        <v>0</v>
      </c>
      <c r="W47" s="167">
        <f t="shared" si="24"/>
        <v>0</v>
      </c>
      <c r="X47" s="167">
        <f t="shared" si="24"/>
        <v>0</v>
      </c>
      <c r="Y47" s="142" t="s">
        <v>511</v>
      </c>
      <c r="Z47" s="146"/>
    </row>
    <row r="48" ht="18.75" customHeight="1">
      <c r="A48" s="194" t="s">
        <v>512</v>
      </c>
      <c r="B48" s="195" t="s">
        <v>513</v>
      </c>
      <c r="C48" s="14"/>
      <c r="D48" s="180" t="s">
        <v>514</v>
      </c>
      <c r="E48" s="180" t="s">
        <v>515</v>
      </c>
      <c r="F48" s="180" t="s">
        <v>516</v>
      </c>
      <c r="G48" s="158" t="s">
        <v>322</v>
      </c>
      <c r="H48" s="183" t="s">
        <v>518</v>
      </c>
      <c r="I48" s="188">
        <v>1.26034356E7</v>
      </c>
      <c r="J48" s="169">
        <v>1.0502863E7</v>
      </c>
      <c r="K48" s="169"/>
      <c r="L48" s="169"/>
      <c r="M48" s="169"/>
      <c r="N48" s="169"/>
      <c r="O48" s="169"/>
      <c r="P48" s="169"/>
      <c r="Q48" s="169"/>
      <c r="R48" s="188">
        <f t="shared" si="6"/>
        <v>10805555.9</v>
      </c>
      <c r="S48" s="169">
        <v>9345125.21</v>
      </c>
      <c r="T48" s="169">
        <v>1460430.69</v>
      </c>
      <c r="U48" s="169"/>
      <c r="V48" s="169"/>
      <c r="W48" s="169"/>
      <c r="X48" s="169"/>
      <c r="Y48" s="211"/>
      <c r="Z48" s="212" t="s">
        <v>519</v>
      </c>
    </row>
    <row r="49" ht="18.75" customHeight="1">
      <c r="A49" s="194" t="s">
        <v>520</v>
      </c>
      <c r="B49" s="179" t="s">
        <v>521</v>
      </c>
      <c r="C49" s="154"/>
      <c r="D49" s="180" t="s">
        <v>522</v>
      </c>
      <c r="E49" s="180" t="s">
        <v>523</v>
      </c>
      <c r="F49" s="213" t="s">
        <v>521</v>
      </c>
      <c r="G49" s="158" t="s">
        <v>322</v>
      </c>
      <c r="H49" s="183" t="s">
        <v>524</v>
      </c>
      <c r="I49" s="188">
        <f t="shared" ref="I49:I65" si="25">MAX(J49:P49)</f>
        <v>14048013</v>
      </c>
      <c r="J49" s="169">
        <v>1.4048013E7</v>
      </c>
      <c r="K49" s="169"/>
      <c r="L49" s="169"/>
      <c r="M49" s="169"/>
      <c r="N49" s="169"/>
      <c r="O49" s="169"/>
      <c r="P49" s="169"/>
      <c r="Q49" s="169"/>
      <c r="R49" s="188">
        <f t="shared" si="6"/>
        <v>1927648.5</v>
      </c>
      <c r="S49" s="169">
        <v>1927648.5</v>
      </c>
      <c r="T49" s="169"/>
      <c r="U49" s="169"/>
      <c r="V49" s="169"/>
      <c r="W49" s="169"/>
      <c r="X49" s="169"/>
      <c r="Y49" s="211"/>
      <c r="Z49" s="212" t="s">
        <v>526</v>
      </c>
    </row>
    <row r="50" ht="18.75" customHeight="1">
      <c r="A50" s="194" t="s">
        <v>527</v>
      </c>
      <c r="B50" s="187"/>
      <c r="C50" s="107"/>
      <c r="D50" s="180" t="s">
        <v>528</v>
      </c>
      <c r="E50" s="180" t="s">
        <v>523</v>
      </c>
      <c r="F50" s="26"/>
      <c r="G50" s="158" t="s">
        <v>296</v>
      </c>
      <c r="H50" s="183" t="s">
        <v>529</v>
      </c>
      <c r="I50" s="188">
        <f t="shared" si="25"/>
        <v>6853135.29</v>
      </c>
      <c r="J50" s="169">
        <v>6853135.29</v>
      </c>
      <c r="K50" s="169"/>
      <c r="L50" s="169"/>
      <c r="M50" s="169"/>
      <c r="N50" s="169"/>
      <c r="O50" s="169"/>
      <c r="P50" s="169"/>
      <c r="Q50" s="169"/>
      <c r="R50" s="188">
        <f t="shared" si="6"/>
        <v>3987464.48</v>
      </c>
      <c r="S50" s="169">
        <v>3887224.28</v>
      </c>
      <c r="T50" s="169">
        <v>100240.2</v>
      </c>
      <c r="U50" s="169"/>
      <c r="V50" s="169"/>
      <c r="W50" s="169"/>
      <c r="X50" s="169"/>
      <c r="Y50" s="180"/>
      <c r="Z50" s="190" t="s">
        <v>530</v>
      </c>
    </row>
    <row r="51" ht="18.75" customHeight="1">
      <c r="A51" s="194" t="s">
        <v>531</v>
      </c>
      <c r="B51" s="179" t="s">
        <v>532</v>
      </c>
      <c r="C51" s="154"/>
      <c r="D51" s="180" t="s">
        <v>535</v>
      </c>
      <c r="E51" s="180" t="s">
        <v>536</v>
      </c>
      <c r="F51" s="213" t="s">
        <v>532</v>
      </c>
      <c r="G51" s="158" t="s">
        <v>322</v>
      </c>
      <c r="H51" s="183" t="s">
        <v>540</v>
      </c>
      <c r="I51" s="188">
        <f t="shared" si="25"/>
        <v>13022589.5</v>
      </c>
      <c r="J51" s="169">
        <v>1.30225895E7</v>
      </c>
      <c r="K51" s="169"/>
      <c r="L51" s="169"/>
      <c r="M51" s="169"/>
      <c r="N51" s="169"/>
      <c r="O51" s="169"/>
      <c r="P51" s="169"/>
      <c r="Q51" s="169"/>
      <c r="R51" s="188">
        <f t="shared" si="6"/>
        <v>9623009.08</v>
      </c>
      <c r="S51" s="169">
        <v>8856105.39</v>
      </c>
      <c r="T51" s="169">
        <v>766903.69</v>
      </c>
      <c r="U51" s="169"/>
      <c r="V51" s="169"/>
      <c r="W51" s="169"/>
      <c r="X51" s="169"/>
      <c r="Y51" s="211"/>
      <c r="Z51" s="212" t="s">
        <v>519</v>
      </c>
    </row>
    <row r="52" ht="18.75" customHeight="1">
      <c r="A52" s="194" t="s">
        <v>541</v>
      </c>
      <c r="B52" s="198"/>
      <c r="C52" s="199"/>
      <c r="D52" s="180" t="s">
        <v>542</v>
      </c>
      <c r="E52" s="180" t="s">
        <v>536</v>
      </c>
      <c r="F52" s="197"/>
      <c r="G52" s="158" t="s">
        <v>377</v>
      </c>
      <c r="H52" s="183" t="s">
        <v>543</v>
      </c>
      <c r="I52" s="188">
        <f t="shared" si="25"/>
        <v>4485226.21</v>
      </c>
      <c r="J52" s="169">
        <v>4485226.21</v>
      </c>
      <c r="K52" s="169"/>
      <c r="L52" s="169"/>
      <c r="M52" s="169"/>
      <c r="N52" s="169"/>
      <c r="O52" s="169"/>
      <c r="P52" s="169"/>
      <c r="Q52" s="169"/>
      <c r="R52" s="188">
        <f t="shared" si="6"/>
        <v>2722697.02</v>
      </c>
      <c r="S52" s="169">
        <v>2722697.02</v>
      </c>
      <c r="T52" s="169"/>
      <c r="U52" s="169"/>
      <c r="V52" s="169"/>
      <c r="W52" s="169"/>
      <c r="X52" s="169"/>
      <c r="Y52" s="180"/>
      <c r="Z52" s="190" t="s">
        <v>530</v>
      </c>
    </row>
    <row r="53" ht="18.75" customHeight="1">
      <c r="A53" s="194" t="s">
        <v>544</v>
      </c>
      <c r="B53" s="187"/>
      <c r="C53" s="107"/>
      <c r="D53" s="180" t="s">
        <v>545</v>
      </c>
      <c r="E53" s="180" t="s">
        <v>536</v>
      </c>
      <c r="F53" s="26"/>
      <c r="G53" s="158" t="s">
        <v>296</v>
      </c>
      <c r="H53" s="183" t="s">
        <v>546</v>
      </c>
      <c r="I53" s="188">
        <f t="shared" si="25"/>
        <v>10853074.74</v>
      </c>
      <c r="J53" s="169">
        <v>1.085307474E7</v>
      </c>
      <c r="K53" s="169"/>
      <c r="L53" s="169"/>
      <c r="M53" s="169"/>
      <c r="N53" s="169"/>
      <c r="O53" s="169"/>
      <c r="P53" s="169"/>
      <c r="Q53" s="169"/>
      <c r="R53" s="188">
        <f t="shared" si="6"/>
        <v>3027397.21</v>
      </c>
      <c r="S53" s="169">
        <v>2974901.21</v>
      </c>
      <c r="T53" s="169">
        <v>52496.0</v>
      </c>
      <c r="U53" s="169"/>
      <c r="V53" s="169"/>
      <c r="W53" s="169"/>
      <c r="X53" s="169"/>
      <c r="Y53" s="180"/>
      <c r="Z53" s="190" t="s">
        <v>547</v>
      </c>
    </row>
    <row r="54" ht="18.75" customHeight="1">
      <c r="A54" s="194" t="s">
        <v>548</v>
      </c>
      <c r="B54" s="179" t="s">
        <v>549</v>
      </c>
      <c r="C54" s="154"/>
      <c r="D54" s="180" t="s">
        <v>550</v>
      </c>
      <c r="E54" s="180" t="s">
        <v>551</v>
      </c>
      <c r="F54" s="213" t="s">
        <v>549</v>
      </c>
      <c r="G54" s="158" t="s">
        <v>322</v>
      </c>
      <c r="H54" s="183" t="s">
        <v>552</v>
      </c>
      <c r="I54" s="188">
        <f t="shared" si="25"/>
        <v>20540112.2</v>
      </c>
      <c r="J54" s="169">
        <v>2.05401122E7</v>
      </c>
      <c r="K54" s="169"/>
      <c r="L54" s="169"/>
      <c r="M54" s="169"/>
      <c r="N54" s="169"/>
      <c r="O54" s="169"/>
      <c r="P54" s="169"/>
      <c r="Q54" s="169"/>
      <c r="R54" s="188">
        <f t="shared" si="6"/>
        <v>17529616.91</v>
      </c>
      <c r="S54" s="169">
        <v>1.671212692E7</v>
      </c>
      <c r="T54" s="169">
        <v>817489.99</v>
      </c>
      <c r="U54" s="169"/>
      <c r="V54" s="169"/>
      <c r="W54" s="169"/>
      <c r="X54" s="169"/>
      <c r="Y54" s="211"/>
      <c r="Z54" s="212" t="s">
        <v>519</v>
      </c>
    </row>
    <row r="55" ht="18.75" customHeight="1">
      <c r="A55" s="194" t="s">
        <v>553</v>
      </c>
      <c r="B55" s="187"/>
      <c r="C55" s="107"/>
      <c r="D55" s="180" t="s">
        <v>554</v>
      </c>
      <c r="E55" s="180" t="s">
        <v>555</v>
      </c>
      <c r="F55" s="26"/>
      <c r="G55" s="158" t="s">
        <v>296</v>
      </c>
      <c r="H55" s="183" t="s">
        <v>556</v>
      </c>
      <c r="I55" s="188">
        <f t="shared" si="25"/>
        <v>10627391.9</v>
      </c>
      <c r="J55" s="169">
        <v>1.06273919E7</v>
      </c>
      <c r="K55" s="169"/>
      <c r="L55" s="169"/>
      <c r="M55" s="169"/>
      <c r="N55" s="169"/>
      <c r="O55" s="169"/>
      <c r="P55" s="169"/>
      <c r="Q55" s="169"/>
      <c r="R55" s="188">
        <f t="shared" si="6"/>
        <v>9682467.64</v>
      </c>
      <c r="S55" s="169">
        <v>9682467.64</v>
      </c>
      <c r="T55" s="169"/>
      <c r="U55" s="169"/>
      <c r="V55" s="169"/>
      <c r="W55" s="169"/>
      <c r="X55" s="169"/>
      <c r="Y55" s="180"/>
      <c r="Z55" s="190" t="s">
        <v>530</v>
      </c>
    </row>
    <row r="56" ht="18.75" customHeight="1">
      <c r="A56" s="194" t="s">
        <v>558</v>
      </c>
      <c r="B56" s="218" t="s">
        <v>559</v>
      </c>
      <c r="C56" s="154"/>
      <c r="D56" s="180" t="s">
        <v>560</v>
      </c>
      <c r="E56" s="180" t="s">
        <v>561</v>
      </c>
      <c r="F56" s="213" t="s">
        <v>559</v>
      </c>
      <c r="G56" s="158" t="s">
        <v>322</v>
      </c>
      <c r="H56" s="183" t="s">
        <v>562</v>
      </c>
      <c r="I56" s="188">
        <f t="shared" si="25"/>
        <v>21514838</v>
      </c>
      <c r="J56" s="169">
        <v>2.1514838E7</v>
      </c>
      <c r="K56" s="169"/>
      <c r="L56" s="169"/>
      <c r="M56" s="169"/>
      <c r="N56" s="169"/>
      <c r="O56" s="169"/>
      <c r="P56" s="169"/>
      <c r="Q56" s="169"/>
      <c r="R56" s="188">
        <f t="shared" si="6"/>
        <v>12382953.53</v>
      </c>
      <c r="S56" s="169">
        <v>1.151475334E7</v>
      </c>
      <c r="T56" s="169">
        <v>868200.19</v>
      </c>
      <c r="U56" s="169"/>
      <c r="V56" s="169"/>
      <c r="W56" s="169"/>
      <c r="X56" s="169"/>
      <c r="Y56" s="180"/>
      <c r="Z56" s="212" t="s">
        <v>519</v>
      </c>
    </row>
    <row r="57" ht="18.75" customHeight="1">
      <c r="A57" s="194" t="s">
        <v>563</v>
      </c>
      <c r="B57" s="198"/>
      <c r="C57" s="199"/>
      <c r="D57" s="180" t="s">
        <v>564</v>
      </c>
      <c r="E57" s="180" t="s">
        <v>565</v>
      </c>
      <c r="F57" s="197"/>
      <c r="G57" s="158" t="s">
        <v>296</v>
      </c>
      <c r="H57" s="183" t="s">
        <v>566</v>
      </c>
      <c r="I57" s="188">
        <f t="shared" si="25"/>
        <v>12580685.9</v>
      </c>
      <c r="J57" s="169">
        <v>1.25806859E7</v>
      </c>
      <c r="K57" s="169"/>
      <c r="L57" s="169"/>
      <c r="M57" s="169"/>
      <c r="N57" s="169"/>
      <c r="O57" s="169"/>
      <c r="P57" s="169"/>
      <c r="Q57" s="169"/>
      <c r="R57" s="188">
        <f t="shared" si="6"/>
        <v>8771007.65</v>
      </c>
      <c r="S57" s="169">
        <v>8771007.65</v>
      </c>
      <c r="T57" s="169"/>
      <c r="U57" s="169"/>
      <c r="V57" s="169"/>
      <c r="W57" s="169"/>
      <c r="X57" s="169"/>
      <c r="Y57" s="180"/>
      <c r="Z57" s="190" t="s">
        <v>530</v>
      </c>
    </row>
    <row r="58" ht="18.75" customHeight="1">
      <c r="A58" s="194" t="s">
        <v>567</v>
      </c>
      <c r="B58" s="187"/>
      <c r="C58" s="107"/>
      <c r="D58" s="180" t="s">
        <v>568</v>
      </c>
      <c r="E58" s="180" t="s">
        <v>569</v>
      </c>
      <c r="F58" s="26"/>
      <c r="G58" s="158" t="s">
        <v>377</v>
      </c>
      <c r="H58" s="183" t="s">
        <v>570</v>
      </c>
      <c r="I58" s="188">
        <f t="shared" si="25"/>
        <v>5521366.25</v>
      </c>
      <c r="J58" s="169">
        <v>5521366.25</v>
      </c>
      <c r="K58" s="169"/>
      <c r="L58" s="169"/>
      <c r="M58" s="169"/>
      <c r="N58" s="169"/>
      <c r="O58" s="169"/>
      <c r="P58" s="169"/>
      <c r="Q58" s="169"/>
      <c r="R58" s="188">
        <f t="shared" si="6"/>
        <v>1836372.62</v>
      </c>
      <c r="S58" s="169">
        <v>1836372.62</v>
      </c>
      <c r="T58" s="169"/>
      <c r="U58" s="169"/>
      <c r="V58" s="169"/>
      <c r="W58" s="169"/>
      <c r="X58" s="169"/>
      <c r="Y58" s="180"/>
      <c r="Z58" s="190" t="s">
        <v>530</v>
      </c>
    </row>
    <row r="59" ht="18.75" customHeight="1">
      <c r="A59" s="194" t="s">
        <v>571</v>
      </c>
      <c r="B59" s="218" t="s">
        <v>572</v>
      </c>
      <c r="C59" s="154"/>
      <c r="D59" s="180" t="s">
        <v>573</v>
      </c>
      <c r="E59" s="180" t="s">
        <v>574</v>
      </c>
      <c r="F59" s="213" t="s">
        <v>572</v>
      </c>
      <c r="G59" s="158" t="s">
        <v>322</v>
      </c>
      <c r="H59" s="183" t="s">
        <v>575</v>
      </c>
      <c r="I59" s="188">
        <f t="shared" si="25"/>
        <v>37767747.11</v>
      </c>
      <c r="J59" s="169">
        <v>3.776774711E7</v>
      </c>
      <c r="K59" s="169"/>
      <c r="L59" s="169"/>
      <c r="M59" s="169"/>
      <c r="N59" s="169"/>
      <c r="O59" s="169"/>
      <c r="P59" s="169"/>
      <c r="Q59" s="169"/>
      <c r="R59" s="188">
        <f t="shared" si="6"/>
        <v>30133905.3</v>
      </c>
      <c r="S59" s="169">
        <v>2.889766639E7</v>
      </c>
      <c r="T59" s="169">
        <v>1236238.91</v>
      </c>
      <c r="U59" s="169"/>
      <c r="V59" s="169"/>
      <c r="W59" s="169"/>
      <c r="X59" s="169"/>
      <c r="Y59" s="180"/>
      <c r="Z59" s="212" t="s">
        <v>519</v>
      </c>
    </row>
    <row r="60" ht="52.5" customHeight="1">
      <c r="A60" s="194" t="s">
        <v>576</v>
      </c>
      <c r="B60" s="187"/>
      <c r="C60" s="107"/>
      <c r="D60" s="180" t="s">
        <v>577</v>
      </c>
      <c r="E60" s="180" t="s">
        <v>578</v>
      </c>
      <c r="F60" s="26"/>
      <c r="G60" s="158" t="s">
        <v>296</v>
      </c>
      <c r="H60" s="183" t="s">
        <v>579</v>
      </c>
      <c r="I60" s="188">
        <f t="shared" si="25"/>
        <v>28862095.5</v>
      </c>
      <c r="J60" s="169">
        <v>2.88620955E7</v>
      </c>
      <c r="K60" s="169"/>
      <c r="L60" s="169"/>
      <c r="M60" s="169"/>
      <c r="N60" s="169"/>
      <c r="O60" s="169"/>
      <c r="P60" s="169"/>
      <c r="Q60" s="169"/>
      <c r="R60" s="188">
        <f t="shared" si="6"/>
        <v>25298999.56</v>
      </c>
      <c r="S60" s="169">
        <v>2.440356156E7</v>
      </c>
      <c r="T60" s="169">
        <v>895438.0</v>
      </c>
      <c r="U60" s="169"/>
      <c r="V60" s="169"/>
      <c r="W60" s="169"/>
      <c r="X60" s="169"/>
      <c r="Y60" s="180"/>
      <c r="Z60" s="190" t="s">
        <v>519</v>
      </c>
    </row>
    <row r="61">
      <c r="A61" s="194" t="s">
        <v>581</v>
      </c>
      <c r="B61" s="218" t="s">
        <v>582</v>
      </c>
      <c r="C61" s="154"/>
      <c r="D61" s="180" t="s">
        <v>583</v>
      </c>
      <c r="E61" s="180" t="s">
        <v>584</v>
      </c>
      <c r="F61" s="213" t="s">
        <v>585</v>
      </c>
      <c r="G61" s="158" t="s">
        <v>322</v>
      </c>
      <c r="H61" s="183" t="s">
        <v>586</v>
      </c>
      <c r="I61" s="188">
        <f t="shared" si="25"/>
        <v>34140578.09</v>
      </c>
      <c r="J61" s="169">
        <v>3.414057809E7</v>
      </c>
      <c r="K61" s="169"/>
      <c r="L61" s="169"/>
      <c r="M61" s="169"/>
      <c r="N61" s="169"/>
      <c r="O61" s="169"/>
      <c r="P61" s="169"/>
      <c r="Q61" s="169"/>
      <c r="R61" s="188">
        <f t="shared" si="6"/>
        <v>28645955.54</v>
      </c>
      <c r="S61" s="169">
        <v>2.736699063E7</v>
      </c>
      <c r="T61" s="169">
        <v>1278964.91</v>
      </c>
      <c r="U61" s="169"/>
      <c r="V61" s="169"/>
      <c r="W61" s="169"/>
      <c r="X61" s="169"/>
      <c r="Y61" s="180"/>
      <c r="Z61" s="190" t="s">
        <v>587</v>
      </c>
    </row>
    <row r="62" ht="18.75" customHeight="1">
      <c r="A62" s="194" t="s">
        <v>588</v>
      </c>
      <c r="B62" s="187"/>
      <c r="C62" s="107"/>
      <c r="D62" s="180" t="s">
        <v>589</v>
      </c>
      <c r="E62" s="180" t="s">
        <v>584</v>
      </c>
      <c r="F62" s="26"/>
      <c r="G62" s="158" t="s">
        <v>296</v>
      </c>
      <c r="H62" s="183" t="s">
        <v>590</v>
      </c>
      <c r="I62" s="188">
        <f t="shared" si="25"/>
        <v>63043877.54</v>
      </c>
      <c r="J62" s="169">
        <v>6.304387754E7</v>
      </c>
      <c r="K62" s="169"/>
      <c r="L62" s="169"/>
      <c r="M62" s="169"/>
      <c r="N62" s="169"/>
      <c r="O62" s="169"/>
      <c r="P62" s="169"/>
      <c r="Q62" s="169"/>
      <c r="R62" s="188">
        <f t="shared" si="6"/>
        <v>52416467.04</v>
      </c>
      <c r="S62" s="169">
        <v>5.241646704E7</v>
      </c>
      <c r="T62" s="169"/>
      <c r="U62" s="169"/>
      <c r="V62" s="169"/>
      <c r="W62" s="169"/>
      <c r="X62" s="169"/>
      <c r="Y62" s="180"/>
      <c r="Z62" s="190" t="s">
        <v>530</v>
      </c>
    </row>
    <row r="63" ht="18.75" customHeight="1">
      <c r="A63" s="194" t="s">
        <v>591</v>
      </c>
      <c r="B63" s="220" t="s">
        <v>592</v>
      </c>
      <c r="C63" s="14"/>
      <c r="D63" s="180" t="s">
        <v>593</v>
      </c>
      <c r="E63" s="180" t="s">
        <v>594</v>
      </c>
      <c r="F63" s="180" t="s">
        <v>595</v>
      </c>
      <c r="G63" s="158" t="s">
        <v>296</v>
      </c>
      <c r="H63" s="183" t="s">
        <v>597</v>
      </c>
      <c r="I63" s="188">
        <f t="shared" si="25"/>
        <v>12333493.75</v>
      </c>
      <c r="J63" s="169">
        <v>1.233349375E7</v>
      </c>
      <c r="K63" s="169"/>
      <c r="L63" s="169"/>
      <c r="M63" s="169"/>
      <c r="N63" s="169"/>
      <c r="O63" s="169"/>
      <c r="P63" s="169"/>
      <c r="Q63" s="169"/>
      <c r="R63" s="188">
        <f t="shared" si="6"/>
        <v>6257688.02</v>
      </c>
      <c r="S63" s="169">
        <v>6257688.02</v>
      </c>
      <c r="T63" s="169"/>
      <c r="U63" s="169"/>
      <c r="V63" s="169"/>
      <c r="W63" s="169"/>
      <c r="X63" s="169"/>
      <c r="Y63" s="180"/>
      <c r="Z63" s="190" t="s">
        <v>519</v>
      </c>
    </row>
    <row r="64" ht="18.75" customHeight="1">
      <c r="A64" s="194" t="s">
        <v>598</v>
      </c>
      <c r="B64" s="220" t="s">
        <v>599</v>
      </c>
      <c r="C64" s="14"/>
      <c r="D64" s="180" t="s">
        <v>600</v>
      </c>
      <c r="E64" s="180" t="s">
        <v>601</v>
      </c>
      <c r="F64" s="180" t="s">
        <v>602</v>
      </c>
      <c r="G64" s="158" t="s">
        <v>296</v>
      </c>
      <c r="H64" s="183" t="s">
        <v>597</v>
      </c>
      <c r="I64" s="188">
        <f t="shared" si="25"/>
        <v>12738270.8</v>
      </c>
      <c r="J64" s="169">
        <v>1.27382708E7</v>
      </c>
      <c r="K64" s="169"/>
      <c r="L64" s="169"/>
      <c r="M64" s="169"/>
      <c r="N64" s="169"/>
      <c r="O64" s="169"/>
      <c r="P64" s="169"/>
      <c r="Q64" s="169"/>
      <c r="R64" s="188">
        <f t="shared" si="6"/>
        <v>2270066.12</v>
      </c>
      <c r="S64" s="169">
        <v>264864.1</v>
      </c>
      <c r="T64" s="169">
        <v>2005202.02</v>
      </c>
      <c r="U64" s="169"/>
      <c r="V64" s="169"/>
      <c r="W64" s="169"/>
      <c r="X64" s="169"/>
      <c r="Y64" s="180"/>
      <c r="Z64" s="190" t="s">
        <v>603</v>
      </c>
    </row>
    <row r="65" ht="18.75" customHeight="1">
      <c r="A65" s="194" t="s">
        <v>604</v>
      </c>
      <c r="B65" s="220" t="s">
        <v>605</v>
      </c>
      <c r="C65" s="14"/>
      <c r="D65" s="180" t="s">
        <v>606</v>
      </c>
      <c r="E65" s="180" t="s">
        <v>607</v>
      </c>
      <c r="F65" s="180" t="s">
        <v>608</v>
      </c>
      <c r="G65" s="158" t="s">
        <v>296</v>
      </c>
      <c r="H65" s="183" t="s">
        <v>609</v>
      </c>
      <c r="I65" s="188">
        <f t="shared" si="25"/>
        <v>23990492.93</v>
      </c>
      <c r="J65" s="169">
        <v>2.399049293E7</v>
      </c>
      <c r="K65" s="169"/>
      <c r="L65" s="169"/>
      <c r="M65" s="169"/>
      <c r="N65" s="169"/>
      <c r="O65" s="169"/>
      <c r="P65" s="169"/>
      <c r="Q65" s="169"/>
      <c r="R65" s="188">
        <f t="shared" si="6"/>
        <v>0</v>
      </c>
      <c r="S65" s="169">
        <v>0.0</v>
      </c>
      <c r="T65" s="169"/>
      <c r="U65" s="169"/>
      <c r="V65" s="169"/>
      <c r="W65" s="169"/>
      <c r="X65" s="169"/>
      <c r="Y65" s="180"/>
      <c r="Z65" s="190" t="s">
        <v>603</v>
      </c>
    </row>
    <row r="66" ht="18.75" customHeight="1">
      <c r="A66" s="147" t="s">
        <v>611</v>
      </c>
      <c r="B66" s="149" t="s">
        <v>612</v>
      </c>
      <c r="C66" s="152" t="s">
        <v>161</v>
      </c>
      <c r="D66" s="152"/>
      <c r="E66" s="152"/>
      <c r="F66" s="152"/>
      <c r="G66" s="155"/>
      <c r="H66" s="156"/>
      <c r="I66" s="164">
        <f t="shared" ref="I66:Q66" si="26">SUM(I67:I69)</f>
        <v>62699362.31</v>
      </c>
      <c r="J66" s="167">
        <f t="shared" si="26"/>
        <v>62699362.31</v>
      </c>
      <c r="K66" s="167">
        <f t="shared" si="26"/>
        <v>0</v>
      </c>
      <c r="L66" s="167">
        <f t="shared" si="26"/>
        <v>0</v>
      </c>
      <c r="M66" s="167">
        <f t="shared" si="26"/>
        <v>0</v>
      </c>
      <c r="N66" s="167">
        <f t="shared" si="26"/>
        <v>0</v>
      </c>
      <c r="O66" s="167">
        <f t="shared" si="26"/>
        <v>0</v>
      </c>
      <c r="P66" s="167">
        <f t="shared" si="26"/>
        <v>0</v>
      </c>
      <c r="Q66" s="167">
        <f t="shared" si="26"/>
        <v>0</v>
      </c>
      <c r="R66" s="164">
        <f t="shared" si="6"/>
        <v>57592264.45</v>
      </c>
      <c r="S66" s="167">
        <f t="shared" ref="S66:X66" si="27">SUM(S67:S69)</f>
        <v>53963013.65</v>
      </c>
      <c r="T66" s="167">
        <f t="shared" si="27"/>
        <v>3629250.8</v>
      </c>
      <c r="U66" s="167">
        <f t="shared" si="27"/>
        <v>0</v>
      </c>
      <c r="V66" s="167">
        <f t="shared" si="27"/>
        <v>0</v>
      </c>
      <c r="W66" s="167">
        <f t="shared" si="27"/>
        <v>0</v>
      </c>
      <c r="X66" s="167">
        <f t="shared" si="27"/>
        <v>0</v>
      </c>
      <c r="Y66" s="142" t="s">
        <v>614</v>
      </c>
      <c r="Z66" s="221"/>
    </row>
    <row r="67" ht="18.75" customHeight="1">
      <c r="A67" s="194" t="s">
        <v>615</v>
      </c>
      <c r="B67" s="195" t="s">
        <v>616</v>
      </c>
      <c r="C67" s="14"/>
      <c r="D67" s="180" t="s">
        <v>617</v>
      </c>
      <c r="E67" s="180" t="s">
        <v>618</v>
      </c>
      <c r="F67" s="180" t="s">
        <v>619</v>
      </c>
      <c r="G67" s="158" t="s">
        <v>296</v>
      </c>
      <c r="H67" s="183" t="s">
        <v>620</v>
      </c>
      <c r="I67" s="188">
        <f t="shared" ref="I67:I69" si="28">MAX(J67:P67)</f>
        <v>15524273.89</v>
      </c>
      <c r="J67" s="169">
        <v>1.552427389E7</v>
      </c>
      <c r="K67" s="169"/>
      <c r="L67" s="169"/>
      <c r="M67" s="169"/>
      <c r="N67" s="169"/>
      <c r="O67" s="169"/>
      <c r="P67" s="169"/>
      <c r="Q67" s="169"/>
      <c r="R67" s="188">
        <f t="shared" si="6"/>
        <v>16975504.02</v>
      </c>
      <c r="S67" s="169">
        <v>1.490131816E7</v>
      </c>
      <c r="T67" s="169">
        <v>2074185.86</v>
      </c>
      <c r="U67" s="169"/>
      <c r="V67" s="169"/>
      <c r="W67" s="169"/>
      <c r="X67" s="169"/>
      <c r="Y67" s="211"/>
      <c r="Z67" s="222" t="s">
        <v>621</v>
      </c>
    </row>
    <row r="68" ht="18.75" customHeight="1">
      <c r="A68" s="194" t="s">
        <v>622</v>
      </c>
      <c r="B68" s="195" t="s">
        <v>623</v>
      </c>
      <c r="C68" s="14"/>
      <c r="D68" s="180" t="s">
        <v>625</v>
      </c>
      <c r="E68" s="180" t="s">
        <v>626</v>
      </c>
      <c r="F68" s="180" t="s">
        <v>627</v>
      </c>
      <c r="G68" s="158" t="s">
        <v>296</v>
      </c>
      <c r="H68" s="183" t="s">
        <v>628</v>
      </c>
      <c r="I68" s="188">
        <f t="shared" si="28"/>
        <v>21838048.89</v>
      </c>
      <c r="J68" s="169">
        <v>2.183804889E7</v>
      </c>
      <c r="K68" s="169"/>
      <c r="L68" s="169"/>
      <c r="M68" s="169"/>
      <c r="N68" s="169"/>
      <c r="O68" s="169"/>
      <c r="P68" s="169"/>
      <c r="Q68" s="169"/>
      <c r="R68" s="188">
        <f t="shared" si="6"/>
        <v>20272036.34</v>
      </c>
      <c r="S68" s="169">
        <v>1.87169714E7</v>
      </c>
      <c r="T68" s="169">
        <v>1555064.94</v>
      </c>
      <c r="U68" s="169"/>
      <c r="V68" s="169"/>
      <c r="W68" s="169"/>
      <c r="X68" s="169"/>
      <c r="Y68" s="211"/>
      <c r="Z68" s="222" t="s">
        <v>629</v>
      </c>
    </row>
    <row r="69" ht="18.75" customHeight="1">
      <c r="A69" s="194" t="s">
        <v>630</v>
      </c>
      <c r="B69" s="195" t="s">
        <v>631</v>
      </c>
      <c r="C69" s="14"/>
      <c r="D69" s="180" t="s">
        <v>632</v>
      </c>
      <c r="E69" s="180" t="s">
        <v>633</v>
      </c>
      <c r="F69" s="180" t="s">
        <v>634</v>
      </c>
      <c r="G69" s="158" t="s">
        <v>296</v>
      </c>
      <c r="H69" s="183" t="s">
        <v>635</v>
      </c>
      <c r="I69" s="188">
        <f t="shared" si="28"/>
        <v>25337039.53</v>
      </c>
      <c r="J69" s="169">
        <v>2.533703953E7</v>
      </c>
      <c r="K69" s="169"/>
      <c r="L69" s="169"/>
      <c r="M69" s="169"/>
      <c r="N69" s="169"/>
      <c r="O69" s="169"/>
      <c r="P69" s="169"/>
      <c r="Q69" s="169"/>
      <c r="R69" s="188">
        <f t="shared" si="6"/>
        <v>20344724.09</v>
      </c>
      <c r="S69" s="169">
        <v>2.034472409E7</v>
      </c>
      <c r="T69" s="169"/>
      <c r="U69" s="169"/>
      <c r="V69" s="169"/>
      <c r="W69" s="169"/>
      <c r="X69" s="169"/>
      <c r="Y69" s="211"/>
      <c r="Z69" s="222" t="s">
        <v>636</v>
      </c>
    </row>
    <row r="70">
      <c r="A70" s="147" t="s">
        <v>637</v>
      </c>
      <c r="B70" s="149" t="s">
        <v>299</v>
      </c>
      <c r="C70" s="149" t="s">
        <v>71</v>
      </c>
      <c r="D70" s="152"/>
      <c r="E70" s="152"/>
      <c r="F70" s="152"/>
      <c r="G70" s="155"/>
      <c r="H70" s="156"/>
      <c r="I70" s="164">
        <f t="shared" ref="I70:Q70" si="29">SUM(I71:I72)</f>
        <v>76453566.36</v>
      </c>
      <c r="J70" s="167">
        <f t="shared" si="29"/>
        <v>76453566.36</v>
      </c>
      <c r="K70" s="167">
        <f t="shared" si="29"/>
        <v>0</v>
      </c>
      <c r="L70" s="167">
        <f t="shared" si="29"/>
        <v>0</v>
      </c>
      <c r="M70" s="167">
        <f t="shared" si="29"/>
        <v>0</v>
      </c>
      <c r="N70" s="167">
        <f t="shared" si="29"/>
        <v>0</v>
      </c>
      <c r="O70" s="167">
        <f t="shared" si="29"/>
        <v>0</v>
      </c>
      <c r="P70" s="167">
        <f t="shared" si="29"/>
        <v>0</v>
      </c>
      <c r="Q70" s="167">
        <f t="shared" si="29"/>
        <v>0</v>
      </c>
      <c r="R70" s="164">
        <f t="shared" si="6"/>
        <v>45919171.59</v>
      </c>
      <c r="S70" s="167">
        <f t="shared" ref="S70:X70" si="30">SUM(S71:S72)</f>
        <v>43725623.5</v>
      </c>
      <c r="T70" s="167">
        <f t="shared" si="30"/>
        <v>2193548.09</v>
      </c>
      <c r="U70" s="167">
        <f t="shared" si="30"/>
        <v>0</v>
      </c>
      <c r="V70" s="167">
        <f t="shared" si="30"/>
        <v>0</v>
      </c>
      <c r="W70" s="167">
        <f t="shared" si="30"/>
        <v>0</v>
      </c>
      <c r="X70" s="167">
        <f t="shared" si="30"/>
        <v>0</v>
      </c>
      <c r="Y70" s="206" t="s">
        <v>639</v>
      </c>
      <c r="Z70" s="146"/>
    </row>
    <row r="71" ht="18.75" customHeight="1">
      <c r="A71" s="194" t="s">
        <v>640</v>
      </c>
      <c r="B71" s="179" t="s">
        <v>641</v>
      </c>
      <c r="C71" s="154"/>
      <c r="D71" s="180" t="s">
        <v>642</v>
      </c>
      <c r="E71" s="180" t="s">
        <v>643</v>
      </c>
      <c r="F71" s="213" t="s">
        <v>641</v>
      </c>
      <c r="G71" s="158" t="s">
        <v>322</v>
      </c>
      <c r="H71" s="183" t="s">
        <v>645</v>
      </c>
      <c r="I71" s="188">
        <f t="shared" ref="I71:I72" si="31">MAX(J71:P71)</f>
        <v>51046999.06</v>
      </c>
      <c r="J71" s="169">
        <v>5.104699906E7</v>
      </c>
      <c r="K71" s="169"/>
      <c r="L71" s="169"/>
      <c r="M71" s="169"/>
      <c r="N71" s="169"/>
      <c r="O71" s="169"/>
      <c r="P71" s="169"/>
      <c r="Q71" s="169"/>
      <c r="R71" s="210">
        <f t="shared" si="6"/>
        <v>30977602.52</v>
      </c>
      <c r="S71" s="169">
        <v>2.878405443E7</v>
      </c>
      <c r="T71" s="227">
        <v>2193548.09</v>
      </c>
      <c r="U71" s="169"/>
      <c r="V71" s="169"/>
      <c r="W71" s="169"/>
      <c r="X71" s="169"/>
      <c r="Y71" s="211"/>
      <c r="Z71" s="212" t="s">
        <v>519</v>
      </c>
    </row>
    <row r="72" ht="18.75" customHeight="1">
      <c r="A72" s="194" t="s">
        <v>649</v>
      </c>
      <c r="B72" s="187"/>
      <c r="C72" s="107"/>
      <c r="D72" s="180" t="s">
        <v>650</v>
      </c>
      <c r="E72" s="180" t="s">
        <v>643</v>
      </c>
      <c r="F72" s="26"/>
      <c r="G72" s="158" t="s">
        <v>296</v>
      </c>
      <c r="H72" s="183" t="s">
        <v>651</v>
      </c>
      <c r="I72" s="188">
        <f t="shared" si="31"/>
        <v>25406567.3</v>
      </c>
      <c r="J72" s="169">
        <v>2.54065673E7</v>
      </c>
      <c r="K72" s="169"/>
      <c r="L72" s="169"/>
      <c r="M72" s="169"/>
      <c r="N72" s="169"/>
      <c r="O72" s="169"/>
      <c r="P72" s="169"/>
      <c r="Q72" s="169"/>
      <c r="R72" s="210">
        <f t="shared" si="6"/>
        <v>14941569.07</v>
      </c>
      <c r="S72" s="169">
        <v>1.494156907E7</v>
      </c>
      <c r="T72" s="227" t="s">
        <v>652</v>
      </c>
      <c r="U72" s="169"/>
      <c r="V72" s="169"/>
      <c r="W72" s="169"/>
      <c r="X72" s="169"/>
      <c r="Y72" s="211"/>
      <c r="Z72" s="212" t="s">
        <v>519</v>
      </c>
    </row>
    <row r="73" ht="18.75" customHeight="1">
      <c r="A73" s="147" t="s">
        <v>653</v>
      </c>
      <c r="B73" s="149" t="s">
        <v>654</v>
      </c>
      <c r="C73" s="149" t="s">
        <v>71</v>
      </c>
      <c r="D73" s="152"/>
      <c r="E73" s="152"/>
      <c r="F73" s="152"/>
      <c r="G73" s="155"/>
      <c r="H73" s="156"/>
      <c r="I73" s="164">
        <f t="shared" ref="I73:Q73" si="32">SUM(I74:I86)</f>
        <v>268553582.5</v>
      </c>
      <c r="J73" s="167">
        <f t="shared" si="32"/>
        <v>268553582.5</v>
      </c>
      <c r="K73" s="167">
        <f t="shared" si="32"/>
        <v>0</v>
      </c>
      <c r="L73" s="167">
        <f t="shared" si="32"/>
        <v>0</v>
      </c>
      <c r="M73" s="167">
        <f t="shared" si="32"/>
        <v>0</v>
      </c>
      <c r="N73" s="167">
        <f t="shared" si="32"/>
        <v>0</v>
      </c>
      <c r="O73" s="167">
        <f t="shared" si="32"/>
        <v>0</v>
      </c>
      <c r="P73" s="167">
        <f t="shared" si="32"/>
        <v>0</v>
      </c>
      <c r="Q73" s="167">
        <f t="shared" si="32"/>
        <v>0</v>
      </c>
      <c r="R73" s="164">
        <f t="shared" si="6"/>
        <v>145790975.7</v>
      </c>
      <c r="S73" s="167">
        <f t="shared" ref="S73:X73" si="33">SUM(S74:S86)</f>
        <v>132705734.8</v>
      </c>
      <c r="T73" s="167">
        <f t="shared" si="33"/>
        <v>13085240.84</v>
      </c>
      <c r="U73" s="167">
        <f t="shared" si="33"/>
        <v>0</v>
      </c>
      <c r="V73" s="167">
        <f t="shared" si="33"/>
        <v>0</v>
      </c>
      <c r="W73" s="167">
        <f t="shared" si="33"/>
        <v>0</v>
      </c>
      <c r="X73" s="167">
        <f t="shared" si="33"/>
        <v>0</v>
      </c>
      <c r="Y73" s="206" t="s">
        <v>665</v>
      </c>
      <c r="Z73" s="146"/>
    </row>
    <row r="74" ht="18.75" customHeight="1">
      <c r="A74" s="194" t="s">
        <v>666</v>
      </c>
      <c r="B74" s="195" t="s">
        <v>668</v>
      </c>
      <c r="C74" s="14"/>
      <c r="D74" s="180" t="s">
        <v>669</v>
      </c>
      <c r="E74" s="180" t="s">
        <v>671</v>
      </c>
      <c r="F74" s="180" t="s">
        <v>672</v>
      </c>
      <c r="G74" s="158" t="s">
        <v>322</v>
      </c>
      <c r="H74" s="183" t="s">
        <v>673</v>
      </c>
      <c r="I74" s="188">
        <f t="shared" ref="I74:I86" si="34">MAX(J74:P74)</f>
        <v>8553825.88</v>
      </c>
      <c r="J74" s="169">
        <v>8553825.88</v>
      </c>
      <c r="K74" s="169"/>
      <c r="L74" s="169"/>
      <c r="M74" s="169"/>
      <c r="N74" s="169"/>
      <c r="O74" s="169"/>
      <c r="P74" s="169"/>
      <c r="Q74" s="169"/>
      <c r="R74" s="188">
        <f t="shared" si="6"/>
        <v>1402550</v>
      </c>
      <c r="S74" s="169">
        <v>796525.99</v>
      </c>
      <c r="T74" s="169">
        <v>606024.01</v>
      </c>
      <c r="U74" s="169"/>
      <c r="V74" s="169"/>
      <c r="W74" s="169"/>
      <c r="X74" s="169"/>
      <c r="Y74" s="211"/>
      <c r="Z74" s="212" t="s">
        <v>519</v>
      </c>
    </row>
    <row r="75" ht="18.75" customHeight="1">
      <c r="A75" s="194" t="s">
        <v>674</v>
      </c>
      <c r="B75" s="179" t="s">
        <v>675</v>
      </c>
      <c r="C75" s="154"/>
      <c r="D75" s="180" t="s">
        <v>676</v>
      </c>
      <c r="E75" s="180" t="s">
        <v>677</v>
      </c>
      <c r="F75" s="213" t="s">
        <v>675</v>
      </c>
      <c r="G75" s="158" t="s">
        <v>322</v>
      </c>
      <c r="H75" s="183" t="s">
        <v>678</v>
      </c>
      <c r="I75" s="188">
        <f t="shared" si="34"/>
        <v>19696177.6</v>
      </c>
      <c r="J75" s="169">
        <v>1.96961776E7</v>
      </c>
      <c r="K75" s="169"/>
      <c r="L75" s="169"/>
      <c r="M75" s="169"/>
      <c r="N75" s="169"/>
      <c r="O75" s="169"/>
      <c r="P75" s="169"/>
      <c r="Q75" s="169"/>
      <c r="R75" s="188">
        <f t="shared" si="6"/>
        <v>4502179.72</v>
      </c>
      <c r="S75" s="169">
        <v>3353208.92</v>
      </c>
      <c r="T75" s="169">
        <v>1148970.8</v>
      </c>
      <c r="U75" s="169"/>
      <c r="V75" s="169"/>
      <c r="W75" s="169"/>
      <c r="X75" s="169"/>
      <c r="Y75" s="211"/>
      <c r="Z75" s="212" t="s">
        <v>519</v>
      </c>
    </row>
    <row r="76" ht="18.75" customHeight="1">
      <c r="A76" s="194" t="s">
        <v>680</v>
      </c>
      <c r="B76" s="187"/>
      <c r="C76" s="107"/>
      <c r="D76" s="180" t="s">
        <v>681</v>
      </c>
      <c r="E76" s="180" t="s">
        <v>682</v>
      </c>
      <c r="F76" s="26"/>
      <c r="G76" s="158" t="s">
        <v>296</v>
      </c>
      <c r="H76" s="183" t="s">
        <v>678</v>
      </c>
      <c r="I76" s="188">
        <f t="shared" si="34"/>
        <v>16892457.01</v>
      </c>
      <c r="J76" s="169">
        <v>1.689245701E7</v>
      </c>
      <c r="K76" s="169"/>
      <c r="L76" s="169"/>
      <c r="M76" s="169"/>
      <c r="N76" s="169"/>
      <c r="O76" s="169"/>
      <c r="P76" s="169"/>
      <c r="Q76" s="169"/>
      <c r="R76" s="188">
        <f t="shared" si="6"/>
        <v>6470212.36</v>
      </c>
      <c r="S76" s="169">
        <v>4744134.83</v>
      </c>
      <c r="T76" s="169">
        <v>1726077.53</v>
      </c>
      <c r="U76" s="169"/>
      <c r="V76" s="169"/>
      <c r="W76" s="169"/>
      <c r="X76" s="169"/>
      <c r="Y76" s="211"/>
      <c r="Z76" s="212" t="s">
        <v>519</v>
      </c>
    </row>
    <row r="77" ht="18.75" customHeight="1">
      <c r="A77" s="194" t="s">
        <v>684</v>
      </c>
      <c r="B77" s="179" t="s">
        <v>685</v>
      </c>
      <c r="C77" s="154"/>
      <c r="D77" s="180" t="s">
        <v>686</v>
      </c>
      <c r="E77" s="180" t="s">
        <v>687</v>
      </c>
      <c r="F77" s="213" t="s">
        <v>685</v>
      </c>
      <c r="G77" s="158" t="s">
        <v>322</v>
      </c>
      <c r="H77" s="183" t="s">
        <v>689</v>
      </c>
      <c r="I77" s="188">
        <f t="shared" si="34"/>
        <v>16227196.61</v>
      </c>
      <c r="J77" s="169">
        <v>1.622719661E7</v>
      </c>
      <c r="K77" s="169"/>
      <c r="L77" s="169"/>
      <c r="M77" s="169"/>
      <c r="N77" s="169"/>
      <c r="O77" s="169"/>
      <c r="P77" s="169"/>
      <c r="Q77" s="169"/>
      <c r="R77" s="188">
        <f t="shared" si="6"/>
        <v>4201676.19</v>
      </c>
      <c r="S77" s="169">
        <v>3021183.64</v>
      </c>
      <c r="T77" s="169">
        <v>1180492.55</v>
      </c>
      <c r="U77" s="169"/>
      <c r="V77" s="169"/>
      <c r="W77" s="169"/>
      <c r="X77" s="169"/>
      <c r="Y77" s="211"/>
      <c r="Z77" s="212" t="s">
        <v>519</v>
      </c>
    </row>
    <row r="78" ht="18.75" customHeight="1">
      <c r="A78" s="194" t="s">
        <v>691</v>
      </c>
      <c r="B78" s="187"/>
      <c r="C78" s="107"/>
      <c r="D78" s="180" t="s">
        <v>692</v>
      </c>
      <c r="E78" s="180" t="s">
        <v>693</v>
      </c>
      <c r="F78" s="26"/>
      <c r="G78" s="158" t="s">
        <v>296</v>
      </c>
      <c r="H78" s="183" t="s">
        <v>694</v>
      </c>
      <c r="I78" s="188">
        <f t="shared" si="34"/>
        <v>15633566.61</v>
      </c>
      <c r="J78" s="169">
        <v>1.563356661E7</v>
      </c>
      <c r="K78" s="169"/>
      <c r="L78" s="169"/>
      <c r="M78" s="169"/>
      <c r="N78" s="169"/>
      <c r="O78" s="169"/>
      <c r="P78" s="169"/>
      <c r="Q78" s="169"/>
      <c r="R78" s="188">
        <f t="shared" si="6"/>
        <v>13374867.02</v>
      </c>
      <c r="S78" s="169">
        <v>8511147.24</v>
      </c>
      <c r="T78" s="169">
        <v>4863719.78</v>
      </c>
      <c r="U78" s="169"/>
      <c r="V78" s="169"/>
      <c r="W78" s="169"/>
      <c r="X78" s="169"/>
      <c r="Y78" s="211"/>
      <c r="Z78" s="212" t="s">
        <v>519</v>
      </c>
    </row>
    <row r="79" ht="18.75" customHeight="1">
      <c r="A79" s="194" t="s">
        <v>696</v>
      </c>
      <c r="B79" s="179" t="s">
        <v>698</v>
      </c>
      <c r="C79" s="154"/>
      <c r="D79" s="180" t="s">
        <v>699</v>
      </c>
      <c r="E79" s="180" t="s">
        <v>700</v>
      </c>
      <c r="F79" s="213" t="s">
        <v>698</v>
      </c>
      <c r="G79" s="158" t="s">
        <v>322</v>
      </c>
      <c r="H79" s="183" t="s">
        <v>702</v>
      </c>
      <c r="I79" s="188">
        <f t="shared" si="34"/>
        <v>33212132.97</v>
      </c>
      <c r="J79" s="169">
        <v>3.321213297E7</v>
      </c>
      <c r="K79" s="169"/>
      <c r="L79" s="169"/>
      <c r="M79" s="169"/>
      <c r="N79" s="169"/>
      <c r="O79" s="169"/>
      <c r="P79" s="169"/>
      <c r="Q79" s="169"/>
      <c r="R79" s="188">
        <f t="shared" si="6"/>
        <v>22511285.04</v>
      </c>
      <c r="S79" s="169">
        <v>2.131263675E7</v>
      </c>
      <c r="T79" s="169">
        <v>1198648.29</v>
      </c>
      <c r="U79" s="169"/>
      <c r="V79" s="169"/>
      <c r="W79" s="169"/>
      <c r="X79" s="169"/>
      <c r="Y79" s="211"/>
      <c r="Z79" s="212" t="s">
        <v>519</v>
      </c>
    </row>
    <row r="80" ht="18.75" customHeight="1">
      <c r="A80" s="194" t="s">
        <v>704</v>
      </c>
      <c r="B80" s="198"/>
      <c r="C80" s="199"/>
      <c r="D80" s="180" t="s">
        <v>706</v>
      </c>
      <c r="E80" s="180" t="s">
        <v>707</v>
      </c>
      <c r="F80" s="197"/>
      <c r="G80" s="158" t="s">
        <v>296</v>
      </c>
      <c r="H80" s="183" t="s">
        <v>708</v>
      </c>
      <c r="I80" s="188">
        <f t="shared" si="34"/>
        <v>9713854.94</v>
      </c>
      <c r="J80" s="169">
        <v>9713854.94</v>
      </c>
      <c r="K80" s="169"/>
      <c r="L80" s="169"/>
      <c r="M80" s="169"/>
      <c r="N80" s="169"/>
      <c r="O80" s="169"/>
      <c r="P80" s="169"/>
      <c r="Q80" s="169"/>
      <c r="R80" s="188">
        <f t="shared" si="6"/>
        <v>4083654.29</v>
      </c>
      <c r="S80" s="169">
        <v>4083654.29</v>
      </c>
      <c r="T80" s="169"/>
      <c r="U80" s="169"/>
      <c r="V80" s="169"/>
      <c r="W80" s="169"/>
      <c r="X80" s="169"/>
      <c r="Y80" s="211"/>
      <c r="Z80" s="212" t="s">
        <v>547</v>
      </c>
    </row>
    <row r="81" ht="18.75" customHeight="1">
      <c r="A81" s="194" t="s">
        <v>711</v>
      </c>
      <c r="B81" s="187"/>
      <c r="C81" s="107"/>
      <c r="D81" s="180" t="s">
        <v>712</v>
      </c>
      <c r="E81" s="180" t="s">
        <v>700</v>
      </c>
      <c r="F81" s="26"/>
      <c r="G81" s="158" t="s">
        <v>296</v>
      </c>
      <c r="H81" s="183" t="s">
        <v>713</v>
      </c>
      <c r="I81" s="188">
        <f t="shared" si="34"/>
        <v>2778838.86</v>
      </c>
      <c r="J81" s="169">
        <v>2778838.86</v>
      </c>
      <c r="K81" s="169"/>
      <c r="L81" s="169"/>
      <c r="M81" s="169"/>
      <c r="N81" s="169"/>
      <c r="O81" s="169"/>
      <c r="P81" s="169"/>
      <c r="Q81" s="169"/>
      <c r="R81" s="188">
        <f t="shared" si="6"/>
        <v>1899868.86</v>
      </c>
      <c r="S81" s="169">
        <v>1899868.86</v>
      </c>
      <c r="T81" s="169"/>
      <c r="U81" s="169"/>
      <c r="V81" s="169"/>
      <c r="W81" s="169"/>
      <c r="X81" s="169"/>
      <c r="Y81" s="211"/>
      <c r="Z81" s="212" t="s">
        <v>530</v>
      </c>
    </row>
    <row r="82" ht="18.75" customHeight="1">
      <c r="A82" s="194" t="s">
        <v>714</v>
      </c>
      <c r="B82" s="195" t="s">
        <v>715</v>
      </c>
      <c r="C82" s="14"/>
      <c r="D82" s="180" t="s">
        <v>716</v>
      </c>
      <c r="E82" s="180" t="s">
        <v>717</v>
      </c>
      <c r="F82" s="180" t="s">
        <v>718</v>
      </c>
      <c r="G82" s="158" t="s">
        <v>296</v>
      </c>
      <c r="H82" s="183" t="s">
        <v>719</v>
      </c>
      <c r="I82" s="188">
        <f t="shared" si="34"/>
        <v>18701081.08</v>
      </c>
      <c r="J82" s="169">
        <v>1.870108108E7</v>
      </c>
      <c r="K82" s="169"/>
      <c r="L82" s="169"/>
      <c r="M82" s="169"/>
      <c r="N82" s="169"/>
      <c r="O82" s="169"/>
      <c r="P82" s="169"/>
      <c r="Q82" s="169"/>
      <c r="R82" s="188">
        <f t="shared" si="6"/>
        <v>13605028.44</v>
      </c>
      <c r="S82" s="169">
        <v>1.360502844E7</v>
      </c>
      <c r="T82" s="169"/>
      <c r="U82" s="169"/>
      <c r="V82" s="169"/>
      <c r="W82" s="169"/>
      <c r="X82" s="169"/>
      <c r="Y82" s="211"/>
      <c r="Z82" s="212" t="s">
        <v>530</v>
      </c>
    </row>
    <row r="83" ht="43.5" customHeight="1">
      <c r="A83" s="194" t="s">
        <v>720</v>
      </c>
      <c r="B83" s="260" t="s">
        <v>724</v>
      </c>
      <c r="C83" s="14"/>
      <c r="D83" s="180" t="s">
        <v>726</v>
      </c>
      <c r="E83" s="180" t="s">
        <v>728</v>
      </c>
      <c r="F83" s="180" t="s">
        <v>730</v>
      </c>
      <c r="G83" s="158" t="s">
        <v>296</v>
      </c>
      <c r="H83" s="183" t="s">
        <v>719</v>
      </c>
      <c r="I83" s="188">
        <f t="shared" si="34"/>
        <v>18103248.06</v>
      </c>
      <c r="J83" s="169">
        <v>1.810324806E7</v>
      </c>
      <c r="K83" s="169"/>
      <c r="L83" s="169"/>
      <c r="M83" s="169"/>
      <c r="N83" s="169"/>
      <c r="O83" s="169"/>
      <c r="P83" s="169"/>
      <c r="Q83" s="169"/>
      <c r="R83" s="188">
        <f t="shared" si="6"/>
        <v>13519518.95</v>
      </c>
      <c r="S83" s="169">
        <v>1.311848399E7</v>
      </c>
      <c r="T83" s="169">
        <v>401034.96</v>
      </c>
      <c r="U83" s="169"/>
      <c r="V83" s="169"/>
      <c r="W83" s="169"/>
      <c r="X83" s="169"/>
      <c r="Y83" s="211"/>
      <c r="Z83" s="212" t="s">
        <v>530</v>
      </c>
    </row>
    <row r="84" ht="54.75" customHeight="1">
      <c r="A84" s="194" t="s">
        <v>732</v>
      </c>
      <c r="B84" s="195" t="s">
        <v>733</v>
      </c>
      <c r="C84" s="14"/>
      <c r="D84" s="180" t="s">
        <v>734</v>
      </c>
      <c r="E84" s="180" t="s">
        <v>735</v>
      </c>
      <c r="F84" s="180" t="s">
        <v>736</v>
      </c>
      <c r="G84" s="158" t="s">
        <v>296</v>
      </c>
      <c r="H84" s="183" t="s">
        <v>719</v>
      </c>
      <c r="I84" s="188">
        <f t="shared" si="34"/>
        <v>36165871.95</v>
      </c>
      <c r="J84" s="169">
        <v>3.616587195E7</v>
      </c>
      <c r="K84" s="169"/>
      <c r="L84" s="169"/>
      <c r="M84" s="169"/>
      <c r="N84" s="169"/>
      <c r="O84" s="169"/>
      <c r="P84" s="169"/>
      <c r="Q84" s="169"/>
      <c r="R84" s="188">
        <f t="shared" si="6"/>
        <v>15294653.55</v>
      </c>
      <c r="S84" s="169">
        <v>1.502610438E7</v>
      </c>
      <c r="T84" s="169">
        <v>268549.17</v>
      </c>
      <c r="U84" s="169"/>
      <c r="V84" s="169"/>
      <c r="W84" s="169"/>
      <c r="X84" s="169"/>
      <c r="Y84" s="211"/>
      <c r="Z84" s="212" t="s">
        <v>530</v>
      </c>
    </row>
    <row r="85" ht="67.5" customHeight="1">
      <c r="A85" s="194" t="s">
        <v>737</v>
      </c>
      <c r="B85" s="195" t="s">
        <v>738</v>
      </c>
      <c r="C85" s="14"/>
      <c r="D85" s="180" t="s">
        <v>741</v>
      </c>
      <c r="E85" s="180" t="s">
        <v>742</v>
      </c>
      <c r="F85" s="180" t="s">
        <v>743</v>
      </c>
      <c r="G85" s="158" t="s">
        <v>296</v>
      </c>
      <c r="H85" s="183" t="s">
        <v>719</v>
      </c>
      <c r="I85" s="188">
        <f t="shared" si="34"/>
        <v>36072567.05</v>
      </c>
      <c r="J85" s="169">
        <v>3.607256705E7</v>
      </c>
      <c r="K85" s="169"/>
      <c r="L85" s="169"/>
      <c r="M85" s="169"/>
      <c r="N85" s="169"/>
      <c r="O85" s="169"/>
      <c r="P85" s="169"/>
      <c r="Q85" s="169"/>
      <c r="R85" s="188">
        <f t="shared" si="6"/>
        <v>13838034.41</v>
      </c>
      <c r="S85" s="169">
        <v>1.383803441E7</v>
      </c>
      <c r="T85" s="169"/>
      <c r="U85" s="169"/>
      <c r="V85" s="169"/>
      <c r="W85" s="169"/>
      <c r="X85" s="169"/>
      <c r="Y85" s="211"/>
      <c r="Z85" s="212" t="s">
        <v>530</v>
      </c>
    </row>
    <row r="86" ht="56.25" customHeight="1">
      <c r="A86" s="194" t="s">
        <v>749</v>
      </c>
      <c r="B86" s="195" t="s">
        <v>750</v>
      </c>
      <c r="C86" s="14"/>
      <c r="D86" s="180" t="s">
        <v>751</v>
      </c>
      <c r="E86" s="180" t="s">
        <v>752</v>
      </c>
      <c r="F86" s="180" t="s">
        <v>753</v>
      </c>
      <c r="G86" s="158" t="s">
        <v>296</v>
      </c>
      <c r="H86" s="183" t="s">
        <v>754</v>
      </c>
      <c r="I86" s="188">
        <f t="shared" si="34"/>
        <v>36802763.83</v>
      </c>
      <c r="J86" s="169">
        <v>3.680276383E7</v>
      </c>
      <c r="K86" s="169"/>
      <c r="L86" s="169"/>
      <c r="M86" s="169"/>
      <c r="N86" s="169"/>
      <c r="O86" s="169"/>
      <c r="P86" s="169"/>
      <c r="Q86" s="169"/>
      <c r="R86" s="188">
        <f t="shared" si="6"/>
        <v>31087446.82</v>
      </c>
      <c r="S86" s="169">
        <v>2.939572307E7</v>
      </c>
      <c r="T86" s="169">
        <v>1691723.75</v>
      </c>
      <c r="U86" s="169"/>
      <c r="V86" s="169"/>
      <c r="W86" s="169"/>
      <c r="X86" s="169"/>
      <c r="Y86" s="211"/>
      <c r="Z86" s="212" t="s">
        <v>530</v>
      </c>
    </row>
    <row r="87">
      <c r="A87" s="147" t="s">
        <v>755</v>
      </c>
      <c r="B87" s="149" t="s">
        <v>756</v>
      </c>
      <c r="C87" s="149" t="s">
        <v>71</v>
      </c>
      <c r="D87" s="152"/>
      <c r="E87" s="152"/>
      <c r="F87" s="152"/>
      <c r="G87" s="155"/>
      <c r="H87" s="156"/>
      <c r="I87" s="164">
        <f t="shared" ref="I87:Q87" si="35">SUM(I88:I89)</f>
        <v>73564275.51</v>
      </c>
      <c r="J87" s="167">
        <f t="shared" si="35"/>
        <v>73564275.51</v>
      </c>
      <c r="K87" s="167">
        <f t="shared" si="35"/>
        <v>0</v>
      </c>
      <c r="L87" s="167">
        <f t="shared" si="35"/>
        <v>0</v>
      </c>
      <c r="M87" s="167">
        <f t="shared" si="35"/>
        <v>0</v>
      </c>
      <c r="N87" s="167">
        <f t="shared" si="35"/>
        <v>0</v>
      </c>
      <c r="O87" s="167">
        <f t="shared" si="35"/>
        <v>0</v>
      </c>
      <c r="P87" s="167">
        <f t="shared" si="35"/>
        <v>0</v>
      </c>
      <c r="Q87" s="167">
        <f t="shared" si="35"/>
        <v>0</v>
      </c>
      <c r="R87" s="164">
        <f t="shared" si="6"/>
        <v>56927955.42</v>
      </c>
      <c r="S87" s="167">
        <f t="shared" ref="S87:X87" si="36">SUM(S88:S89)</f>
        <v>53648337.49</v>
      </c>
      <c r="T87" s="167">
        <f t="shared" si="36"/>
        <v>3279617.93</v>
      </c>
      <c r="U87" s="167">
        <f t="shared" si="36"/>
        <v>0</v>
      </c>
      <c r="V87" s="167">
        <f t="shared" si="36"/>
        <v>0</v>
      </c>
      <c r="W87" s="167">
        <f t="shared" si="36"/>
        <v>0</v>
      </c>
      <c r="X87" s="167">
        <f t="shared" si="36"/>
        <v>0</v>
      </c>
      <c r="Y87" s="206" t="s">
        <v>665</v>
      </c>
      <c r="Z87" s="146"/>
    </row>
    <row r="88" ht="56.25" customHeight="1">
      <c r="A88" s="194" t="s">
        <v>765</v>
      </c>
      <c r="B88" s="179" t="s">
        <v>766</v>
      </c>
      <c r="C88" s="154"/>
      <c r="D88" s="180" t="s">
        <v>767</v>
      </c>
      <c r="E88" s="180" t="s">
        <v>768</v>
      </c>
      <c r="F88" s="213" t="s">
        <v>769</v>
      </c>
      <c r="G88" s="158" t="s">
        <v>322</v>
      </c>
      <c r="H88" s="183" t="s">
        <v>702</v>
      </c>
      <c r="I88" s="188">
        <f t="shared" ref="I88:I89" si="37">MAX(J88:P88)</f>
        <v>28415829.62</v>
      </c>
      <c r="J88" s="169">
        <v>2.841582962E7</v>
      </c>
      <c r="K88" s="169"/>
      <c r="L88" s="169"/>
      <c r="M88" s="169"/>
      <c r="N88" s="169"/>
      <c r="O88" s="169"/>
      <c r="P88" s="169"/>
      <c r="Q88" s="169"/>
      <c r="R88" s="210">
        <f t="shared" si="6"/>
        <v>19057192.6</v>
      </c>
      <c r="S88" s="169">
        <v>1.794340843E7</v>
      </c>
      <c r="T88" s="169">
        <v>1113784.17</v>
      </c>
      <c r="U88" s="169"/>
      <c r="V88" s="169"/>
      <c r="W88" s="169"/>
      <c r="X88" s="169"/>
      <c r="Y88" s="211"/>
      <c r="Z88" s="212" t="s">
        <v>519</v>
      </c>
    </row>
    <row r="89" ht="45.75" customHeight="1">
      <c r="A89" s="194" t="s">
        <v>770</v>
      </c>
      <c r="B89" s="187"/>
      <c r="C89" s="107"/>
      <c r="D89" s="180" t="s">
        <v>771</v>
      </c>
      <c r="E89" s="180" t="s">
        <v>772</v>
      </c>
      <c r="F89" s="26"/>
      <c r="G89" s="158" t="s">
        <v>296</v>
      </c>
      <c r="H89" s="183" t="s">
        <v>773</v>
      </c>
      <c r="I89" s="188">
        <f t="shared" si="37"/>
        <v>45148445.89</v>
      </c>
      <c r="J89" s="169">
        <v>4.514844589E7</v>
      </c>
      <c r="K89" s="169"/>
      <c r="L89" s="169"/>
      <c r="M89" s="169"/>
      <c r="N89" s="169"/>
      <c r="O89" s="169"/>
      <c r="P89" s="169"/>
      <c r="Q89" s="169"/>
      <c r="R89" s="210">
        <f t="shared" si="6"/>
        <v>37870762.82</v>
      </c>
      <c r="S89" s="169">
        <v>3.570492906E7</v>
      </c>
      <c r="T89" s="169">
        <v>2165833.76</v>
      </c>
      <c r="U89" s="169"/>
      <c r="V89" s="169"/>
      <c r="W89" s="169"/>
      <c r="X89" s="169"/>
      <c r="Y89" s="211"/>
      <c r="Z89" s="212" t="s">
        <v>547</v>
      </c>
    </row>
    <row r="90" ht="18.75" customHeight="1">
      <c r="A90" s="147" t="s">
        <v>774</v>
      </c>
      <c r="B90" s="149" t="s">
        <v>775</v>
      </c>
      <c r="C90" s="149" t="s">
        <v>71</v>
      </c>
      <c r="D90" s="152"/>
      <c r="E90" s="152"/>
      <c r="F90" s="152"/>
      <c r="G90" s="155"/>
      <c r="H90" s="156"/>
      <c r="I90" s="164">
        <f t="shared" ref="I90:Q90" si="38">SUM(I91)</f>
        <v>19272949.48</v>
      </c>
      <c r="J90" s="167">
        <f t="shared" si="38"/>
        <v>19272949.48</v>
      </c>
      <c r="K90" s="167">
        <f t="shared" si="38"/>
        <v>0</v>
      </c>
      <c r="L90" s="167">
        <f t="shared" si="38"/>
        <v>0</v>
      </c>
      <c r="M90" s="167">
        <f t="shared" si="38"/>
        <v>0</v>
      </c>
      <c r="N90" s="167">
        <f t="shared" si="38"/>
        <v>0</v>
      </c>
      <c r="O90" s="167">
        <f t="shared" si="38"/>
        <v>0</v>
      </c>
      <c r="P90" s="167">
        <f t="shared" si="38"/>
        <v>0</v>
      </c>
      <c r="Q90" s="167">
        <f t="shared" si="38"/>
        <v>0</v>
      </c>
      <c r="R90" s="164">
        <f t="shared" si="6"/>
        <v>16770357.34</v>
      </c>
      <c r="S90" s="167">
        <f t="shared" ref="S90:X90" si="39">SUM(S91)</f>
        <v>15519061.26</v>
      </c>
      <c r="T90" s="167">
        <f t="shared" si="39"/>
        <v>1251296.08</v>
      </c>
      <c r="U90" s="167">
        <f t="shared" si="39"/>
        <v>0</v>
      </c>
      <c r="V90" s="167">
        <f t="shared" si="39"/>
        <v>0</v>
      </c>
      <c r="W90" s="167">
        <f t="shared" si="39"/>
        <v>0</v>
      </c>
      <c r="X90" s="167">
        <f t="shared" si="39"/>
        <v>0</v>
      </c>
      <c r="Y90" s="206" t="s">
        <v>780</v>
      </c>
      <c r="Z90" s="146"/>
    </row>
    <row r="91" ht="18.75" customHeight="1">
      <c r="A91" s="194" t="s">
        <v>781</v>
      </c>
      <c r="B91" s="195" t="s">
        <v>782</v>
      </c>
      <c r="C91" s="14"/>
      <c r="D91" s="180" t="s">
        <v>783</v>
      </c>
      <c r="E91" s="180" t="s">
        <v>784</v>
      </c>
      <c r="F91" s="180" t="s">
        <v>782</v>
      </c>
      <c r="G91" s="264"/>
      <c r="H91" s="183" t="s">
        <v>785</v>
      </c>
      <c r="I91" s="188">
        <f>MAX(J91:P91)</f>
        <v>19272949.48</v>
      </c>
      <c r="J91" s="169">
        <v>1.927294948E7</v>
      </c>
      <c r="K91" s="169"/>
      <c r="L91" s="169"/>
      <c r="M91" s="169"/>
      <c r="N91" s="169"/>
      <c r="O91" s="169"/>
      <c r="P91" s="169"/>
      <c r="Q91" s="169"/>
      <c r="R91" s="188">
        <f t="shared" si="6"/>
        <v>16770357.34</v>
      </c>
      <c r="S91" s="169">
        <v>1.551906126E7</v>
      </c>
      <c r="T91" s="169">
        <v>1251296.08</v>
      </c>
      <c r="U91" s="169"/>
      <c r="V91" s="169"/>
      <c r="W91" s="169"/>
      <c r="X91" s="169"/>
      <c r="Y91" s="211"/>
      <c r="Z91" s="212" t="s">
        <v>519</v>
      </c>
    </row>
    <row r="92" ht="18.75" customHeight="1">
      <c r="A92" s="147" t="s">
        <v>787</v>
      </c>
      <c r="B92" s="149" t="s">
        <v>206</v>
      </c>
      <c r="C92" s="149" t="s">
        <v>102</v>
      </c>
      <c r="D92" s="152"/>
      <c r="E92" s="152"/>
      <c r="F92" s="152"/>
      <c r="G92" s="155"/>
      <c r="H92" s="156"/>
      <c r="I92" s="164">
        <f t="shared" ref="I92:Q92" si="40">I93+I94</f>
        <v>60050432.48</v>
      </c>
      <c r="J92" s="167">
        <f t="shared" si="40"/>
        <v>60050432.48</v>
      </c>
      <c r="K92" s="167">
        <f t="shared" si="40"/>
        <v>0</v>
      </c>
      <c r="L92" s="167">
        <f t="shared" si="40"/>
        <v>0</v>
      </c>
      <c r="M92" s="167">
        <f t="shared" si="40"/>
        <v>0</v>
      </c>
      <c r="N92" s="167">
        <f t="shared" si="40"/>
        <v>0</v>
      </c>
      <c r="O92" s="167">
        <f t="shared" si="40"/>
        <v>0</v>
      </c>
      <c r="P92" s="167">
        <f t="shared" si="40"/>
        <v>0</v>
      </c>
      <c r="Q92" s="167">
        <f t="shared" si="40"/>
        <v>0</v>
      </c>
      <c r="R92" s="164">
        <f t="shared" si="6"/>
        <v>33744543.46</v>
      </c>
      <c r="S92" s="167">
        <f t="shared" ref="S92:X92" si="41">S93+S94</f>
        <v>32386679.16</v>
      </c>
      <c r="T92" s="167">
        <f t="shared" si="41"/>
        <v>1357864.3</v>
      </c>
      <c r="U92" s="167">
        <f t="shared" si="41"/>
        <v>0</v>
      </c>
      <c r="V92" s="167">
        <f t="shared" si="41"/>
        <v>0</v>
      </c>
      <c r="W92" s="167">
        <f t="shared" si="41"/>
        <v>0</v>
      </c>
      <c r="X92" s="167">
        <f t="shared" si="41"/>
        <v>0</v>
      </c>
      <c r="Y92" s="206" t="s">
        <v>440</v>
      </c>
      <c r="Z92" s="146"/>
    </row>
    <row r="93" ht="18.75" customHeight="1">
      <c r="A93" s="194" t="s">
        <v>791</v>
      </c>
      <c r="B93" s="179" t="s">
        <v>792</v>
      </c>
      <c r="C93" s="154"/>
      <c r="D93" s="180" t="s">
        <v>796</v>
      </c>
      <c r="E93" s="180" t="s">
        <v>797</v>
      </c>
      <c r="F93" s="213" t="s">
        <v>792</v>
      </c>
      <c r="G93" s="158" t="s">
        <v>322</v>
      </c>
      <c r="H93" s="158" t="s">
        <v>798</v>
      </c>
      <c r="I93" s="188">
        <f t="shared" ref="I93:I94" si="42">MAX(J93:P93)</f>
        <v>40201382.78</v>
      </c>
      <c r="J93" s="169">
        <v>4.020138278E7</v>
      </c>
      <c r="K93" s="169"/>
      <c r="L93" s="169"/>
      <c r="M93" s="169"/>
      <c r="N93" s="169"/>
      <c r="O93" s="169"/>
      <c r="P93" s="169"/>
      <c r="Q93" s="169"/>
      <c r="R93" s="188">
        <f t="shared" si="6"/>
        <v>23091541.47</v>
      </c>
      <c r="S93" s="169">
        <v>2.191540434E7</v>
      </c>
      <c r="T93" s="169">
        <v>1176137.13</v>
      </c>
      <c r="U93" s="169"/>
      <c r="V93" s="169"/>
      <c r="W93" s="169"/>
      <c r="X93" s="169"/>
      <c r="Y93" s="211"/>
      <c r="Z93" s="212" t="s">
        <v>519</v>
      </c>
    </row>
    <row r="94" ht="18.75" customHeight="1">
      <c r="A94" s="194" t="s">
        <v>800</v>
      </c>
      <c r="B94" s="187"/>
      <c r="C94" s="107"/>
      <c r="D94" s="180" t="s">
        <v>801</v>
      </c>
      <c r="E94" s="180" t="s">
        <v>797</v>
      </c>
      <c r="F94" s="26"/>
      <c r="G94" s="158" t="s">
        <v>296</v>
      </c>
      <c r="H94" s="183" t="s">
        <v>802</v>
      </c>
      <c r="I94" s="188">
        <f t="shared" si="42"/>
        <v>19849049.7</v>
      </c>
      <c r="J94" s="169">
        <v>1.98490497E7</v>
      </c>
      <c r="K94" s="169"/>
      <c r="L94" s="169"/>
      <c r="M94" s="169"/>
      <c r="N94" s="169"/>
      <c r="O94" s="169"/>
      <c r="P94" s="169"/>
      <c r="Q94" s="169"/>
      <c r="R94" s="188">
        <f t="shared" si="6"/>
        <v>10653001.99</v>
      </c>
      <c r="S94" s="169">
        <v>1.047127482E7</v>
      </c>
      <c r="T94" s="169">
        <v>181727.17</v>
      </c>
      <c r="U94" s="169"/>
      <c r="V94" s="169"/>
      <c r="W94" s="169"/>
      <c r="X94" s="169"/>
      <c r="Y94" s="211"/>
      <c r="Z94" s="212" t="s">
        <v>530</v>
      </c>
    </row>
    <row r="95" ht="18.75" customHeight="1">
      <c r="A95" s="147" t="s">
        <v>804</v>
      </c>
      <c r="B95" s="149" t="s">
        <v>805</v>
      </c>
      <c r="C95" s="152" t="s">
        <v>161</v>
      </c>
      <c r="D95" s="152"/>
      <c r="E95" s="152"/>
      <c r="F95" s="152"/>
      <c r="G95" s="155"/>
      <c r="H95" s="156"/>
      <c r="I95" s="164">
        <f t="shared" ref="I95:Q95" si="43">I96+I97</f>
        <v>49598077.7</v>
      </c>
      <c r="J95" s="167">
        <f t="shared" si="43"/>
        <v>46795812.25</v>
      </c>
      <c r="K95" s="167">
        <f t="shared" si="43"/>
        <v>28624346.08</v>
      </c>
      <c r="L95" s="167">
        <f t="shared" si="43"/>
        <v>0</v>
      </c>
      <c r="M95" s="167">
        <f t="shared" si="43"/>
        <v>0</v>
      </c>
      <c r="N95" s="167">
        <f t="shared" si="43"/>
        <v>0</v>
      </c>
      <c r="O95" s="167">
        <f t="shared" si="43"/>
        <v>0</v>
      </c>
      <c r="P95" s="167">
        <f t="shared" si="43"/>
        <v>0</v>
      </c>
      <c r="Q95" s="167">
        <f t="shared" si="43"/>
        <v>0</v>
      </c>
      <c r="R95" s="164">
        <f t="shared" si="6"/>
        <v>13612251.73</v>
      </c>
      <c r="S95" s="167">
        <f t="shared" ref="S95:X95" si="44">S96+S97</f>
        <v>8670133.64</v>
      </c>
      <c r="T95" s="167">
        <f t="shared" si="44"/>
        <v>4942118.09</v>
      </c>
      <c r="U95" s="167">
        <f t="shared" si="44"/>
        <v>0</v>
      </c>
      <c r="V95" s="167">
        <f t="shared" si="44"/>
        <v>0</v>
      </c>
      <c r="W95" s="167">
        <f t="shared" si="44"/>
        <v>0</v>
      </c>
      <c r="X95" s="167">
        <f t="shared" si="44"/>
        <v>0</v>
      </c>
      <c r="Y95" s="142" t="s">
        <v>808</v>
      </c>
      <c r="Z95" s="146"/>
    </row>
    <row r="96" ht="18.75" customHeight="1">
      <c r="A96" s="177" t="s">
        <v>809</v>
      </c>
      <c r="B96" s="179" t="s">
        <v>812</v>
      </c>
      <c r="C96" s="154"/>
      <c r="D96" s="180" t="s">
        <v>814</v>
      </c>
      <c r="E96" s="180" t="s">
        <v>815</v>
      </c>
      <c r="F96" s="180" t="s">
        <v>816</v>
      </c>
      <c r="G96" s="158" t="s">
        <v>322</v>
      </c>
      <c r="H96" s="183" t="s">
        <v>420</v>
      </c>
      <c r="I96" s="188">
        <f t="shared" ref="I96:I97" si="45">MAX(J96:P96)</f>
        <v>20973731.62</v>
      </c>
      <c r="J96" s="169">
        <v>2.097373162E7</v>
      </c>
      <c r="K96" s="169"/>
      <c r="L96" s="169"/>
      <c r="M96" s="169"/>
      <c r="N96" s="169"/>
      <c r="O96" s="169"/>
      <c r="P96" s="169"/>
      <c r="Q96" s="169"/>
      <c r="R96" s="188">
        <f t="shared" si="6"/>
        <v>5860667.41</v>
      </c>
      <c r="S96" s="169">
        <v>4485670.65</v>
      </c>
      <c r="T96" s="169">
        <v>1374996.76</v>
      </c>
      <c r="U96" s="169"/>
      <c r="V96" s="169"/>
      <c r="W96" s="169"/>
      <c r="X96" s="169"/>
      <c r="Y96" s="211"/>
      <c r="Z96" s="212" t="s">
        <v>818</v>
      </c>
    </row>
    <row r="97" ht="18.75" customHeight="1">
      <c r="A97" s="26"/>
      <c r="B97" s="187"/>
      <c r="C97" s="107"/>
      <c r="D97" s="180" t="s">
        <v>819</v>
      </c>
      <c r="E97" s="180" t="s">
        <v>820</v>
      </c>
      <c r="F97" s="180" t="s">
        <v>816</v>
      </c>
      <c r="G97" s="158" t="s">
        <v>296</v>
      </c>
      <c r="H97" s="183" t="s">
        <v>821</v>
      </c>
      <c r="I97" s="188">
        <f t="shared" si="45"/>
        <v>28624346.08</v>
      </c>
      <c r="J97" s="169">
        <v>2.582208063E7</v>
      </c>
      <c r="K97" s="169">
        <v>2.862434608E7</v>
      </c>
      <c r="L97" s="169"/>
      <c r="M97" s="169"/>
      <c r="N97" s="169"/>
      <c r="O97" s="169"/>
      <c r="P97" s="169"/>
      <c r="Q97" s="169"/>
      <c r="R97" s="188">
        <f t="shared" si="6"/>
        <v>7751584.32</v>
      </c>
      <c r="S97" s="169">
        <v>4184462.99</v>
      </c>
      <c r="T97" s="169">
        <v>3567121.33</v>
      </c>
      <c r="U97" s="169"/>
      <c r="V97" s="169"/>
      <c r="W97" s="169"/>
      <c r="X97" s="169"/>
      <c r="Y97" s="276"/>
      <c r="Z97" s="278" t="s">
        <v>824</v>
      </c>
    </row>
    <row r="98">
      <c r="A98" s="147" t="s">
        <v>825</v>
      </c>
      <c r="B98" s="149" t="s">
        <v>826</v>
      </c>
      <c r="C98" s="149" t="s">
        <v>71</v>
      </c>
      <c r="D98" s="279"/>
      <c r="E98" s="279"/>
      <c r="F98" s="279"/>
      <c r="G98" s="155"/>
      <c r="H98" s="156"/>
      <c r="I98" s="164">
        <f t="shared" ref="I98:Q98" si="46">I99+I100</f>
        <v>20722716.44</v>
      </c>
      <c r="J98" s="167">
        <f t="shared" si="46"/>
        <v>18624119.08</v>
      </c>
      <c r="K98" s="167">
        <f t="shared" si="46"/>
        <v>0</v>
      </c>
      <c r="L98" s="167">
        <f t="shared" si="46"/>
        <v>5432273.32</v>
      </c>
      <c r="M98" s="167">
        <f t="shared" si="46"/>
        <v>0</v>
      </c>
      <c r="N98" s="167">
        <f t="shared" si="46"/>
        <v>0</v>
      </c>
      <c r="O98" s="167">
        <f t="shared" si="46"/>
        <v>0</v>
      </c>
      <c r="P98" s="167">
        <f t="shared" si="46"/>
        <v>0</v>
      </c>
      <c r="Q98" s="167">
        <f t="shared" si="46"/>
        <v>0</v>
      </c>
      <c r="R98" s="164">
        <f t="shared" si="6"/>
        <v>7165807.66</v>
      </c>
      <c r="S98" s="167">
        <f t="shared" ref="S98:X98" si="47">S99+S100</f>
        <v>3753129.29</v>
      </c>
      <c r="T98" s="167">
        <f t="shared" si="47"/>
        <v>3412678.37</v>
      </c>
      <c r="U98" s="167">
        <f t="shared" si="47"/>
        <v>0</v>
      </c>
      <c r="V98" s="167">
        <f t="shared" si="47"/>
        <v>0</v>
      </c>
      <c r="W98" s="167">
        <f t="shared" si="47"/>
        <v>0</v>
      </c>
      <c r="X98" s="167">
        <f t="shared" si="47"/>
        <v>0</v>
      </c>
      <c r="Y98" s="142" t="s">
        <v>828</v>
      </c>
      <c r="Z98" s="146"/>
    </row>
    <row r="99" ht="18.75" customHeight="1">
      <c r="A99" s="177" t="s">
        <v>829</v>
      </c>
      <c r="B99" s="179" t="s">
        <v>831</v>
      </c>
      <c r="C99" s="154"/>
      <c r="D99" s="180" t="s">
        <v>833</v>
      </c>
      <c r="E99" s="180" t="s">
        <v>834</v>
      </c>
      <c r="F99" s="180" t="s">
        <v>831</v>
      </c>
      <c r="G99" s="158" t="s">
        <v>322</v>
      </c>
      <c r="H99" s="183" t="s">
        <v>420</v>
      </c>
      <c r="I99" s="188">
        <f t="shared" ref="I99:I100" si="48">MAX(J99:P99)</f>
        <v>15290443.12</v>
      </c>
      <c r="J99" s="169">
        <v>1.529044312E7</v>
      </c>
      <c r="K99" s="169"/>
      <c r="L99" s="169"/>
      <c r="M99" s="169"/>
      <c r="N99" s="169"/>
      <c r="O99" s="169"/>
      <c r="P99" s="169"/>
      <c r="Q99" s="169"/>
      <c r="R99" s="210">
        <f t="shared" si="6"/>
        <v>4646939.06</v>
      </c>
      <c r="S99" s="169">
        <v>3753129.29</v>
      </c>
      <c r="T99" s="169">
        <v>893809.77</v>
      </c>
      <c r="U99" s="169"/>
      <c r="V99" s="169"/>
      <c r="W99" s="169"/>
      <c r="X99" s="169"/>
      <c r="Y99" s="211"/>
      <c r="Z99" s="212" t="s">
        <v>818</v>
      </c>
    </row>
    <row r="100">
      <c r="A100" s="26"/>
      <c r="B100" s="187"/>
      <c r="C100" s="107"/>
      <c r="D100" s="180" t="s">
        <v>837</v>
      </c>
      <c r="E100" s="180" t="s">
        <v>834</v>
      </c>
      <c r="F100" s="180" t="s">
        <v>831</v>
      </c>
      <c r="G100" s="158" t="s">
        <v>296</v>
      </c>
      <c r="H100" s="183" t="s">
        <v>821</v>
      </c>
      <c r="I100" s="188">
        <f t="shared" si="48"/>
        <v>5432273.32</v>
      </c>
      <c r="J100" s="169">
        <v>3333675.96</v>
      </c>
      <c r="K100" s="169"/>
      <c r="L100" s="169">
        <v>5432273.32</v>
      </c>
      <c r="M100" s="169"/>
      <c r="N100" s="169"/>
      <c r="O100" s="169"/>
      <c r="P100" s="169"/>
      <c r="Q100" s="169"/>
      <c r="R100" s="210">
        <f t="shared" si="6"/>
        <v>2518868.6</v>
      </c>
      <c r="S100" s="169">
        <v>0.0</v>
      </c>
      <c r="T100" s="169">
        <v>2518868.6</v>
      </c>
      <c r="U100" s="169"/>
      <c r="V100" s="169"/>
      <c r="W100" s="169"/>
      <c r="X100" s="169"/>
      <c r="Y100" s="276"/>
      <c r="Z100" s="278" t="s">
        <v>824</v>
      </c>
    </row>
    <row r="101">
      <c r="A101" s="147" t="s">
        <v>842</v>
      </c>
      <c r="B101" s="149" t="s">
        <v>134</v>
      </c>
      <c r="C101" s="149" t="s">
        <v>71</v>
      </c>
      <c r="D101" s="152"/>
      <c r="E101" s="152"/>
      <c r="F101" s="152"/>
      <c r="G101" s="155"/>
      <c r="H101" s="156"/>
      <c r="I101" s="164">
        <f t="shared" ref="I101:Q101" si="49">I102+I103+I104</f>
        <v>82862536.65</v>
      </c>
      <c r="J101" s="167">
        <f t="shared" si="49"/>
        <v>82862536.65</v>
      </c>
      <c r="K101" s="167">
        <f t="shared" si="49"/>
        <v>0</v>
      </c>
      <c r="L101" s="167">
        <f t="shared" si="49"/>
        <v>0</v>
      </c>
      <c r="M101" s="167">
        <f t="shared" si="49"/>
        <v>0</v>
      </c>
      <c r="N101" s="167">
        <f t="shared" si="49"/>
        <v>0</v>
      </c>
      <c r="O101" s="167">
        <f t="shared" si="49"/>
        <v>0</v>
      </c>
      <c r="P101" s="167">
        <f t="shared" si="49"/>
        <v>0</v>
      </c>
      <c r="Q101" s="167">
        <f t="shared" si="49"/>
        <v>0</v>
      </c>
      <c r="R101" s="164">
        <f t="shared" si="6"/>
        <v>69697490.06</v>
      </c>
      <c r="S101" s="167">
        <f t="shared" ref="S101:X101" si="50">S102+S103+S104</f>
        <v>68246995.53</v>
      </c>
      <c r="T101" s="167">
        <f t="shared" si="50"/>
        <v>1450494.53</v>
      </c>
      <c r="U101" s="167">
        <f t="shared" si="50"/>
        <v>0</v>
      </c>
      <c r="V101" s="167">
        <f t="shared" si="50"/>
        <v>0</v>
      </c>
      <c r="W101" s="167">
        <f t="shared" si="50"/>
        <v>0</v>
      </c>
      <c r="X101" s="167">
        <f t="shared" si="50"/>
        <v>0</v>
      </c>
      <c r="Y101" s="142" t="s">
        <v>847</v>
      </c>
      <c r="Z101" s="146"/>
    </row>
    <row r="102" ht="18.75" customHeight="1">
      <c r="A102" s="177" t="s">
        <v>848</v>
      </c>
      <c r="B102" s="179" t="s">
        <v>849</v>
      </c>
      <c r="C102" s="154"/>
      <c r="D102" s="180" t="s">
        <v>850</v>
      </c>
      <c r="E102" s="180" t="s">
        <v>851</v>
      </c>
      <c r="F102" s="180" t="s">
        <v>852</v>
      </c>
      <c r="G102" s="158" t="s">
        <v>322</v>
      </c>
      <c r="H102" s="183" t="s">
        <v>853</v>
      </c>
      <c r="I102" s="188">
        <f t="shared" ref="I102:I104" si="51">MAX(J102:P102)</f>
        <v>46336300.58</v>
      </c>
      <c r="J102" s="169">
        <v>4.633630058E7</v>
      </c>
      <c r="K102" s="169"/>
      <c r="L102" s="169"/>
      <c r="M102" s="169"/>
      <c r="N102" s="169"/>
      <c r="O102" s="169"/>
      <c r="P102" s="169"/>
      <c r="Q102" s="169"/>
      <c r="R102" s="188">
        <f t="shared" si="6"/>
        <v>41007535.52</v>
      </c>
      <c r="S102" s="169">
        <v>3.955704099E7</v>
      </c>
      <c r="T102" s="169">
        <v>1450494.53</v>
      </c>
      <c r="U102" s="169"/>
      <c r="V102" s="169"/>
      <c r="W102" s="169"/>
      <c r="X102" s="169"/>
      <c r="Y102" s="211"/>
      <c r="Z102" s="212" t="s">
        <v>818</v>
      </c>
    </row>
    <row r="103" ht="18.75" customHeight="1">
      <c r="A103" s="26"/>
      <c r="B103" s="187"/>
      <c r="C103" s="107"/>
      <c r="D103" s="180" t="s">
        <v>857</v>
      </c>
      <c r="E103" s="180" t="s">
        <v>858</v>
      </c>
      <c r="F103" s="180" t="s">
        <v>852</v>
      </c>
      <c r="G103" s="158" t="s">
        <v>296</v>
      </c>
      <c r="H103" s="183" t="s">
        <v>859</v>
      </c>
      <c r="I103" s="188">
        <f t="shared" si="51"/>
        <v>24125889.95</v>
      </c>
      <c r="J103" s="169">
        <v>2.412588995E7</v>
      </c>
      <c r="K103" s="169"/>
      <c r="L103" s="169"/>
      <c r="M103" s="169"/>
      <c r="N103" s="169"/>
      <c r="O103" s="169"/>
      <c r="P103" s="169"/>
      <c r="Q103" s="169"/>
      <c r="R103" s="188">
        <f t="shared" si="6"/>
        <v>17888814.07</v>
      </c>
      <c r="S103" s="169">
        <v>1.788881407E7</v>
      </c>
      <c r="T103" s="169"/>
      <c r="U103" s="169"/>
      <c r="V103" s="169"/>
      <c r="W103" s="169"/>
      <c r="X103" s="169"/>
      <c r="Y103" s="276"/>
      <c r="Z103" s="278"/>
    </row>
    <row r="104" ht="18.75" customHeight="1">
      <c r="A104" s="194" t="s">
        <v>860</v>
      </c>
      <c r="B104" s="195" t="s">
        <v>861</v>
      </c>
      <c r="C104" s="14"/>
      <c r="D104" s="180" t="s">
        <v>863</v>
      </c>
      <c r="E104" s="180" t="s">
        <v>864</v>
      </c>
      <c r="F104" s="180" t="s">
        <v>865</v>
      </c>
      <c r="G104" s="158" t="s">
        <v>296</v>
      </c>
      <c r="H104" s="183" t="s">
        <v>866</v>
      </c>
      <c r="I104" s="188">
        <f t="shared" si="51"/>
        <v>12400346.12</v>
      </c>
      <c r="J104" s="169">
        <v>1.240034612E7</v>
      </c>
      <c r="K104" s="169"/>
      <c r="L104" s="169"/>
      <c r="M104" s="169"/>
      <c r="N104" s="169"/>
      <c r="O104" s="169"/>
      <c r="P104" s="169"/>
      <c r="Q104" s="169"/>
      <c r="R104" s="188">
        <f t="shared" si="6"/>
        <v>10801140.47</v>
      </c>
      <c r="S104" s="169">
        <v>1.080114047E7</v>
      </c>
      <c r="T104" s="169"/>
      <c r="U104" s="169"/>
      <c r="V104" s="169"/>
      <c r="W104" s="169"/>
      <c r="X104" s="169"/>
      <c r="Y104" s="276"/>
      <c r="Z104" s="278"/>
    </row>
    <row r="105">
      <c r="A105" s="147" t="s">
        <v>867</v>
      </c>
      <c r="B105" s="149" t="s">
        <v>167</v>
      </c>
      <c r="C105" s="152" t="s">
        <v>161</v>
      </c>
      <c r="D105" s="279"/>
      <c r="E105" s="279"/>
      <c r="F105" s="279"/>
      <c r="G105" s="155"/>
      <c r="H105" s="156"/>
      <c r="I105" s="164">
        <f t="shared" ref="I105:X105" si="52">I107+I106</f>
        <v>32168937.16</v>
      </c>
      <c r="J105" s="164">
        <f t="shared" si="52"/>
        <v>32168937.16</v>
      </c>
      <c r="K105" s="164">
        <f t="shared" si="52"/>
        <v>0</v>
      </c>
      <c r="L105" s="164">
        <f t="shared" si="52"/>
        <v>0</v>
      </c>
      <c r="M105" s="164">
        <f t="shared" si="52"/>
        <v>0</v>
      </c>
      <c r="N105" s="164">
        <f t="shared" si="52"/>
        <v>0</v>
      </c>
      <c r="O105" s="164">
        <f t="shared" si="52"/>
        <v>0</v>
      </c>
      <c r="P105" s="164">
        <f t="shared" si="52"/>
        <v>0</v>
      </c>
      <c r="Q105" s="164">
        <f t="shared" si="52"/>
        <v>0</v>
      </c>
      <c r="R105" s="164">
        <f t="shared" si="52"/>
        <v>21833340.35</v>
      </c>
      <c r="S105" s="164">
        <f t="shared" si="52"/>
        <v>20780719.51</v>
      </c>
      <c r="T105" s="164">
        <f t="shared" si="52"/>
        <v>1052620.84</v>
      </c>
      <c r="U105" s="164">
        <f t="shared" si="52"/>
        <v>0</v>
      </c>
      <c r="V105" s="164">
        <f t="shared" si="52"/>
        <v>0</v>
      </c>
      <c r="W105" s="164">
        <f t="shared" si="52"/>
        <v>0</v>
      </c>
      <c r="X105" s="164">
        <f t="shared" si="52"/>
        <v>0</v>
      </c>
      <c r="Y105" s="142" t="s">
        <v>847</v>
      </c>
      <c r="Z105" s="146"/>
    </row>
    <row r="106" ht="18.75" customHeight="1">
      <c r="A106" s="177" t="s">
        <v>871</v>
      </c>
      <c r="B106" s="179" t="s">
        <v>872</v>
      </c>
      <c r="C106" s="154"/>
      <c r="D106" s="180" t="s">
        <v>873</v>
      </c>
      <c r="E106" s="180" t="s">
        <v>874</v>
      </c>
      <c r="F106" s="180" t="s">
        <v>875</v>
      </c>
      <c r="G106" s="158" t="s">
        <v>322</v>
      </c>
      <c r="H106" s="183" t="s">
        <v>702</v>
      </c>
      <c r="I106" s="188">
        <f t="shared" ref="I106:I107" si="53">MAX(J106:P106)</f>
        <v>30539116.16</v>
      </c>
      <c r="J106" s="169">
        <v>3.053911616E7</v>
      </c>
      <c r="K106" s="169"/>
      <c r="L106" s="169"/>
      <c r="M106" s="169"/>
      <c r="N106" s="169"/>
      <c r="O106" s="169"/>
      <c r="P106" s="169"/>
      <c r="Q106" s="169"/>
      <c r="R106" s="188">
        <f t="shared" ref="R106:R130" si="54">SUM(S106:W106)</f>
        <v>21017361.21</v>
      </c>
      <c r="S106" s="169">
        <v>1.996474037E7</v>
      </c>
      <c r="T106" s="169">
        <v>1052620.84</v>
      </c>
      <c r="U106" s="169"/>
      <c r="V106" s="169"/>
      <c r="W106" s="169"/>
      <c r="X106" s="169"/>
      <c r="Y106" s="276"/>
      <c r="Z106" s="278"/>
    </row>
    <row r="107" ht="18.75" customHeight="1">
      <c r="A107" s="26"/>
      <c r="B107" s="187"/>
      <c r="C107" s="107"/>
      <c r="D107" s="180" t="s">
        <v>877</v>
      </c>
      <c r="E107" s="180" t="s">
        <v>878</v>
      </c>
      <c r="F107" s="180" t="s">
        <v>875</v>
      </c>
      <c r="G107" s="158" t="s">
        <v>879</v>
      </c>
      <c r="H107" s="183" t="s">
        <v>880</v>
      </c>
      <c r="I107" s="188">
        <f t="shared" si="53"/>
        <v>1629821</v>
      </c>
      <c r="J107" s="169">
        <v>1629821.0</v>
      </c>
      <c r="K107" s="169"/>
      <c r="L107" s="169"/>
      <c r="M107" s="169"/>
      <c r="N107" s="169"/>
      <c r="O107" s="169"/>
      <c r="P107" s="169"/>
      <c r="Q107" s="169"/>
      <c r="R107" s="188">
        <f t="shared" si="54"/>
        <v>815979.14</v>
      </c>
      <c r="S107" s="169">
        <v>815979.14</v>
      </c>
      <c r="T107" s="169"/>
      <c r="U107" s="169"/>
      <c r="V107" s="169"/>
      <c r="W107" s="169"/>
      <c r="X107" s="169"/>
      <c r="Y107" s="276"/>
      <c r="Z107" s="278"/>
    </row>
    <row r="108">
      <c r="A108" s="147" t="s">
        <v>883</v>
      </c>
      <c r="B108" s="149" t="s">
        <v>884</v>
      </c>
      <c r="C108" s="149" t="s">
        <v>102</v>
      </c>
      <c r="D108" s="279"/>
      <c r="E108" s="279"/>
      <c r="F108" s="279"/>
      <c r="G108" s="155"/>
      <c r="H108" s="156"/>
      <c r="I108" s="164">
        <f t="shared" ref="I108:Q108" si="55">I109+I110+I111+I112</f>
        <v>66720957.49</v>
      </c>
      <c r="J108" s="167">
        <f t="shared" si="55"/>
        <v>66720957.49</v>
      </c>
      <c r="K108" s="167">
        <f t="shared" si="55"/>
        <v>0</v>
      </c>
      <c r="L108" s="167">
        <f t="shared" si="55"/>
        <v>0</v>
      </c>
      <c r="M108" s="167">
        <f t="shared" si="55"/>
        <v>0</v>
      </c>
      <c r="N108" s="167">
        <f t="shared" si="55"/>
        <v>0</v>
      </c>
      <c r="O108" s="167">
        <f t="shared" si="55"/>
        <v>0</v>
      </c>
      <c r="P108" s="167">
        <f t="shared" si="55"/>
        <v>0</v>
      </c>
      <c r="Q108" s="167">
        <f t="shared" si="55"/>
        <v>0</v>
      </c>
      <c r="R108" s="164">
        <f t="shared" si="54"/>
        <v>38219100.49</v>
      </c>
      <c r="S108" s="167">
        <f t="shared" ref="S108:X108" si="56">S109+S110+S111+S112</f>
        <v>36951128.41</v>
      </c>
      <c r="T108" s="167">
        <f t="shared" si="56"/>
        <v>1267972.08</v>
      </c>
      <c r="U108" s="167">
        <f t="shared" si="56"/>
        <v>0</v>
      </c>
      <c r="V108" s="167">
        <f t="shared" si="56"/>
        <v>0</v>
      </c>
      <c r="W108" s="167">
        <f t="shared" si="56"/>
        <v>0</v>
      </c>
      <c r="X108" s="167">
        <f t="shared" si="56"/>
        <v>0</v>
      </c>
      <c r="Y108" s="142" t="s">
        <v>847</v>
      </c>
      <c r="Z108" s="146"/>
    </row>
    <row r="109" ht="18.75" customHeight="1">
      <c r="A109" s="177" t="s">
        <v>888</v>
      </c>
      <c r="B109" s="179" t="s">
        <v>889</v>
      </c>
      <c r="C109" s="154"/>
      <c r="D109" s="180" t="s">
        <v>891</v>
      </c>
      <c r="E109" s="180" t="s">
        <v>892</v>
      </c>
      <c r="F109" s="180" t="s">
        <v>893</v>
      </c>
      <c r="G109" s="158" t="s">
        <v>322</v>
      </c>
      <c r="H109" s="183" t="s">
        <v>894</v>
      </c>
      <c r="I109" s="188">
        <f t="shared" ref="I109:I112" si="57">MAX(J109:P109)</f>
        <v>13394810.9</v>
      </c>
      <c r="J109" s="169">
        <v>1.33948109E7</v>
      </c>
      <c r="K109" s="169"/>
      <c r="L109" s="169"/>
      <c r="M109" s="169"/>
      <c r="N109" s="169"/>
      <c r="O109" s="169"/>
      <c r="P109" s="169"/>
      <c r="Q109" s="169"/>
      <c r="R109" s="210">
        <f t="shared" si="54"/>
        <v>11014498.35</v>
      </c>
      <c r="S109" s="169">
        <v>9746526.27</v>
      </c>
      <c r="T109" s="169">
        <v>1267972.08</v>
      </c>
      <c r="U109" s="169"/>
      <c r="V109" s="169"/>
      <c r="W109" s="169"/>
      <c r="X109" s="169"/>
      <c r="Y109" s="276"/>
      <c r="Z109" s="278"/>
    </row>
    <row r="110" ht="18.75" customHeight="1">
      <c r="A110" s="26"/>
      <c r="B110" s="187"/>
      <c r="C110" s="107"/>
      <c r="D110" s="180" t="s">
        <v>899</v>
      </c>
      <c r="E110" s="180" t="s">
        <v>900</v>
      </c>
      <c r="F110" s="180" t="s">
        <v>893</v>
      </c>
      <c r="G110" s="158" t="s">
        <v>296</v>
      </c>
      <c r="H110" s="183" t="s">
        <v>901</v>
      </c>
      <c r="I110" s="188">
        <f t="shared" si="57"/>
        <v>27775059.53</v>
      </c>
      <c r="J110" s="169">
        <v>2.777505953E7</v>
      </c>
      <c r="K110" s="169"/>
      <c r="L110" s="169"/>
      <c r="M110" s="169"/>
      <c r="N110" s="169"/>
      <c r="O110" s="169"/>
      <c r="P110" s="169"/>
      <c r="Q110" s="169"/>
      <c r="R110" s="210">
        <f t="shared" si="54"/>
        <v>17792204.47</v>
      </c>
      <c r="S110" s="169">
        <v>1.779220447E7</v>
      </c>
      <c r="T110" s="169"/>
      <c r="U110" s="169"/>
      <c r="V110" s="169"/>
      <c r="W110" s="169"/>
      <c r="X110" s="169"/>
      <c r="Y110" s="276"/>
      <c r="Z110" s="278"/>
    </row>
    <row r="111" ht="18.75" customHeight="1">
      <c r="A111" s="177" t="s">
        <v>903</v>
      </c>
      <c r="B111" s="179" t="s">
        <v>904</v>
      </c>
      <c r="C111" s="154"/>
      <c r="D111" s="180" t="s">
        <v>906</v>
      </c>
      <c r="E111" s="180" t="s">
        <v>908</v>
      </c>
      <c r="F111" s="180" t="s">
        <v>909</v>
      </c>
      <c r="G111" s="158" t="s">
        <v>296</v>
      </c>
      <c r="H111" s="183" t="s">
        <v>911</v>
      </c>
      <c r="I111" s="188">
        <f t="shared" si="57"/>
        <v>11137336.64</v>
      </c>
      <c r="J111" s="169">
        <v>1.113733664E7</v>
      </c>
      <c r="K111" s="169"/>
      <c r="L111" s="169"/>
      <c r="M111" s="169"/>
      <c r="N111" s="169"/>
      <c r="O111" s="169"/>
      <c r="P111" s="169"/>
      <c r="Q111" s="169"/>
      <c r="R111" s="210">
        <f t="shared" si="54"/>
        <v>3374351.35</v>
      </c>
      <c r="S111" s="169">
        <v>3374351.35</v>
      </c>
      <c r="T111" s="169"/>
      <c r="U111" s="169"/>
      <c r="V111" s="169"/>
      <c r="W111" s="169"/>
      <c r="X111" s="169"/>
      <c r="Y111" s="276"/>
      <c r="Z111" s="278"/>
    </row>
    <row r="112">
      <c r="A112" s="26"/>
      <c r="B112" s="187"/>
      <c r="C112" s="107"/>
      <c r="D112" s="180" t="s">
        <v>913</v>
      </c>
      <c r="E112" s="180" t="s">
        <v>914</v>
      </c>
      <c r="F112" s="180" t="s">
        <v>909</v>
      </c>
      <c r="G112" s="158" t="s">
        <v>296</v>
      </c>
      <c r="H112" s="183" t="s">
        <v>915</v>
      </c>
      <c r="I112" s="188">
        <f t="shared" si="57"/>
        <v>14413750.42</v>
      </c>
      <c r="J112" s="169">
        <v>1.441375042E7</v>
      </c>
      <c r="K112" s="169"/>
      <c r="L112" s="169"/>
      <c r="M112" s="169"/>
      <c r="N112" s="169"/>
      <c r="O112" s="169"/>
      <c r="P112" s="169"/>
      <c r="Q112" s="169"/>
      <c r="R112" s="210">
        <f t="shared" si="54"/>
        <v>6038046.32</v>
      </c>
      <c r="S112" s="169">
        <v>6038046.32</v>
      </c>
      <c r="T112" s="169"/>
      <c r="U112" s="169"/>
      <c r="V112" s="169"/>
      <c r="W112" s="169"/>
      <c r="X112" s="169"/>
      <c r="Y112" s="276"/>
      <c r="Z112" s="278"/>
    </row>
    <row r="113">
      <c r="A113" s="147" t="s">
        <v>917</v>
      </c>
      <c r="B113" s="149" t="s">
        <v>98</v>
      </c>
      <c r="C113" s="149" t="s">
        <v>102</v>
      </c>
      <c r="D113" s="152"/>
      <c r="F113" s="152"/>
      <c r="G113" s="155"/>
      <c r="H113" s="156"/>
      <c r="I113" s="164">
        <f t="shared" ref="I113:Q113" si="58">I114+I115+I116+I118+I119+I120+I121+I122+I117</f>
        <v>163028128.4</v>
      </c>
      <c r="J113" s="167">
        <f t="shared" si="58"/>
        <v>163028128.4</v>
      </c>
      <c r="K113" s="167">
        <f t="shared" si="58"/>
        <v>0</v>
      </c>
      <c r="L113" s="167">
        <f t="shared" si="58"/>
        <v>0</v>
      </c>
      <c r="M113" s="167">
        <f t="shared" si="58"/>
        <v>0</v>
      </c>
      <c r="N113" s="167">
        <f t="shared" si="58"/>
        <v>0</v>
      </c>
      <c r="O113" s="167">
        <f t="shared" si="58"/>
        <v>0</v>
      </c>
      <c r="P113" s="167">
        <f t="shared" si="58"/>
        <v>0</v>
      </c>
      <c r="Q113" s="167">
        <f t="shared" si="58"/>
        <v>0</v>
      </c>
      <c r="R113" s="164">
        <f t="shared" si="54"/>
        <v>87102892.49</v>
      </c>
      <c r="S113" s="167">
        <f t="shared" ref="S113:X113" si="59">S114+S115+S116+S118+S119+S120+S121+S122+S117</f>
        <v>83514258.8</v>
      </c>
      <c r="T113" s="167">
        <f t="shared" si="59"/>
        <v>3588633.69</v>
      </c>
      <c r="U113" s="167">
        <f t="shared" si="59"/>
        <v>0</v>
      </c>
      <c r="V113" s="167">
        <f t="shared" si="59"/>
        <v>0</v>
      </c>
      <c r="W113" s="167">
        <f t="shared" si="59"/>
        <v>0</v>
      </c>
      <c r="X113" s="167">
        <f t="shared" si="59"/>
        <v>0</v>
      </c>
      <c r="Y113" s="142" t="s">
        <v>925</v>
      </c>
      <c r="Z113" s="146"/>
    </row>
    <row r="114" ht="18.75" customHeight="1">
      <c r="A114" s="177" t="s">
        <v>926</v>
      </c>
      <c r="B114" s="179" t="s">
        <v>927</v>
      </c>
      <c r="C114" s="154"/>
      <c r="D114" s="180" t="s">
        <v>928</v>
      </c>
      <c r="E114" s="180" t="s">
        <v>929</v>
      </c>
      <c r="F114" s="180" t="s">
        <v>930</v>
      </c>
      <c r="G114" s="158" t="s">
        <v>322</v>
      </c>
      <c r="H114" s="183" t="s">
        <v>932</v>
      </c>
      <c r="I114" s="188">
        <f t="shared" ref="I114:I122" si="60">MAX(J114:P114)</f>
        <v>58150301.35</v>
      </c>
      <c r="J114" s="169">
        <v>5.815030135E7</v>
      </c>
      <c r="K114" s="169"/>
      <c r="L114" s="169"/>
      <c r="M114" s="169"/>
      <c r="N114" s="169"/>
      <c r="O114" s="169"/>
      <c r="P114" s="169"/>
      <c r="Q114" s="169"/>
      <c r="R114" s="210">
        <f t="shared" si="54"/>
        <v>17959268.32</v>
      </c>
      <c r="S114" s="169">
        <v>1.651536099E7</v>
      </c>
      <c r="T114" s="169">
        <v>1443907.33</v>
      </c>
      <c r="U114" s="169"/>
      <c r="V114" s="169"/>
      <c r="W114" s="169"/>
      <c r="X114" s="169"/>
      <c r="Y114" s="276"/>
      <c r="Z114" s="278"/>
    </row>
    <row r="115" ht="18.75" customHeight="1">
      <c r="A115" s="197"/>
      <c r="B115" s="198"/>
      <c r="C115" s="199"/>
      <c r="D115" s="180" t="s">
        <v>937</v>
      </c>
      <c r="E115" s="180" t="s">
        <v>938</v>
      </c>
      <c r="F115" s="180" t="s">
        <v>930</v>
      </c>
      <c r="G115" s="158" t="s">
        <v>879</v>
      </c>
      <c r="H115" s="183" t="s">
        <v>940</v>
      </c>
      <c r="I115" s="188">
        <f t="shared" si="60"/>
        <v>9041767.34</v>
      </c>
      <c r="J115" s="169">
        <v>9041767.34</v>
      </c>
      <c r="K115" s="169"/>
      <c r="L115" s="169"/>
      <c r="M115" s="169"/>
      <c r="N115" s="169"/>
      <c r="O115" s="169"/>
      <c r="P115" s="169"/>
      <c r="Q115" s="169"/>
      <c r="R115" s="210">
        <f t="shared" si="54"/>
        <v>2691706.6</v>
      </c>
      <c r="S115" s="169">
        <v>2691706.6</v>
      </c>
      <c r="T115" s="169"/>
      <c r="U115" s="169"/>
      <c r="V115" s="169"/>
      <c r="W115" s="169"/>
      <c r="X115" s="169"/>
      <c r="Y115" s="276"/>
      <c r="Z115" s="278"/>
    </row>
    <row r="116" ht="18.75" customHeight="1">
      <c r="A116" s="197"/>
      <c r="B116" s="198"/>
      <c r="C116" s="199"/>
      <c r="D116" s="180" t="s">
        <v>942</v>
      </c>
      <c r="E116" s="180" t="s">
        <v>938</v>
      </c>
      <c r="F116" s="180" t="s">
        <v>930</v>
      </c>
      <c r="G116" s="158" t="s">
        <v>296</v>
      </c>
      <c r="H116" s="183" t="s">
        <v>940</v>
      </c>
      <c r="I116" s="188">
        <f t="shared" si="60"/>
        <v>17115174</v>
      </c>
      <c r="J116" s="169">
        <v>1.7115174E7</v>
      </c>
      <c r="K116" s="169"/>
      <c r="L116" s="169"/>
      <c r="M116" s="169"/>
      <c r="N116" s="169"/>
      <c r="O116" s="169"/>
      <c r="P116" s="169"/>
      <c r="Q116" s="169"/>
      <c r="R116" s="210">
        <f t="shared" si="54"/>
        <v>11502668.68</v>
      </c>
      <c r="S116" s="169">
        <v>1.06524373E7</v>
      </c>
      <c r="T116" s="169">
        <v>850231.38</v>
      </c>
      <c r="U116" s="169"/>
      <c r="V116" s="169"/>
      <c r="W116" s="169"/>
      <c r="X116" s="169"/>
      <c r="Y116" s="276"/>
      <c r="Z116" s="278"/>
    </row>
    <row r="117" ht="18.75" customHeight="1">
      <c r="A117" s="197"/>
      <c r="B117" s="198"/>
      <c r="C117" s="199"/>
      <c r="D117" s="180" t="s">
        <v>943</v>
      </c>
      <c r="E117" s="180" t="s">
        <v>938</v>
      </c>
      <c r="F117" s="180" t="s">
        <v>930</v>
      </c>
      <c r="G117" s="158" t="s">
        <v>944</v>
      </c>
      <c r="H117" s="183" t="s">
        <v>945</v>
      </c>
      <c r="I117" s="188">
        <f t="shared" si="60"/>
        <v>15854360.8</v>
      </c>
      <c r="J117" s="169">
        <v>1.58543608E7</v>
      </c>
      <c r="K117" s="169"/>
      <c r="L117" s="169"/>
      <c r="M117" s="169"/>
      <c r="N117" s="169"/>
      <c r="O117" s="169"/>
      <c r="P117" s="169"/>
      <c r="Q117" s="169"/>
      <c r="R117" s="210">
        <f t="shared" si="54"/>
        <v>4168377.96</v>
      </c>
      <c r="S117" s="169">
        <v>4168377.96</v>
      </c>
      <c r="T117" s="169"/>
      <c r="U117" s="169"/>
      <c r="V117" s="169"/>
      <c r="W117" s="169"/>
      <c r="X117" s="169"/>
      <c r="Y117" s="276"/>
      <c r="Z117" s="278"/>
    </row>
    <row r="118" ht="18.75" customHeight="1">
      <c r="A118" s="26"/>
      <c r="B118" s="187"/>
      <c r="C118" s="107"/>
      <c r="D118" s="180" t="s">
        <v>948</v>
      </c>
      <c r="E118" s="180" t="s">
        <v>938</v>
      </c>
      <c r="F118" s="180" t="s">
        <v>930</v>
      </c>
      <c r="G118" s="158" t="s">
        <v>949</v>
      </c>
      <c r="H118" s="183" t="s">
        <v>950</v>
      </c>
      <c r="I118" s="188">
        <f t="shared" si="60"/>
        <v>1980570</v>
      </c>
      <c r="J118" s="169">
        <v>1980570.0</v>
      </c>
      <c r="K118" s="169"/>
      <c r="L118" s="169"/>
      <c r="M118" s="169"/>
      <c r="N118" s="169"/>
      <c r="O118" s="169"/>
      <c r="P118" s="169"/>
      <c r="Q118" s="169"/>
      <c r="R118" s="210">
        <f t="shared" si="54"/>
        <v>987116.29</v>
      </c>
      <c r="S118" s="169">
        <v>747724.59</v>
      </c>
      <c r="T118" s="169">
        <v>239391.7</v>
      </c>
      <c r="U118" s="169"/>
      <c r="V118" s="169"/>
      <c r="W118" s="169"/>
      <c r="X118" s="169"/>
      <c r="Y118" s="276"/>
      <c r="Z118" s="278"/>
    </row>
    <row r="119" ht="18.75" customHeight="1">
      <c r="A119" s="177" t="s">
        <v>953</v>
      </c>
      <c r="B119" s="179" t="s">
        <v>954</v>
      </c>
      <c r="C119" s="154"/>
      <c r="D119" s="180" t="s">
        <v>955</v>
      </c>
      <c r="E119" s="180" t="s">
        <v>956</v>
      </c>
      <c r="F119" s="180" t="s">
        <v>957</v>
      </c>
      <c r="G119" s="158" t="s">
        <v>322</v>
      </c>
      <c r="H119" s="183" t="s">
        <v>958</v>
      </c>
      <c r="I119" s="188">
        <f t="shared" si="60"/>
        <v>13796447.8</v>
      </c>
      <c r="J119" s="169">
        <v>1.37964478E7</v>
      </c>
      <c r="K119" s="169"/>
      <c r="L119" s="169"/>
      <c r="M119" s="169"/>
      <c r="N119" s="169"/>
      <c r="O119" s="169"/>
      <c r="P119" s="169"/>
      <c r="Q119" s="169"/>
      <c r="R119" s="210">
        <f t="shared" si="54"/>
        <v>13155241.8</v>
      </c>
      <c r="S119" s="169">
        <v>1.31552418E7</v>
      </c>
      <c r="T119" s="169"/>
      <c r="U119" s="169"/>
      <c r="V119" s="169"/>
      <c r="W119" s="169"/>
      <c r="X119" s="169"/>
      <c r="Y119" s="276"/>
      <c r="Z119" s="278"/>
    </row>
    <row r="120" ht="18.75" customHeight="1">
      <c r="A120" s="26"/>
      <c r="B120" s="187"/>
      <c r="C120" s="107"/>
      <c r="D120" s="180" t="s">
        <v>961</v>
      </c>
      <c r="E120" s="180" t="s">
        <v>956</v>
      </c>
      <c r="F120" s="180" t="s">
        <v>957</v>
      </c>
      <c r="G120" s="158" t="s">
        <v>296</v>
      </c>
      <c r="H120" s="183" t="s">
        <v>962</v>
      </c>
      <c r="I120" s="188">
        <f t="shared" si="60"/>
        <v>3141877.47</v>
      </c>
      <c r="J120" s="169">
        <v>3141877.47</v>
      </c>
      <c r="K120" s="169"/>
      <c r="L120" s="169"/>
      <c r="M120" s="169"/>
      <c r="N120" s="169"/>
      <c r="O120" s="169"/>
      <c r="P120" s="169"/>
      <c r="Q120" s="169"/>
      <c r="R120" s="210">
        <f t="shared" si="54"/>
        <v>1669410.72</v>
      </c>
      <c r="S120" s="169">
        <v>1669410.72</v>
      </c>
      <c r="T120" s="169"/>
      <c r="U120" s="169"/>
      <c r="V120" s="169"/>
      <c r="W120" s="169"/>
      <c r="X120" s="169"/>
      <c r="Y120" s="276"/>
      <c r="Z120" s="278"/>
    </row>
    <row r="121" ht="18.75" customHeight="1">
      <c r="A121" s="177" t="s">
        <v>966</v>
      </c>
      <c r="B121" s="179" t="s">
        <v>119</v>
      </c>
      <c r="C121" s="154"/>
      <c r="D121" s="180" t="s">
        <v>967</v>
      </c>
      <c r="E121" s="180" t="s">
        <v>968</v>
      </c>
      <c r="F121" s="180" t="s">
        <v>930</v>
      </c>
      <c r="G121" s="158" t="s">
        <v>322</v>
      </c>
      <c r="H121" s="183" t="s">
        <v>853</v>
      </c>
      <c r="I121" s="188">
        <f t="shared" si="60"/>
        <v>30545704.28</v>
      </c>
      <c r="J121" s="169">
        <v>3.054570428E7</v>
      </c>
      <c r="K121" s="169"/>
      <c r="L121" s="169"/>
      <c r="M121" s="169"/>
      <c r="N121" s="169"/>
      <c r="O121" s="169"/>
      <c r="P121" s="169"/>
      <c r="Q121" s="169"/>
      <c r="R121" s="210">
        <f t="shared" si="54"/>
        <v>26488572.94</v>
      </c>
      <c r="S121" s="169">
        <v>2.543346966E7</v>
      </c>
      <c r="T121" s="169">
        <v>1055103.28</v>
      </c>
      <c r="U121" s="169"/>
      <c r="V121" s="169"/>
      <c r="W121" s="169"/>
      <c r="X121" s="169"/>
      <c r="Y121" s="276"/>
      <c r="Z121" s="278"/>
    </row>
    <row r="122" ht="18.75" customHeight="1">
      <c r="A122" s="26"/>
      <c r="B122" s="187"/>
      <c r="C122" s="107"/>
      <c r="D122" s="180" t="s">
        <v>969</v>
      </c>
      <c r="E122" s="180" t="s">
        <v>968</v>
      </c>
      <c r="F122" s="180" t="s">
        <v>930</v>
      </c>
      <c r="G122" s="158" t="s">
        <v>296</v>
      </c>
      <c r="H122" s="183" t="s">
        <v>970</v>
      </c>
      <c r="I122" s="188">
        <f t="shared" si="60"/>
        <v>13401925.32</v>
      </c>
      <c r="J122" s="169">
        <v>1.340192532E7</v>
      </c>
      <c r="K122" s="169"/>
      <c r="L122" s="169"/>
      <c r="M122" s="169"/>
      <c r="N122" s="169"/>
      <c r="O122" s="169"/>
      <c r="P122" s="169"/>
      <c r="Q122" s="169"/>
      <c r="R122" s="210">
        <f t="shared" si="54"/>
        <v>8480529.18</v>
      </c>
      <c r="S122" s="169">
        <v>8480529.18</v>
      </c>
      <c r="T122" s="169"/>
      <c r="U122" s="169"/>
      <c r="V122" s="169"/>
      <c r="W122" s="169"/>
      <c r="X122" s="169"/>
      <c r="Y122" s="276"/>
      <c r="Z122" s="278"/>
    </row>
    <row r="123">
      <c r="A123" s="147" t="s">
        <v>971</v>
      </c>
      <c r="B123" s="149" t="s">
        <v>209</v>
      </c>
      <c r="C123" s="149" t="s">
        <v>210</v>
      </c>
      <c r="D123" s="152"/>
      <c r="E123" s="152"/>
      <c r="F123" s="152"/>
      <c r="G123" s="155"/>
      <c r="H123" s="156"/>
      <c r="I123" s="164">
        <f t="shared" ref="I123:Q123" si="61">I124</f>
        <v>18332335.99</v>
      </c>
      <c r="J123" s="167">
        <f t="shared" si="61"/>
        <v>18332335.99</v>
      </c>
      <c r="K123" s="167" t="str">
        <f t="shared" si="61"/>
        <v/>
      </c>
      <c r="L123" s="167" t="str">
        <f t="shared" si="61"/>
        <v/>
      </c>
      <c r="M123" s="167" t="str">
        <f t="shared" si="61"/>
        <v/>
      </c>
      <c r="N123" s="167" t="str">
        <f t="shared" si="61"/>
        <v/>
      </c>
      <c r="O123" s="167" t="str">
        <f t="shared" si="61"/>
        <v/>
      </c>
      <c r="P123" s="167" t="str">
        <f t="shared" si="61"/>
        <v/>
      </c>
      <c r="Q123" s="167" t="str">
        <f t="shared" si="61"/>
        <v/>
      </c>
      <c r="R123" s="164">
        <f t="shared" si="54"/>
        <v>16293200.71</v>
      </c>
      <c r="S123" s="167">
        <f t="shared" ref="S123:X123" si="62">S124</f>
        <v>15273633.07</v>
      </c>
      <c r="T123" s="167">
        <f t="shared" si="62"/>
        <v>1019567.64</v>
      </c>
      <c r="U123" s="167" t="str">
        <f t="shared" si="62"/>
        <v/>
      </c>
      <c r="V123" s="167" t="str">
        <f t="shared" si="62"/>
        <v/>
      </c>
      <c r="W123" s="167" t="str">
        <f t="shared" si="62"/>
        <v/>
      </c>
      <c r="X123" s="167" t="str">
        <f t="shared" si="62"/>
        <v/>
      </c>
      <c r="Y123" s="206" t="s">
        <v>973</v>
      </c>
      <c r="Z123" s="146"/>
    </row>
    <row r="124" ht="18.75" customHeight="1">
      <c r="A124" s="194" t="s">
        <v>974</v>
      </c>
      <c r="B124" s="195" t="s">
        <v>975</v>
      </c>
      <c r="C124" s="14"/>
      <c r="D124" s="180" t="s">
        <v>976</v>
      </c>
      <c r="E124" s="180" t="s">
        <v>977</v>
      </c>
      <c r="F124" s="180" t="s">
        <v>978</v>
      </c>
      <c r="G124" s="158" t="s">
        <v>322</v>
      </c>
      <c r="H124" s="183" t="s">
        <v>979</v>
      </c>
      <c r="I124" s="188">
        <f>MAX(J124:P124)</f>
        <v>18332335.99</v>
      </c>
      <c r="J124" s="169">
        <v>1.833233599E7</v>
      </c>
      <c r="K124" s="169"/>
      <c r="L124" s="169"/>
      <c r="M124" s="169"/>
      <c r="N124" s="169"/>
      <c r="O124" s="169"/>
      <c r="P124" s="169"/>
      <c r="Q124" s="169"/>
      <c r="R124" s="210">
        <f t="shared" si="54"/>
        <v>16293200.71</v>
      </c>
      <c r="S124" s="169">
        <v>1.527363307E7</v>
      </c>
      <c r="T124" s="169">
        <v>1019567.64</v>
      </c>
      <c r="U124" s="169"/>
      <c r="V124" s="169"/>
      <c r="W124" s="169"/>
      <c r="X124" s="169"/>
      <c r="Y124" s="211"/>
      <c r="Z124" s="212" t="s">
        <v>818</v>
      </c>
    </row>
    <row r="125">
      <c r="A125" s="147" t="s">
        <v>982</v>
      </c>
      <c r="B125" s="149" t="s">
        <v>258</v>
      </c>
      <c r="C125" s="149" t="s">
        <v>259</v>
      </c>
      <c r="D125" s="152"/>
      <c r="E125" s="152"/>
      <c r="F125" s="152"/>
      <c r="G125" s="155"/>
      <c r="H125" s="156"/>
      <c r="I125" s="164">
        <f t="shared" ref="I125:Q125" si="63">I126+I127</f>
        <v>52740220.68</v>
      </c>
      <c r="J125" s="167">
        <f t="shared" si="63"/>
        <v>52740220.68</v>
      </c>
      <c r="K125" s="167">
        <f t="shared" si="63"/>
        <v>0</v>
      </c>
      <c r="L125" s="167">
        <f t="shared" si="63"/>
        <v>0</v>
      </c>
      <c r="M125" s="167">
        <f t="shared" si="63"/>
        <v>0</v>
      </c>
      <c r="N125" s="167">
        <f t="shared" si="63"/>
        <v>0</v>
      </c>
      <c r="O125" s="167">
        <f t="shared" si="63"/>
        <v>0</v>
      </c>
      <c r="P125" s="167">
        <f t="shared" si="63"/>
        <v>0</v>
      </c>
      <c r="Q125" s="167">
        <f t="shared" si="63"/>
        <v>0</v>
      </c>
      <c r="R125" s="164">
        <f t="shared" si="54"/>
        <v>17080091.97</v>
      </c>
      <c r="S125" s="167">
        <f t="shared" ref="S125:X125" si="64">S126+S127</f>
        <v>16631513.98</v>
      </c>
      <c r="T125" s="167">
        <f t="shared" si="64"/>
        <v>448577.99</v>
      </c>
      <c r="U125" s="167">
        <f t="shared" si="64"/>
        <v>0</v>
      </c>
      <c r="V125" s="167">
        <f t="shared" si="64"/>
        <v>0</v>
      </c>
      <c r="W125" s="167">
        <f t="shared" si="64"/>
        <v>0</v>
      </c>
      <c r="X125" s="167">
        <f t="shared" si="64"/>
        <v>0</v>
      </c>
      <c r="Y125" s="142" t="s">
        <v>984</v>
      </c>
      <c r="Z125" s="146"/>
    </row>
    <row r="126" ht="40.5" customHeight="1">
      <c r="A126" s="194" t="s">
        <v>985</v>
      </c>
      <c r="B126" s="195" t="s">
        <v>986</v>
      </c>
      <c r="C126" s="14"/>
      <c r="D126" s="180" t="s">
        <v>987</v>
      </c>
      <c r="E126" s="180"/>
      <c r="F126" s="180"/>
      <c r="G126" s="158" t="s">
        <v>322</v>
      </c>
      <c r="H126" s="183" t="s">
        <v>988</v>
      </c>
      <c r="I126" s="188">
        <f t="shared" ref="I126:I127" si="65">MAX(J126:P126)</f>
        <v>8522981.92</v>
      </c>
      <c r="J126" s="169">
        <v>8522981.92</v>
      </c>
      <c r="K126" s="169"/>
      <c r="L126" s="169"/>
      <c r="M126" s="169"/>
      <c r="N126" s="169"/>
      <c r="O126" s="169"/>
      <c r="P126" s="169"/>
      <c r="Q126" s="169"/>
      <c r="R126" s="210">
        <f t="shared" si="54"/>
        <v>6280091.97</v>
      </c>
      <c r="S126" s="169">
        <v>5831513.98</v>
      </c>
      <c r="T126" s="169">
        <v>448577.99</v>
      </c>
      <c r="U126" s="169"/>
      <c r="V126" s="169"/>
      <c r="W126" s="169"/>
      <c r="X126" s="169"/>
      <c r="Y126" s="211"/>
      <c r="Z126" s="212" t="s">
        <v>818</v>
      </c>
    </row>
    <row r="127" ht="51.75" customHeight="1">
      <c r="A127" s="334" t="s">
        <v>992</v>
      </c>
      <c r="B127" s="335" t="s">
        <v>994</v>
      </c>
      <c r="C127" s="14"/>
      <c r="D127" s="180" t="s">
        <v>995</v>
      </c>
      <c r="E127" s="180"/>
      <c r="F127" s="180"/>
      <c r="G127" s="158" t="s">
        <v>996</v>
      </c>
      <c r="H127" s="183" t="s">
        <v>997</v>
      </c>
      <c r="I127" s="188">
        <f t="shared" si="65"/>
        <v>44217238.76</v>
      </c>
      <c r="J127" s="169">
        <v>4.421723876E7</v>
      </c>
      <c r="K127" s="169"/>
      <c r="L127" s="169"/>
      <c r="M127" s="169"/>
      <c r="N127" s="169"/>
      <c r="O127" s="169"/>
      <c r="P127" s="169"/>
      <c r="Q127" s="169"/>
      <c r="R127" s="210">
        <f t="shared" si="54"/>
        <v>10800000</v>
      </c>
      <c r="S127" s="169">
        <v>1.08E7</v>
      </c>
      <c r="T127" s="169"/>
      <c r="U127" s="169"/>
      <c r="V127" s="169"/>
      <c r="W127" s="169"/>
      <c r="X127" s="169"/>
      <c r="Y127" s="276"/>
      <c r="Z127" s="337" t="s">
        <v>998</v>
      </c>
    </row>
    <row r="128">
      <c r="A128" s="147" t="s">
        <v>999</v>
      </c>
      <c r="B128" s="149" t="s">
        <v>1000</v>
      </c>
      <c r="C128" s="152" t="s">
        <v>161</v>
      </c>
      <c r="D128" s="142"/>
      <c r="E128" s="142"/>
      <c r="F128" s="142"/>
      <c r="G128" s="206"/>
      <c r="H128" s="338"/>
      <c r="I128" s="164">
        <f t="shared" ref="I128:Q128" si="66">I129+I130</f>
        <v>62931449.57</v>
      </c>
      <c r="J128" s="167">
        <f t="shared" si="66"/>
        <v>62931449.57</v>
      </c>
      <c r="K128" s="167">
        <f t="shared" si="66"/>
        <v>0</v>
      </c>
      <c r="L128" s="167">
        <f t="shared" si="66"/>
        <v>0</v>
      </c>
      <c r="M128" s="167">
        <f t="shared" si="66"/>
        <v>0</v>
      </c>
      <c r="N128" s="167">
        <f t="shared" si="66"/>
        <v>0</v>
      </c>
      <c r="O128" s="167">
        <f t="shared" si="66"/>
        <v>0</v>
      </c>
      <c r="P128" s="167">
        <f t="shared" si="66"/>
        <v>0</v>
      </c>
      <c r="Q128" s="167">
        <f t="shared" si="66"/>
        <v>0</v>
      </c>
      <c r="R128" s="164">
        <f t="shared" si="54"/>
        <v>35431427.69</v>
      </c>
      <c r="S128" s="167">
        <f t="shared" ref="S128:X128" si="67">S129+S130</f>
        <v>14671573.23</v>
      </c>
      <c r="T128" s="167">
        <f t="shared" si="67"/>
        <v>20759854.46</v>
      </c>
      <c r="U128" s="167">
        <f t="shared" si="67"/>
        <v>0</v>
      </c>
      <c r="V128" s="167">
        <f t="shared" si="67"/>
        <v>0</v>
      </c>
      <c r="W128" s="167">
        <f t="shared" si="67"/>
        <v>0</v>
      </c>
      <c r="X128" s="167">
        <f t="shared" si="67"/>
        <v>0</v>
      </c>
      <c r="Y128" s="206" t="s">
        <v>440</v>
      </c>
      <c r="Z128" s="339"/>
    </row>
    <row r="129" ht="18.75" customHeight="1">
      <c r="A129" s="340" t="s">
        <v>1004</v>
      </c>
      <c r="B129" s="341" t="s">
        <v>1005</v>
      </c>
      <c r="C129" s="14"/>
      <c r="D129" s="180" t="s">
        <v>1006</v>
      </c>
      <c r="E129" s="180"/>
      <c r="F129" s="180"/>
      <c r="G129" s="158" t="s">
        <v>1007</v>
      </c>
      <c r="H129" s="190" t="s">
        <v>1008</v>
      </c>
      <c r="I129" s="188">
        <f t="shared" ref="I129:I130" si="68">MAX(J129:P129)</f>
        <v>37689126.2</v>
      </c>
      <c r="J129" s="169">
        <v>3.76891262E7</v>
      </c>
      <c r="K129" s="169"/>
      <c r="L129" s="169"/>
      <c r="M129" s="169"/>
      <c r="N129" s="169"/>
      <c r="O129" s="169"/>
      <c r="P129" s="169"/>
      <c r="Q129" s="169"/>
      <c r="R129" s="342">
        <f t="shared" si="54"/>
        <v>15271400.5</v>
      </c>
      <c r="S129" s="169">
        <v>5915451.6</v>
      </c>
      <c r="T129" s="169">
        <f>5915451.6+3440497.3</f>
        <v>9355948.9</v>
      </c>
      <c r="U129" s="169"/>
      <c r="V129" s="169"/>
      <c r="W129" s="169"/>
      <c r="X129" s="169"/>
      <c r="Y129" s="343"/>
      <c r="Z129" s="337" t="s">
        <v>1009</v>
      </c>
    </row>
    <row r="130" ht="18.75" customHeight="1">
      <c r="A130" s="340" t="s">
        <v>1010</v>
      </c>
      <c r="B130" s="341" t="s">
        <v>1011</v>
      </c>
      <c r="C130" s="14"/>
      <c r="D130" s="180" t="s">
        <v>1012</v>
      </c>
      <c r="E130" s="180"/>
      <c r="F130" s="180"/>
      <c r="G130" s="158" t="s">
        <v>296</v>
      </c>
      <c r="H130" s="190" t="s">
        <v>1014</v>
      </c>
      <c r="I130" s="188">
        <f t="shared" si="68"/>
        <v>25242323.37</v>
      </c>
      <c r="J130" s="169">
        <v>2.524232337E7</v>
      </c>
      <c r="K130" s="169"/>
      <c r="L130" s="169"/>
      <c r="M130" s="169"/>
      <c r="N130" s="169"/>
      <c r="O130" s="169"/>
      <c r="P130" s="169"/>
      <c r="Q130" s="169"/>
      <c r="R130" s="342">
        <f t="shared" si="54"/>
        <v>20160027.19</v>
      </c>
      <c r="S130" s="169">
        <v>8756121.63</v>
      </c>
      <c r="T130" s="169">
        <f>8756121.63+2647783.93</f>
        <v>11403905.56</v>
      </c>
      <c r="U130" s="169"/>
      <c r="V130" s="169"/>
      <c r="W130" s="169"/>
      <c r="X130" s="169"/>
      <c r="Y130" s="343"/>
      <c r="Z130" s="337" t="s">
        <v>1009</v>
      </c>
    </row>
    <row r="131">
      <c r="A131" s="348" t="s">
        <v>1015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7"/>
      <c r="Z131" s="84"/>
    </row>
    <row r="132" ht="30.0" customHeight="1">
      <c r="A132" s="351" t="s">
        <v>1016</v>
      </c>
      <c r="B132" s="106"/>
      <c r="C132" s="106"/>
      <c r="D132" s="106"/>
      <c r="E132" s="106"/>
      <c r="F132" s="106"/>
      <c r="G132" s="106"/>
      <c r="H132" s="107"/>
      <c r="I132" s="360">
        <f t="shared" ref="I132:T132" si="69">I133+I134+I135+I136+I137+I138+I139+I140+I141+I142+I143+I144+I145+I146+I147</f>
        <v>848392259.8</v>
      </c>
      <c r="J132" s="360">
        <f t="shared" si="69"/>
        <v>846694710.9</v>
      </c>
      <c r="K132" s="360">
        <f t="shared" si="69"/>
        <v>0</v>
      </c>
      <c r="L132" s="360">
        <f t="shared" si="69"/>
        <v>0</v>
      </c>
      <c r="M132" s="360">
        <f t="shared" si="69"/>
        <v>0</v>
      </c>
      <c r="N132" s="360">
        <f t="shared" si="69"/>
        <v>0</v>
      </c>
      <c r="O132" s="360">
        <f t="shared" si="69"/>
        <v>0</v>
      </c>
      <c r="P132" s="360">
        <f t="shared" si="69"/>
        <v>0</v>
      </c>
      <c r="Q132" s="360">
        <f t="shared" si="69"/>
        <v>0</v>
      </c>
      <c r="R132" s="360">
        <f t="shared" si="69"/>
        <v>339852914.5</v>
      </c>
      <c r="S132" s="360">
        <f t="shared" si="69"/>
        <v>316493222.6</v>
      </c>
      <c r="T132" s="360">
        <f t="shared" si="69"/>
        <v>15811860.88</v>
      </c>
      <c r="U132" s="370"/>
      <c r="V132" s="370"/>
      <c r="W132" s="370"/>
      <c r="X132" s="370">
        <f>X133+X134+X135+X136+X137+X138+X139+X140+X141+X142+X143+X144+X145+X146</f>
        <v>0</v>
      </c>
      <c r="Y132" s="376"/>
      <c r="Z132" s="377"/>
    </row>
    <row r="133" ht="18.75" customHeight="1">
      <c r="A133" s="147" t="s">
        <v>149</v>
      </c>
      <c r="B133" s="142" t="s">
        <v>1030</v>
      </c>
      <c r="C133" s="149" t="s">
        <v>228</v>
      </c>
      <c r="D133" s="142" t="s">
        <v>1031</v>
      </c>
      <c r="E133" s="142" t="s">
        <v>1032</v>
      </c>
      <c r="F133" s="142" t="s">
        <v>1033</v>
      </c>
      <c r="G133" s="155" t="s">
        <v>996</v>
      </c>
      <c r="H133" s="149" t="s">
        <v>997</v>
      </c>
      <c r="I133" s="379">
        <f t="shared" ref="I133:I146" si="70">MAX(J133:P133)</f>
        <v>44217238.76</v>
      </c>
      <c r="J133" s="380">
        <v>4.421723876E7</v>
      </c>
      <c r="K133" s="380"/>
      <c r="L133" s="380"/>
      <c r="M133" s="380"/>
      <c r="N133" s="380"/>
      <c r="O133" s="380"/>
      <c r="P133" s="380"/>
      <c r="Q133" s="380"/>
      <c r="R133" s="379">
        <v>1.1296E7</v>
      </c>
      <c r="S133" s="380">
        <v>1.1296E7</v>
      </c>
      <c r="T133" s="380"/>
      <c r="U133" s="380"/>
      <c r="V133" s="380"/>
      <c r="W133" s="380"/>
      <c r="X133" s="380"/>
      <c r="Y133" s="142" t="s">
        <v>1037</v>
      </c>
      <c r="Z133" s="142"/>
    </row>
    <row r="134" ht="18.75" customHeight="1">
      <c r="A134" s="147" t="s">
        <v>344</v>
      </c>
      <c r="B134" s="142" t="s">
        <v>1038</v>
      </c>
      <c r="C134" s="149" t="s">
        <v>228</v>
      </c>
      <c r="D134" s="142" t="s">
        <v>1039</v>
      </c>
      <c r="E134" s="142" t="s">
        <v>1040</v>
      </c>
      <c r="F134" s="142" t="s">
        <v>1041</v>
      </c>
      <c r="G134" s="155" t="s">
        <v>996</v>
      </c>
      <c r="H134" s="149" t="s">
        <v>1042</v>
      </c>
      <c r="I134" s="379">
        <f t="shared" si="70"/>
        <v>106707241.5</v>
      </c>
      <c r="J134" s="380">
        <v>1.0670724151E8</v>
      </c>
      <c r="K134" s="380"/>
      <c r="L134" s="380"/>
      <c r="M134" s="380"/>
      <c r="N134" s="380"/>
      <c r="O134" s="380"/>
      <c r="P134" s="380"/>
      <c r="Q134" s="380"/>
      <c r="R134" s="379">
        <v>0.0</v>
      </c>
      <c r="S134" s="380">
        <v>0.0</v>
      </c>
      <c r="T134" s="380"/>
      <c r="U134" s="380"/>
      <c r="V134" s="380"/>
      <c r="W134" s="380"/>
      <c r="X134" s="380"/>
      <c r="Y134" s="142" t="s">
        <v>1037</v>
      </c>
      <c r="Z134" s="142"/>
    </row>
    <row r="135" ht="18.75" customHeight="1">
      <c r="A135" s="147" t="s">
        <v>365</v>
      </c>
      <c r="B135" s="142" t="s">
        <v>1043</v>
      </c>
      <c r="C135" s="149" t="s">
        <v>228</v>
      </c>
      <c r="D135" s="142" t="s">
        <v>1044</v>
      </c>
      <c r="E135" s="142" t="s">
        <v>1045</v>
      </c>
      <c r="F135" s="142" t="s">
        <v>1046</v>
      </c>
      <c r="G135" s="155" t="s">
        <v>296</v>
      </c>
      <c r="H135" s="147" t="s">
        <v>1047</v>
      </c>
      <c r="I135" s="379">
        <f t="shared" si="70"/>
        <v>22030583.83</v>
      </c>
      <c r="J135" s="380">
        <v>2.203058383E7</v>
      </c>
      <c r="K135" s="380"/>
      <c r="L135" s="380"/>
      <c r="M135" s="380"/>
      <c r="N135" s="380"/>
      <c r="O135" s="380"/>
      <c r="P135" s="380"/>
      <c r="Q135" s="380"/>
      <c r="R135" s="379">
        <f>SUM(S135:W135)</f>
        <v>6572487.58</v>
      </c>
      <c r="S135" s="380">
        <v>6572487.58</v>
      </c>
      <c r="T135" s="380">
        <v>0.0</v>
      </c>
      <c r="U135" s="380"/>
      <c r="V135" s="380"/>
      <c r="W135" s="380"/>
      <c r="X135" s="380"/>
      <c r="Y135" s="142" t="s">
        <v>1049</v>
      </c>
      <c r="Z135" s="142" t="s">
        <v>1050</v>
      </c>
    </row>
    <row r="136" ht="18.75" customHeight="1">
      <c r="A136" s="147" t="s">
        <v>438</v>
      </c>
      <c r="B136" s="142" t="s">
        <v>1051</v>
      </c>
      <c r="C136" s="149" t="s">
        <v>228</v>
      </c>
      <c r="D136" s="142" t="s">
        <v>1052</v>
      </c>
      <c r="E136" s="142" t="s">
        <v>1053</v>
      </c>
      <c r="F136" s="142" t="s">
        <v>1054</v>
      </c>
      <c r="G136" s="155" t="s">
        <v>322</v>
      </c>
      <c r="H136" s="147" t="s">
        <v>1055</v>
      </c>
      <c r="I136" s="379">
        <f t="shared" si="70"/>
        <v>87157461.44</v>
      </c>
      <c r="J136" s="380">
        <v>8.715746144E7</v>
      </c>
      <c r="K136" s="380"/>
      <c r="L136" s="380"/>
      <c r="M136" s="380"/>
      <c r="N136" s="380"/>
      <c r="O136" s="380"/>
      <c r="P136" s="380"/>
      <c r="Q136" s="380"/>
      <c r="R136" s="379">
        <v>1.949333342E7</v>
      </c>
      <c r="S136" s="380">
        <f t="shared" ref="S136:S137" si="71">R136-T136</f>
        <v>18305833.42</v>
      </c>
      <c r="T136" s="380">
        <v>1187500.0</v>
      </c>
      <c r="U136" s="380">
        <v>1671950.0</v>
      </c>
      <c r="V136" s="380"/>
      <c r="W136" s="380"/>
      <c r="X136" s="380"/>
      <c r="Y136" s="142" t="s">
        <v>1049</v>
      </c>
      <c r="Z136" s="142" t="s">
        <v>1050</v>
      </c>
    </row>
    <row r="137" ht="18.75" customHeight="1">
      <c r="A137" s="147" t="s">
        <v>446</v>
      </c>
      <c r="B137" s="142" t="s">
        <v>1056</v>
      </c>
      <c r="C137" s="149" t="s">
        <v>228</v>
      </c>
      <c r="D137" s="142" t="s">
        <v>1052</v>
      </c>
      <c r="E137" s="142" t="s">
        <v>1053</v>
      </c>
      <c r="F137" s="142" t="s">
        <v>1054</v>
      </c>
      <c r="G137" s="155" t="s">
        <v>322</v>
      </c>
      <c r="H137" s="147" t="s">
        <v>1055</v>
      </c>
      <c r="I137" s="379">
        <f t="shared" si="70"/>
        <v>110697761.4</v>
      </c>
      <c r="J137" s="380">
        <v>1.1069776137E8</v>
      </c>
      <c r="K137" s="380"/>
      <c r="L137" s="380"/>
      <c r="M137" s="380"/>
      <c r="N137" s="380"/>
      <c r="O137" s="380"/>
      <c r="P137" s="380"/>
      <c r="Q137" s="380"/>
      <c r="R137" s="379">
        <v>1.829543267E7</v>
      </c>
      <c r="S137" s="380">
        <f t="shared" si="71"/>
        <v>17107932.67</v>
      </c>
      <c r="T137" s="380">
        <v>1187500.0</v>
      </c>
      <c r="U137" s="380">
        <v>1271120.0</v>
      </c>
      <c r="V137" s="380"/>
      <c r="W137" s="380"/>
      <c r="X137" s="380"/>
      <c r="Y137" s="142" t="s">
        <v>1049</v>
      </c>
      <c r="Z137" s="142" t="s">
        <v>1050</v>
      </c>
    </row>
    <row r="138" ht="18.75" customHeight="1">
      <c r="A138" s="147" t="s">
        <v>497</v>
      </c>
      <c r="B138" s="142" t="s">
        <v>1060</v>
      </c>
      <c r="C138" s="149" t="s">
        <v>228</v>
      </c>
      <c r="D138" s="142" t="s">
        <v>1061</v>
      </c>
      <c r="E138" s="142" t="s">
        <v>1053</v>
      </c>
      <c r="F138" s="142" t="s">
        <v>1054</v>
      </c>
      <c r="G138" s="155" t="s">
        <v>296</v>
      </c>
      <c r="H138" s="147" t="s">
        <v>1062</v>
      </c>
      <c r="I138" s="379">
        <f t="shared" si="70"/>
        <v>5132903.05</v>
      </c>
      <c r="J138" s="380">
        <v>5132903.05</v>
      </c>
      <c r="K138" s="380"/>
      <c r="L138" s="380"/>
      <c r="M138" s="380"/>
      <c r="N138" s="380"/>
      <c r="O138" s="380"/>
      <c r="P138" s="380"/>
      <c r="Q138" s="380"/>
      <c r="R138" s="379">
        <f>SUM(S138:W138)</f>
        <v>3290328.25</v>
      </c>
      <c r="S138" s="380">
        <v>0.0</v>
      </c>
      <c r="T138" s="380">
        <v>0.0</v>
      </c>
      <c r="U138" s="380">
        <v>3290328.25</v>
      </c>
      <c r="V138" s="380"/>
      <c r="W138" s="380"/>
      <c r="X138" s="380"/>
      <c r="Y138" s="142" t="s">
        <v>1063</v>
      </c>
      <c r="Z138" s="142"/>
    </row>
    <row r="139" ht="18.75" customHeight="1">
      <c r="A139" s="147" t="s">
        <v>509</v>
      </c>
      <c r="B139" s="142" t="s">
        <v>1064</v>
      </c>
      <c r="C139" s="149" t="s">
        <v>228</v>
      </c>
      <c r="D139" s="142" t="s">
        <v>1066</v>
      </c>
      <c r="E139" s="142" t="s">
        <v>1067</v>
      </c>
      <c r="F139" s="142" t="s">
        <v>1068</v>
      </c>
      <c r="G139" s="155" t="s">
        <v>296</v>
      </c>
      <c r="H139" s="147" t="s">
        <v>1069</v>
      </c>
      <c r="I139" s="379">
        <f t="shared" si="70"/>
        <v>65974957.5</v>
      </c>
      <c r="J139" s="380">
        <v>6.59749575E7</v>
      </c>
      <c r="K139" s="380"/>
      <c r="L139" s="380"/>
      <c r="M139" s="380"/>
      <c r="N139" s="380"/>
      <c r="O139" s="380"/>
      <c r="P139" s="380"/>
      <c r="Q139" s="380"/>
      <c r="R139" s="379">
        <v>4.04563729E7</v>
      </c>
      <c r="S139" s="380">
        <f>R139-T139</f>
        <v>38313457.02</v>
      </c>
      <c r="T139" s="380">
        <v>2142915.88</v>
      </c>
      <c r="U139" s="380">
        <v>1061497.0</v>
      </c>
      <c r="V139" s="380"/>
      <c r="W139" s="380"/>
      <c r="X139" s="380"/>
      <c r="Y139" s="142" t="s">
        <v>1049</v>
      </c>
      <c r="Z139" s="142"/>
    </row>
    <row r="140" ht="18.75" customHeight="1">
      <c r="A140" s="147" t="s">
        <v>611</v>
      </c>
      <c r="B140" s="142" t="s">
        <v>1071</v>
      </c>
      <c r="C140" s="149" t="s">
        <v>228</v>
      </c>
      <c r="D140" s="142" t="s">
        <v>1066</v>
      </c>
      <c r="E140" s="142" t="s">
        <v>1067</v>
      </c>
      <c r="F140" s="142" t="s">
        <v>1068</v>
      </c>
      <c r="G140" s="155" t="s">
        <v>296</v>
      </c>
      <c r="H140" s="147" t="s">
        <v>1069</v>
      </c>
      <c r="I140" s="379">
        <f t="shared" si="70"/>
        <v>30376942.5</v>
      </c>
      <c r="J140" s="380">
        <v>3.03769425E7</v>
      </c>
      <c r="K140" s="380"/>
      <c r="L140" s="380"/>
      <c r="M140" s="380"/>
      <c r="N140" s="380"/>
      <c r="O140" s="380"/>
      <c r="P140" s="380"/>
      <c r="Q140" s="380"/>
      <c r="R140" s="379">
        <f t="shared" ref="R140:R141" si="72">SUM(S140:W140)</f>
        <v>18299813.2</v>
      </c>
      <c r="S140" s="380">
        <v>1.33214312E7</v>
      </c>
      <c r="T140" s="380">
        <v>0.0</v>
      </c>
      <c r="U140" s="380">
        <v>4978382.0</v>
      </c>
      <c r="V140" s="380"/>
      <c r="W140" s="380"/>
      <c r="X140" s="380"/>
      <c r="Y140" s="142" t="s">
        <v>1049</v>
      </c>
      <c r="Z140" s="142"/>
    </row>
    <row r="141" ht="18.75" customHeight="1">
      <c r="A141" s="147" t="s">
        <v>637</v>
      </c>
      <c r="B141" s="142" t="s">
        <v>1075</v>
      </c>
      <c r="C141" s="149" t="s">
        <v>228</v>
      </c>
      <c r="D141" s="142" t="s">
        <v>1076</v>
      </c>
      <c r="E141" s="142" t="s">
        <v>1067</v>
      </c>
      <c r="F141" s="142" t="s">
        <v>1068</v>
      </c>
      <c r="G141" s="155" t="s">
        <v>322</v>
      </c>
      <c r="H141" s="147" t="s">
        <v>1078</v>
      </c>
      <c r="I141" s="379">
        <f t="shared" si="70"/>
        <v>89020636.54</v>
      </c>
      <c r="J141" s="380">
        <v>8.902063654E7</v>
      </c>
      <c r="K141" s="380"/>
      <c r="L141" s="380"/>
      <c r="M141" s="380"/>
      <c r="N141" s="380"/>
      <c r="O141" s="380"/>
      <c r="P141" s="380"/>
      <c r="Q141" s="380"/>
      <c r="R141" s="379">
        <f t="shared" si="72"/>
        <v>55478997.23</v>
      </c>
      <c r="S141" s="380">
        <f>51999876.39-T141</f>
        <v>48929876.39</v>
      </c>
      <c r="T141" s="380">
        <v>3070000.0</v>
      </c>
      <c r="U141" s="380">
        <v>3479120.84</v>
      </c>
      <c r="V141" s="380"/>
      <c r="W141" s="380"/>
      <c r="X141" s="380"/>
      <c r="Y141" s="142" t="s">
        <v>1049</v>
      </c>
      <c r="Z141" s="142"/>
    </row>
    <row r="142" ht="18.75" customHeight="1">
      <c r="A142" s="147" t="s">
        <v>653</v>
      </c>
      <c r="B142" s="142" t="s">
        <v>1079</v>
      </c>
      <c r="C142" s="149" t="s">
        <v>228</v>
      </c>
      <c r="D142" s="142" t="s">
        <v>1080</v>
      </c>
      <c r="E142" s="142" t="s">
        <v>1081</v>
      </c>
      <c r="F142" s="142" t="s">
        <v>1082</v>
      </c>
      <c r="G142" s="155" t="s">
        <v>322</v>
      </c>
      <c r="H142" s="147" t="s">
        <v>1083</v>
      </c>
      <c r="I142" s="379">
        <f t="shared" si="70"/>
        <v>98643397.97</v>
      </c>
      <c r="J142" s="380">
        <v>9.864339797E7</v>
      </c>
      <c r="K142" s="380"/>
      <c r="L142" s="380"/>
      <c r="M142" s="380"/>
      <c r="N142" s="380"/>
      <c r="O142" s="380"/>
      <c r="P142" s="380"/>
      <c r="Q142" s="380"/>
      <c r="R142" s="379">
        <v>8.496106569E7</v>
      </c>
      <c r="S142" s="380">
        <f>R142-T142</f>
        <v>83020815.69</v>
      </c>
      <c r="T142" s="380">
        <v>1940250.0</v>
      </c>
      <c r="U142" s="380">
        <v>1865030.0</v>
      </c>
      <c r="V142" s="380"/>
      <c r="W142" s="380"/>
      <c r="X142" s="380"/>
      <c r="Y142" s="142" t="s">
        <v>1037</v>
      </c>
      <c r="Z142" s="142"/>
    </row>
    <row r="143" ht="18.75" customHeight="1">
      <c r="A143" s="147" t="s">
        <v>755</v>
      </c>
      <c r="B143" s="142" t="s">
        <v>1084</v>
      </c>
      <c r="C143" s="149" t="s">
        <v>228</v>
      </c>
      <c r="D143" s="142" t="s">
        <v>1085</v>
      </c>
      <c r="E143" s="142" t="s">
        <v>1086</v>
      </c>
      <c r="F143" s="142" t="s">
        <v>1082</v>
      </c>
      <c r="G143" s="155" t="s">
        <v>322</v>
      </c>
      <c r="H143" s="147" t="s">
        <v>1087</v>
      </c>
      <c r="I143" s="379">
        <f t="shared" si="70"/>
        <v>120899880.3</v>
      </c>
      <c r="J143" s="380">
        <v>1.208998803E8</v>
      </c>
      <c r="K143" s="380"/>
      <c r="L143" s="380"/>
      <c r="M143" s="380"/>
      <c r="N143" s="380"/>
      <c r="O143" s="380"/>
      <c r="P143" s="380"/>
      <c r="Q143" s="380"/>
      <c r="R143" s="379">
        <v>7.87520976E7</v>
      </c>
      <c r="S143" s="380">
        <f>78752097.6-T143</f>
        <v>76668402.6</v>
      </c>
      <c r="T143" s="380">
        <v>2083695.0</v>
      </c>
      <c r="U143" s="380">
        <v>2132645.0</v>
      </c>
      <c r="V143" s="380"/>
      <c r="W143" s="380"/>
      <c r="X143" s="380"/>
      <c r="Y143" s="142" t="s">
        <v>1037</v>
      </c>
      <c r="Z143" s="142"/>
    </row>
    <row r="144" ht="18.75" customHeight="1">
      <c r="A144" s="147" t="s">
        <v>774</v>
      </c>
      <c r="B144" s="142" t="s">
        <v>1088</v>
      </c>
      <c r="C144" s="149" t="s">
        <v>228</v>
      </c>
      <c r="D144" s="142" t="s">
        <v>1089</v>
      </c>
      <c r="E144" s="142" t="s">
        <v>1090</v>
      </c>
      <c r="F144" s="142" t="s">
        <v>1091</v>
      </c>
      <c r="G144" s="155" t="s">
        <v>296</v>
      </c>
      <c r="H144" s="147" t="s">
        <v>1092</v>
      </c>
      <c r="I144" s="379">
        <f t="shared" si="70"/>
        <v>9999069.8</v>
      </c>
      <c r="J144" s="380">
        <v>9999069.8</v>
      </c>
      <c r="K144" s="380"/>
      <c r="L144" s="380"/>
      <c r="M144" s="380"/>
      <c r="N144" s="380"/>
      <c r="O144" s="380"/>
      <c r="P144" s="380"/>
      <c r="Q144" s="380"/>
      <c r="R144" s="379">
        <v>2956986.0</v>
      </c>
      <c r="S144" s="380">
        <v>2956986.0</v>
      </c>
      <c r="T144" s="380">
        <v>0.0</v>
      </c>
      <c r="U144" s="380"/>
      <c r="V144" s="380"/>
      <c r="W144" s="380"/>
      <c r="X144" s="380"/>
      <c r="Y144" s="142" t="s">
        <v>1037</v>
      </c>
      <c r="Z144" s="142" t="s">
        <v>1050</v>
      </c>
    </row>
    <row r="145" ht="18.75" customHeight="1">
      <c r="A145" s="147" t="s">
        <v>787</v>
      </c>
      <c r="B145" s="142" t="s">
        <v>1093</v>
      </c>
      <c r="C145" s="149" t="s">
        <v>228</v>
      </c>
      <c r="D145" s="149" t="s">
        <v>1094</v>
      </c>
      <c r="E145" s="142" t="s">
        <v>84</v>
      </c>
      <c r="F145" s="142" t="s">
        <v>1095</v>
      </c>
      <c r="G145" s="155" t="s">
        <v>1096</v>
      </c>
      <c r="H145" s="149" t="s">
        <v>1097</v>
      </c>
      <c r="I145" s="414">
        <f t="shared" si="70"/>
        <v>52774606.28</v>
      </c>
      <c r="J145" s="415">
        <v>5.277460628E7</v>
      </c>
      <c r="K145" s="415"/>
      <c r="L145" s="415"/>
      <c r="M145" s="415"/>
      <c r="N145" s="415"/>
      <c r="O145" s="415"/>
      <c r="P145" s="415"/>
      <c r="Q145" s="415"/>
      <c r="R145" s="414">
        <v>0.0</v>
      </c>
      <c r="S145" s="415">
        <v>0.0</v>
      </c>
      <c r="T145" s="415">
        <v>4200000.0</v>
      </c>
      <c r="U145" s="415"/>
      <c r="V145" s="415"/>
      <c r="W145" s="415"/>
      <c r="X145" s="415"/>
      <c r="Y145" s="142" t="s">
        <v>1100</v>
      </c>
      <c r="Z145" s="84"/>
    </row>
    <row r="146" ht="18.75" customHeight="1">
      <c r="A146" s="147" t="s">
        <v>804</v>
      </c>
      <c r="B146" s="142" t="s">
        <v>1101</v>
      </c>
      <c r="C146" s="149" t="s">
        <v>228</v>
      </c>
      <c r="D146" s="142" t="s">
        <v>1102</v>
      </c>
      <c r="E146" s="142" t="s">
        <v>1103</v>
      </c>
      <c r="F146" s="142" t="s">
        <v>1104</v>
      </c>
      <c r="G146" s="155" t="s">
        <v>322</v>
      </c>
      <c r="H146" s="149" t="s">
        <v>1105</v>
      </c>
      <c r="I146" s="414">
        <f t="shared" si="70"/>
        <v>3062030</v>
      </c>
      <c r="J146" s="415">
        <v>3062030.0</v>
      </c>
      <c r="K146" s="415"/>
      <c r="L146" s="415"/>
      <c r="M146" s="415"/>
      <c r="N146" s="415"/>
      <c r="O146" s="415"/>
      <c r="P146" s="415"/>
      <c r="Q146" s="415"/>
      <c r="R146" s="414">
        <v>0.0</v>
      </c>
      <c r="S146" s="415">
        <v>0.0</v>
      </c>
      <c r="T146" s="415"/>
      <c r="U146" s="415"/>
      <c r="V146" s="415"/>
      <c r="W146" s="415"/>
      <c r="X146" s="415"/>
      <c r="Y146" s="142" t="s">
        <v>448</v>
      </c>
      <c r="Z146" s="84"/>
    </row>
    <row r="147" ht="18.75" customHeight="1">
      <c r="A147" s="147" t="s">
        <v>825</v>
      </c>
      <c r="B147" s="142" t="s">
        <v>1106</v>
      </c>
      <c r="C147" s="149" t="s">
        <v>228</v>
      </c>
      <c r="D147" s="142" t="s">
        <v>1107</v>
      </c>
      <c r="E147" s="142" t="s">
        <v>1108</v>
      </c>
      <c r="F147" s="142" t="s">
        <v>1109</v>
      </c>
      <c r="G147" s="155" t="s">
        <v>1110</v>
      </c>
      <c r="H147" s="149" t="s">
        <v>1111</v>
      </c>
      <c r="I147" s="414">
        <v>1697548.98</v>
      </c>
      <c r="J147" s="415"/>
      <c r="K147" s="415"/>
      <c r="L147" s="415"/>
      <c r="M147" s="415"/>
      <c r="N147" s="415"/>
      <c r="O147" s="415"/>
      <c r="P147" s="415"/>
      <c r="Q147" s="415"/>
      <c r="R147" s="414">
        <v>0.0</v>
      </c>
      <c r="S147" s="415">
        <v>0.0</v>
      </c>
      <c r="T147" s="415"/>
      <c r="U147" s="415"/>
      <c r="V147" s="415"/>
      <c r="W147" s="415"/>
      <c r="X147" s="415"/>
      <c r="Y147" s="142" t="s">
        <v>1112</v>
      </c>
      <c r="Z147" s="84"/>
    </row>
    <row r="148" ht="18.75" customHeight="1">
      <c r="A148" s="420"/>
      <c r="B148" s="421"/>
      <c r="C148" s="421"/>
      <c r="D148" s="421"/>
      <c r="E148" s="421"/>
      <c r="F148" s="421"/>
      <c r="G148" s="421"/>
      <c r="H148" s="269"/>
      <c r="I148" s="269"/>
      <c r="J148" s="423"/>
      <c r="K148" s="423"/>
      <c r="L148" s="423"/>
      <c r="M148" s="423"/>
      <c r="N148" s="423"/>
      <c r="O148" s="423"/>
      <c r="P148" s="423"/>
      <c r="Q148" s="423"/>
      <c r="R148" s="269"/>
      <c r="S148" s="423"/>
      <c r="T148" s="423"/>
      <c r="U148" s="423"/>
      <c r="V148" s="423"/>
      <c r="W148" s="423"/>
      <c r="X148" s="423"/>
      <c r="Y148" s="269"/>
      <c r="Z148" s="269"/>
    </row>
    <row r="149" ht="18.75" customHeight="1">
      <c r="A149" s="420"/>
      <c r="B149" s="421"/>
      <c r="C149" s="421"/>
      <c r="D149" s="421"/>
      <c r="E149" s="421"/>
      <c r="F149" s="421"/>
      <c r="G149" s="421"/>
      <c r="H149" s="269"/>
      <c r="I149" s="269"/>
      <c r="J149" s="423"/>
      <c r="K149" s="423"/>
      <c r="L149" s="423"/>
      <c r="M149" s="423"/>
      <c r="N149" s="423"/>
      <c r="O149" s="423"/>
      <c r="P149" s="423"/>
      <c r="Q149" s="423"/>
      <c r="R149" s="269"/>
      <c r="S149" s="423"/>
      <c r="T149" s="423"/>
      <c r="U149" s="423"/>
      <c r="V149" s="423"/>
      <c r="W149" s="423"/>
      <c r="X149" s="423"/>
      <c r="Y149" s="269"/>
      <c r="Z149" s="269"/>
    </row>
    <row r="150" ht="18.75" customHeight="1">
      <c r="A150" s="420"/>
      <c r="B150" s="421"/>
      <c r="C150" s="421"/>
      <c r="D150" s="421"/>
      <c r="E150" s="421"/>
      <c r="F150" s="421"/>
      <c r="G150" s="421"/>
      <c r="H150" s="269"/>
      <c r="I150" s="269"/>
      <c r="J150" s="423"/>
      <c r="K150" s="423"/>
      <c r="L150" s="423"/>
      <c r="M150" s="423"/>
      <c r="N150" s="423"/>
      <c r="O150" s="423"/>
      <c r="P150" s="423"/>
      <c r="Q150" s="423"/>
      <c r="R150" s="269"/>
      <c r="S150" s="423"/>
      <c r="T150" s="423"/>
      <c r="U150" s="423"/>
      <c r="V150" s="423"/>
      <c r="W150" s="423"/>
      <c r="X150" s="423"/>
      <c r="Y150" s="269"/>
      <c r="Z150" s="269"/>
    </row>
    <row r="151" ht="18.75" customHeight="1">
      <c r="A151" s="420"/>
      <c r="B151" s="421"/>
      <c r="C151" s="421"/>
      <c r="D151" s="421"/>
      <c r="E151" s="421"/>
      <c r="F151" s="421"/>
      <c r="G151" s="421"/>
      <c r="H151" s="269"/>
      <c r="I151" s="269"/>
      <c r="J151" s="423"/>
      <c r="K151" s="423"/>
      <c r="L151" s="423"/>
      <c r="M151" s="423"/>
      <c r="N151" s="423"/>
      <c r="O151" s="423"/>
      <c r="P151" s="423"/>
      <c r="Q151" s="423"/>
      <c r="R151" s="269"/>
      <c r="S151" s="423"/>
      <c r="T151" s="423"/>
      <c r="U151" s="423"/>
      <c r="V151" s="423"/>
      <c r="W151" s="423"/>
      <c r="X151" s="423"/>
      <c r="Y151" s="269"/>
      <c r="Z151" s="269"/>
    </row>
    <row r="152" ht="18.75" customHeight="1">
      <c r="A152" s="420"/>
      <c r="B152" s="421"/>
      <c r="C152" s="421"/>
      <c r="D152" s="421"/>
      <c r="E152" s="421"/>
      <c r="F152" s="421"/>
      <c r="G152" s="421"/>
      <c r="H152" s="269"/>
      <c r="I152" s="269"/>
      <c r="J152" s="423"/>
      <c r="K152" s="423"/>
      <c r="L152" s="423"/>
      <c r="M152" s="423"/>
      <c r="N152" s="423"/>
      <c r="O152" s="423"/>
      <c r="P152" s="423"/>
      <c r="Q152" s="423"/>
      <c r="R152" s="269"/>
      <c r="S152" s="423"/>
      <c r="T152" s="423"/>
      <c r="U152" s="423"/>
      <c r="V152" s="423"/>
      <c r="W152" s="423"/>
      <c r="X152" s="423"/>
      <c r="Y152" s="269"/>
      <c r="Z152" s="269"/>
    </row>
    <row r="153" ht="18.75" customHeight="1">
      <c r="A153" s="420"/>
      <c r="B153" s="421"/>
      <c r="C153" s="421"/>
      <c r="D153" s="421"/>
      <c r="E153" s="421"/>
      <c r="F153" s="421"/>
      <c r="G153" s="421"/>
      <c r="H153" s="269"/>
      <c r="I153" s="269"/>
      <c r="J153" s="423"/>
      <c r="K153" s="423"/>
      <c r="L153" s="423"/>
      <c r="M153" s="423"/>
      <c r="N153" s="423"/>
      <c r="O153" s="423"/>
      <c r="P153" s="423"/>
      <c r="Q153" s="423"/>
      <c r="R153" s="269"/>
      <c r="S153" s="423"/>
      <c r="T153" s="423"/>
      <c r="U153" s="423"/>
      <c r="V153" s="423"/>
      <c r="W153" s="423"/>
      <c r="X153" s="423"/>
      <c r="Y153" s="269"/>
      <c r="Z153" s="269"/>
    </row>
    <row r="154" ht="18.75" customHeight="1">
      <c r="A154" s="420"/>
      <c r="B154" s="421"/>
      <c r="C154" s="421"/>
      <c r="D154" s="421"/>
      <c r="E154" s="421"/>
      <c r="F154" s="421"/>
      <c r="G154" s="421"/>
      <c r="H154" s="269"/>
      <c r="I154" s="269"/>
      <c r="J154" s="423"/>
      <c r="K154" s="423"/>
      <c r="L154" s="423"/>
      <c r="M154" s="423"/>
      <c r="N154" s="423"/>
      <c r="O154" s="423"/>
      <c r="P154" s="423"/>
      <c r="Q154" s="423"/>
      <c r="R154" s="269"/>
      <c r="S154" s="423"/>
      <c r="T154" s="423"/>
      <c r="U154" s="423"/>
      <c r="V154" s="423"/>
      <c r="W154" s="423"/>
      <c r="X154" s="423"/>
      <c r="Y154" s="269"/>
      <c r="Z154" s="269"/>
    </row>
    <row r="155" ht="18.75" customHeight="1">
      <c r="A155" s="420"/>
      <c r="B155" s="421"/>
      <c r="C155" s="421"/>
      <c r="D155" s="421"/>
      <c r="E155" s="421"/>
      <c r="F155" s="421"/>
      <c r="G155" s="421"/>
      <c r="H155" s="269"/>
      <c r="I155" s="269"/>
      <c r="J155" s="423"/>
      <c r="K155" s="423"/>
      <c r="L155" s="423"/>
      <c r="M155" s="423"/>
      <c r="N155" s="423"/>
      <c r="O155" s="423"/>
      <c r="P155" s="423"/>
      <c r="Q155" s="423"/>
      <c r="R155" s="269"/>
      <c r="S155" s="423"/>
      <c r="T155" s="423"/>
      <c r="U155" s="423"/>
      <c r="V155" s="423"/>
      <c r="W155" s="423"/>
      <c r="X155" s="423"/>
      <c r="Y155" s="269"/>
      <c r="Z155" s="269"/>
    </row>
    <row r="156" ht="18.75" customHeight="1">
      <c r="A156" s="420"/>
      <c r="B156" s="421"/>
      <c r="C156" s="421"/>
      <c r="D156" s="421"/>
      <c r="E156" s="421"/>
      <c r="F156" s="421"/>
      <c r="G156" s="421"/>
      <c r="H156" s="269"/>
      <c r="I156" s="269"/>
      <c r="J156" s="423"/>
      <c r="K156" s="423"/>
      <c r="L156" s="423"/>
      <c r="M156" s="423"/>
      <c r="N156" s="423"/>
      <c r="O156" s="423"/>
      <c r="P156" s="423"/>
      <c r="Q156" s="423"/>
      <c r="R156" s="269"/>
      <c r="S156" s="423"/>
      <c r="T156" s="423"/>
      <c r="U156" s="423"/>
      <c r="V156" s="423"/>
      <c r="W156" s="423"/>
      <c r="X156" s="423"/>
      <c r="Y156" s="269"/>
      <c r="Z156" s="269"/>
    </row>
    <row r="157" ht="18.75" customHeight="1">
      <c r="A157" s="420"/>
      <c r="B157" s="421"/>
      <c r="C157" s="421"/>
      <c r="D157" s="421"/>
      <c r="E157" s="421"/>
      <c r="F157" s="421"/>
      <c r="G157" s="421"/>
      <c r="H157" s="269"/>
      <c r="I157" s="269"/>
      <c r="J157" s="423"/>
      <c r="K157" s="423"/>
      <c r="L157" s="423"/>
      <c r="M157" s="423"/>
      <c r="N157" s="423"/>
      <c r="O157" s="423"/>
      <c r="P157" s="423"/>
      <c r="Q157" s="423"/>
      <c r="R157" s="424"/>
      <c r="S157" s="423"/>
      <c r="T157" s="423"/>
      <c r="U157" s="423"/>
      <c r="V157" s="423"/>
      <c r="W157" s="423"/>
      <c r="X157" s="423"/>
      <c r="Y157" s="269"/>
      <c r="Z157" s="269"/>
    </row>
    <row r="158" ht="18.75" customHeight="1">
      <c r="A158" s="420"/>
      <c r="B158" s="421"/>
      <c r="C158" s="421"/>
      <c r="D158" s="421"/>
      <c r="E158" s="421"/>
      <c r="F158" s="421"/>
      <c r="G158" s="421"/>
      <c r="H158" s="269"/>
      <c r="I158" s="269"/>
      <c r="J158" s="423"/>
      <c r="K158" s="423"/>
      <c r="L158" s="423"/>
      <c r="M158" s="423"/>
      <c r="N158" s="423"/>
      <c r="O158" s="423"/>
      <c r="P158" s="423"/>
      <c r="Q158" s="423"/>
      <c r="R158" s="269"/>
      <c r="S158" s="423"/>
      <c r="T158" s="423"/>
      <c r="U158" s="423"/>
      <c r="V158" s="423"/>
      <c r="W158" s="423"/>
      <c r="X158" s="423"/>
      <c r="Y158" s="269"/>
      <c r="Z158" s="269"/>
    </row>
    <row r="159" ht="18.75" customHeight="1">
      <c r="A159" s="420"/>
      <c r="B159" s="421"/>
      <c r="C159" s="421"/>
      <c r="D159" s="421"/>
      <c r="E159" s="421"/>
      <c r="F159" s="421"/>
      <c r="G159" s="421"/>
      <c r="H159" s="269"/>
      <c r="I159" s="269"/>
      <c r="J159" s="423"/>
      <c r="K159" s="423"/>
      <c r="L159" s="423"/>
      <c r="M159" s="423"/>
      <c r="N159" s="423"/>
      <c r="O159" s="423"/>
      <c r="P159" s="423"/>
      <c r="Q159" s="423"/>
      <c r="R159" s="269"/>
      <c r="S159" s="423"/>
      <c r="T159" s="423"/>
      <c r="U159" s="423"/>
      <c r="V159" s="423"/>
      <c r="W159" s="423"/>
      <c r="X159" s="423"/>
      <c r="Y159" s="269"/>
      <c r="Z159" s="269"/>
    </row>
    <row r="160" ht="18.75" customHeight="1">
      <c r="A160" s="420"/>
      <c r="B160" s="421"/>
      <c r="C160" s="421"/>
      <c r="D160" s="421"/>
      <c r="E160" s="421"/>
      <c r="F160" s="421"/>
      <c r="G160" s="421"/>
      <c r="H160" s="269"/>
      <c r="I160" s="269"/>
      <c r="J160" s="423"/>
      <c r="K160" s="423"/>
      <c r="L160" s="423"/>
      <c r="M160" s="423"/>
      <c r="N160" s="423"/>
      <c r="O160" s="423"/>
      <c r="P160" s="423"/>
      <c r="Q160" s="423"/>
      <c r="R160" s="269"/>
      <c r="S160" s="423"/>
      <c r="T160" s="423"/>
      <c r="U160" s="423"/>
      <c r="V160" s="423"/>
      <c r="W160" s="423"/>
      <c r="X160" s="423"/>
      <c r="Y160" s="269"/>
      <c r="Z160" s="269"/>
    </row>
    <row r="161" ht="18.75" customHeight="1">
      <c r="A161" s="420"/>
      <c r="B161" s="421"/>
      <c r="C161" s="421"/>
      <c r="D161" s="421"/>
      <c r="E161" s="421"/>
      <c r="F161" s="421"/>
      <c r="G161" s="421"/>
      <c r="H161" s="269"/>
      <c r="I161" s="269"/>
      <c r="J161" s="423"/>
      <c r="K161" s="423"/>
      <c r="L161" s="423"/>
      <c r="M161" s="423"/>
      <c r="N161" s="423"/>
      <c r="O161" s="423"/>
      <c r="P161" s="423"/>
      <c r="Q161" s="423"/>
      <c r="R161" s="269"/>
      <c r="S161" s="423"/>
      <c r="T161" s="423"/>
      <c r="U161" s="423"/>
      <c r="V161" s="423"/>
      <c r="W161" s="423"/>
      <c r="X161" s="423"/>
      <c r="Y161" s="269"/>
      <c r="Z161" s="269"/>
    </row>
    <row r="162" ht="18.75" customHeight="1">
      <c r="A162" s="420"/>
      <c r="B162" s="421"/>
      <c r="C162" s="421"/>
      <c r="D162" s="421"/>
      <c r="E162" s="421"/>
      <c r="F162" s="421"/>
      <c r="G162" s="421"/>
      <c r="H162" s="269"/>
      <c r="I162" s="269"/>
      <c r="J162" s="423"/>
      <c r="K162" s="423"/>
      <c r="L162" s="423"/>
      <c r="M162" s="423"/>
      <c r="N162" s="423"/>
      <c r="O162" s="423"/>
      <c r="P162" s="423"/>
      <c r="Q162" s="423"/>
      <c r="R162" s="269"/>
      <c r="S162" s="423"/>
      <c r="T162" s="423"/>
      <c r="U162" s="423"/>
      <c r="V162" s="423"/>
      <c r="W162" s="423"/>
      <c r="X162" s="423"/>
      <c r="Y162" s="269"/>
      <c r="Z162" s="269"/>
    </row>
    <row r="163" ht="18.75" customHeight="1">
      <c r="A163" s="420"/>
      <c r="B163" s="421"/>
      <c r="C163" s="421"/>
      <c r="D163" s="421"/>
      <c r="E163" s="421"/>
      <c r="F163" s="421"/>
      <c r="G163" s="421"/>
      <c r="H163" s="269"/>
      <c r="I163" s="269"/>
      <c r="J163" s="423"/>
      <c r="K163" s="423"/>
      <c r="L163" s="423"/>
      <c r="M163" s="423"/>
      <c r="N163" s="423"/>
      <c r="O163" s="423"/>
      <c r="P163" s="423"/>
      <c r="Q163" s="423"/>
      <c r="R163" s="269"/>
      <c r="S163" s="423"/>
      <c r="T163" s="423"/>
      <c r="U163" s="423"/>
      <c r="V163" s="423"/>
      <c r="W163" s="423"/>
      <c r="X163" s="423"/>
      <c r="Y163" s="269"/>
      <c r="Z163" s="269"/>
    </row>
    <row r="164" ht="18.75" customHeight="1">
      <c r="A164" s="420"/>
      <c r="B164" s="421"/>
      <c r="C164" s="421"/>
      <c r="D164" s="421"/>
      <c r="E164" s="421"/>
      <c r="F164" s="421"/>
      <c r="G164" s="421"/>
      <c r="H164" s="269"/>
      <c r="I164" s="269"/>
      <c r="J164" s="423"/>
      <c r="K164" s="423"/>
      <c r="L164" s="423"/>
      <c r="M164" s="423"/>
      <c r="N164" s="423"/>
      <c r="O164" s="423"/>
      <c r="P164" s="423"/>
      <c r="Q164" s="423"/>
      <c r="R164" s="269"/>
      <c r="S164" s="423"/>
      <c r="T164" s="423"/>
      <c r="U164" s="423"/>
      <c r="V164" s="423"/>
      <c r="W164" s="423"/>
      <c r="X164" s="423"/>
      <c r="Y164" s="269"/>
      <c r="Z164" s="269"/>
    </row>
    <row r="165" ht="18.75" customHeight="1">
      <c r="A165" s="420"/>
      <c r="B165" s="421"/>
      <c r="C165" s="421"/>
      <c r="D165" s="421"/>
      <c r="E165" s="421"/>
      <c r="F165" s="421"/>
      <c r="G165" s="421"/>
      <c r="H165" s="269"/>
      <c r="I165" s="269"/>
      <c r="J165" s="423"/>
      <c r="K165" s="423"/>
      <c r="L165" s="423"/>
      <c r="M165" s="423"/>
      <c r="N165" s="423"/>
      <c r="O165" s="423"/>
      <c r="P165" s="423"/>
      <c r="Q165" s="423"/>
      <c r="R165" s="269"/>
      <c r="S165" s="423"/>
      <c r="T165" s="423"/>
      <c r="U165" s="423"/>
      <c r="V165" s="423"/>
      <c r="W165" s="423"/>
      <c r="X165" s="423"/>
      <c r="Y165" s="269"/>
      <c r="Z165" s="269"/>
    </row>
    <row r="166" ht="18.75" customHeight="1">
      <c r="A166" s="420"/>
      <c r="B166" s="421"/>
      <c r="C166" s="421"/>
      <c r="D166" s="421"/>
      <c r="E166" s="421"/>
      <c r="F166" s="421"/>
      <c r="G166" s="421"/>
      <c r="H166" s="269"/>
      <c r="I166" s="269"/>
      <c r="J166" s="423"/>
      <c r="K166" s="423"/>
      <c r="L166" s="423"/>
      <c r="M166" s="423"/>
      <c r="N166" s="423"/>
      <c r="O166" s="423"/>
      <c r="P166" s="423"/>
      <c r="Q166" s="423"/>
      <c r="R166" s="269"/>
      <c r="S166" s="423"/>
      <c r="T166" s="423"/>
      <c r="U166" s="423"/>
      <c r="V166" s="423"/>
      <c r="W166" s="423"/>
      <c r="X166" s="423"/>
      <c r="Y166" s="269"/>
      <c r="Z166" s="269"/>
    </row>
    <row r="167" ht="18.75" customHeight="1">
      <c r="A167" s="420"/>
      <c r="B167" s="421"/>
      <c r="C167" s="421"/>
      <c r="D167" s="421"/>
      <c r="E167" s="421"/>
      <c r="F167" s="421"/>
      <c r="G167" s="421"/>
      <c r="H167" s="269"/>
      <c r="I167" s="269"/>
      <c r="J167" s="423"/>
      <c r="K167" s="423"/>
      <c r="L167" s="423"/>
      <c r="M167" s="423"/>
      <c r="N167" s="423"/>
      <c r="O167" s="423"/>
      <c r="P167" s="423"/>
      <c r="Q167" s="423"/>
      <c r="R167" s="269"/>
      <c r="S167" s="423"/>
      <c r="T167" s="423"/>
      <c r="U167" s="423"/>
      <c r="V167" s="423"/>
      <c r="W167" s="423"/>
      <c r="X167" s="423"/>
      <c r="Y167" s="269"/>
      <c r="Z167" s="269"/>
    </row>
    <row r="168" ht="18.75" customHeight="1">
      <c r="A168" s="420"/>
      <c r="B168" s="421"/>
      <c r="C168" s="421"/>
      <c r="D168" s="421"/>
      <c r="E168" s="421"/>
      <c r="F168" s="421"/>
      <c r="G168" s="421"/>
      <c r="H168" s="269"/>
      <c r="I168" s="269"/>
      <c r="J168" s="423"/>
      <c r="K168" s="423"/>
      <c r="L168" s="423"/>
      <c r="M168" s="423"/>
      <c r="N168" s="423"/>
      <c r="O168" s="423"/>
      <c r="P168" s="423"/>
      <c r="Q168" s="423"/>
      <c r="R168" s="269"/>
      <c r="S168" s="423"/>
      <c r="T168" s="423"/>
      <c r="U168" s="423"/>
      <c r="V168" s="423"/>
      <c r="W168" s="423"/>
      <c r="X168" s="423"/>
      <c r="Y168" s="269"/>
      <c r="Z168" s="269"/>
    </row>
    <row r="169" ht="18.75" customHeight="1">
      <c r="A169" s="420"/>
      <c r="B169" s="421"/>
      <c r="C169" s="421"/>
      <c r="D169" s="421"/>
      <c r="E169" s="421"/>
      <c r="F169" s="421"/>
      <c r="G169" s="421"/>
      <c r="H169" s="269"/>
      <c r="I169" s="269"/>
      <c r="J169" s="423"/>
      <c r="K169" s="423"/>
      <c r="L169" s="423"/>
      <c r="M169" s="423"/>
      <c r="N169" s="423"/>
      <c r="O169" s="423"/>
      <c r="P169" s="423"/>
      <c r="Q169" s="423"/>
      <c r="R169" s="269"/>
      <c r="S169" s="423"/>
      <c r="T169" s="423"/>
      <c r="U169" s="423"/>
      <c r="V169" s="423"/>
      <c r="W169" s="423"/>
      <c r="X169" s="423"/>
      <c r="Y169" s="269"/>
      <c r="Z169" s="269"/>
    </row>
    <row r="170" ht="18.75" customHeight="1">
      <c r="A170" s="420"/>
      <c r="B170" s="421"/>
      <c r="C170" s="421"/>
      <c r="D170" s="421"/>
      <c r="E170" s="421"/>
      <c r="F170" s="421"/>
      <c r="G170" s="421"/>
      <c r="H170" s="269"/>
      <c r="I170" s="269"/>
      <c r="J170" s="423"/>
      <c r="K170" s="423"/>
      <c r="L170" s="423"/>
      <c r="M170" s="423"/>
      <c r="N170" s="423"/>
      <c r="O170" s="423"/>
      <c r="P170" s="423"/>
      <c r="Q170" s="423"/>
      <c r="R170" s="269"/>
      <c r="S170" s="423"/>
      <c r="T170" s="423"/>
      <c r="U170" s="423"/>
      <c r="V170" s="423"/>
      <c r="W170" s="423"/>
      <c r="X170" s="423"/>
      <c r="Y170" s="269"/>
      <c r="Z170" s="269"/>
    </row>
    <row r="171" ht="18.75" customHeight="1">
      <c r="A171" s="420"/>
      <c r="B171" s="421"/>
      <c r="C171" s="421"/>
      <c r="D171" s="421"/>
      <c r="E171" s="421"/>
      <c r="F171" s="421"/>
      <c r="G171" s="421"/>
      <c r="H171" s="269"/>
      <c r="I171" s="269"/>
      <c r="J171" s="423"/>
      <c r="K171" s="423"/>
      <c r="L171" s="423"/>
      <c r="M171" s="423"/>
      <c r="N171" s="423"/>
      <c r="O171" s="423"/>
      <c r="P171" s="423"/>
      <c r="Q171" s="423"/>
      <c r="R171" s="269"/>
      <c r="S171" s="423"/>
      <c r="T171" s="423"/>
      <c r="U171" s="423"/>
      <c r="V171" s="423"/>
      <c r="W171" s="423"/>
      <c r="X171" s="423"/>
      <c r="Y171" s="269"/>
      <c r="Z171" s="269"/>
    </row>
    <row r="172" ht="18.75" customHeight="1">
      <c r="A172" s="420"/>
      <c r="B172" s="421"/>
      <c r="C172" s="421"/>
      <c r="D172" s="421"/>
      <c r="E172" s="421"/>
      <c r="F172" s="421"/>
      <c r="G172" s="421"/>
      <c r="H172" s="269"/>
      <c r="I172" s="269"/>
      <c r="J172" s="423"/>
      <c r="K172" s="423"/>
      <c r="L172" s="423"/>
      <c r="M172" s="423"/>
      <c r="N172" s="423"/>
      <c r="O172" s="423"/>
      <c r="P172" s="423"/>
      <c r="Q172" s="423"/>
      <c r="R172" s="269"/>
      <c r="S172" s="423"/>
      <c r="T172" s="423"/>
      <c r="U172" s="423"/>
      <c r="V172" s="423"/>
      <c r="W172" s="423"/>
      <c r="X172" s="423"/>
      <c r="Y172" s="269"/>
      <c r="Z172" s="269"/>
    </row>
    <row r="173" ht="18.75" customHeight="1">
      <c r="A173" s="420"/>
      <c r="B173" s="421"/>
      <c r="C173" s="421"/>
      <c r="D173" s="421"/>
      <c r="E173" s="421"/>
      <c r="F173" s="421"/>
      <c r="G173" s="421"/>
      <c r="H173" s="269"/>
      <c r="I173" s="269"/>
      <c r="J173" s="423"/>
      <c r="K173" s="423"/>
      <c r="L173" s="423"/>
      <c r="M173" s="423"/>
      <c r="N173" s="423"/>
      <c r="O173" s="423"/>
      <c r="P173" s="423"/>
      <c r="Q173" s="423"/>
      <c r="R173" s="269"/>
      <c r="S173" s="423"/>
      <c r="T173" s="423"/>
      <c r="U173" s="423"/>
      <c r="V173" s="423"/>
      <c r="W173" s="423"/>
      <c r="X173" s="423"/>
      <c r="Y173" s="269"/>
      <c r="Z173" s="269"/>
    </row>
    <row r="174" ht="18.75" customHeight="1">
      <c r="A174" s="420"/>
      <c r="B174" s="421"/>
      <c r="C174" s="421"/>
      <c r="D174" s="421"/>
      <c r="E174" s="421"/>
      <c r="F174" s="421"/>
      <c r="G174" s="421"/>
      <c r="H174" s="269"/>
      <c r="I174" s="269"/>
      <c r="J174" s="423"/>
      <c r="K174" s="423"/>
      <c r="L174" s="423"/>
      <c r="M174" s="423"/>
      <c r="N174" s="423"/>
      <c r="O174" s="423"/>
      <c r="P174" s="423"/>
      <c r="Q174" s="423"/>
      <c r="R174" s="269"/>
      <c r="S174" s="423"/>
      <c r="T174" s="423"/>
      <c r="U174" s="423"/>
      <c r="V174" s="423"/>
      <c r="W174" s="423"/>
      <c r="X174" s="423"/>
      <c r="Y174" s="269"/>
      <c r="Z174" s="269"/>
    </row>
    <row r="175" ht="18.75" customHeight="1">
      <c r="A175" s="420"/>
      <c r="B175" s="421"/>
      <c r="C175" s="421"/>
      <c r="D175" s="421"/>
      <c r="E175" s="421"/>
      <c r="F175" s="421"/>
      <c r="G175" s="421"/>
      <c r="H175" s="269"/>
      <c r="I175" s="269"/>
      <c r="J175" s="423"/>
      <c r="K175" s="423"/>
      <c r="L175" s="423"/>
      <c r="M175" s="423"/>
      <c r="N175" s="423"/>
      <c r="O175" s="423"/>
      <c r="P175" s="423"/>
      <c r="Q175" s="423"/>
      <c r="R175" s="269"/>
      <c r="S175" s="423"/>
      <c r="T175" s="423"/>
      <c r="U175" s="423"/>
      <c r="V175" s="423"/>
      <c r="W175" s="423"/>
      <c r="X175" s="423"/>
      <c r="Y175" s="269"/>
      <c r="Z175" s="269"/>
    </row>
    <row r="176" ht="18.75" customHeight="1">
      <c r="A176" s="420"/>
      <c r="B176" s="421"/>
      <c r="C176" s="421"/>
      <c r="D176" s="421"/>
      <c r="E176" s="421"/>
      <c r="F176" s="421"/>
      <c r="G176" s="421"/>
      <c r="H176" s="269"/>
      <c r="I176" s="269"/>
      <c r="J176" s="423"/>
      <c r="K176" s="423"/>
      <c r="L176" s="423"/>
      <c r="M176" s="423"/>
      <c r="N176" s="423"/>
      <c r="O176" s="423"/>
      <c r="P176" s="423"/>
      <c r="Q176" s="423"/>
      <c r="R176" s="269"/>
      <c r="S176" s="423"/>
      <c r="T176" s="423"/>
      <c r="U176" s="423"/>
      <c r="V176" s="423"/>
      <c r="W176" s="423"/>
      <c r="X176" s="423"/>
      <c r="Y176" s="269"/>
      <c r="Z176" s="269"/>
    </row>
    <row r="177" ht="18.75" customHeight="1">
      <c r="A177" s="420"/>
      <c r="B177" s="421"/>
      <c r="C177" s="421"/>
      <c r="D177" s="421"/>
      <c r="E177" s="421"/>
      <c r="F177" s="421"/>
      <c r="G177" s="421"/>
      <c r="H177" s="269"/>
      <c r="I177" s="269"/>
      <c r="J177" s="423"/>
      <c r="K177" s="423"/>
      <c r="L177" s="423"/>
      <c r="M177" s="423"/>
      <c r="N177" s="423"/>
      <c r="O177" s="423"/>
      <c r="P177" s="423"/>
      <c r="Q177" s="423"/>
      <c r="R177" s="269"/>
      <c r="S177" s="423"/>
      <c r="T177" s="423"/>
      <c r="U177" s="423"/>
      <c r="V177" s="423"/>
      <c r="W177" s="423"/>
      <c r="X177" s="423"/>
      <c r="Y177" s="269"/>
      <c r="Z177" s="269"/>
    </row>
    <row r="178" ht="18.75" customHeight="1">
      <c r="A178" s="420"/>
      <c r="B178" s="421"/>
      <c r="C178" s="421"/>
      <c r="D178" s="421"/>
      <c r="E178" s="421"/>
      <c r="F178" s="421"/>
      <c r="G178" s="421"/>
      <c r="H178" s="269"/>
      <c r="I178" s="269"/>
      <c r="J178" s="423"/>
      <c r="K178" s="423"/>
      <c r="L178" s="423"/>
      <c r="M178" s="423"/>
      <c r="N178" s="423"/>
      <c r="O178" s="423"/>
      <c r="P178" s="423"/>
      <c r="Q178" s="423"/>
      <c r="R178" s="269"/>
      <c r="S178" s="423"/>
      <c r="T178" s="423"/>
      <c r="U178" s="423"/>
      <c r="V178" s="423"/>
      <c r="W178" s="423"/>
      <c r="X178" s="423"/>
      <c r="Y178" s="269"/>
      <c r="Z178" s="269"/>
    </row>
    <row r="179" ht="18.75" customHeight="1">
      <c r="A179" s="420"/>
      <c r="B179" s="421"/>
      <c r="C179" s="421"/>
      <c r="D179" s="421"/>
      <c r="E179" s="421"/>
      <c r="F179" s="421"/>
      <c r="G179" s="421"/>
      <c r="H179" s="269"/>
      <c r="I179" s="269"/>
      <c r="J179" s="423"/>
      <c r="K179" s="423"/>
      <c r="L179" s="423"/>
      <c r="M179" s="423"/>
      <c r="N179" s="423"/>
      <c r="O179" s="423"/>
      <c r="P179" s="423"/>
      <c r="Q179" s="423"/>
      <c r="R179" s="269"/>
      <c r="S179" s="423"/>
      <c r="T179" s="423"/>
      <c r="U179" s="423"/>
      <c r="V179" s="423"/>
      <c r="W179" s="423"/>
      <c r="X179" s="423"/>
      <c r="Y179" s="269"/>
      <c r="Z179" s="269"/>
    </row>
    <row r="180" ht="18.75" customHeight="1">
      <c r="A180" s="420"/>
      <c r="B180" s="421"/>
      <c r="C180" s="421"/>
      <c r="D180" s="421"/>
      <c r="E180" s="421"/>
      <c r="F180" s="421"/>
      <c r="G180" s="421"/>
      <c r="H180" s="269"/>
      <c r="I180" s="269"/>
      <c r="J180" s="423"/>
      <c r="K180" s="423"/>
      <c r="L180" s="423"/>
      <c r="M180" s="423"/>
      <c r="N180" s="423"/>
      <c r="O180" s="423"/>
      <c r="P180" s="423"/>
      <c r="Q180" s="423"/>
      <c r="R180" s="269"/>
      <c r="S180" s="423"/>
      <c r="T180" s="423"/>
      <c r="U180" s="423"/>
      <c r="V180" s="423"/>
      <c r="W180" s="423"/>
      <c r="X180" s="423"/>
      <c r="Y180" s="269"/>
      <c r="Z180" s="269"/>
    </row>
    <row r="181" ht="18.75" customHeight="1">
      <c r="A181" s="420"/>
      <c r="B181" s="421"/>
      <c r="C181" s="421"/>
      <c r="D181" s="421"/>
      <c r="E181" s="421"/>
      <c r="F181" s="421"/>
      <c r="G181" s="421"/>
      <c r="H181" s="269"/>
      <c r="I181" s="269"/>
      <c r="J181" s="423"/>
      <c r="K181" s="423"/>
      <c r="L181" s="423"/>
      <c r="M181" s="423"/>
      <c r="N181" s="423"/>
      <c r="O181" s="423"/>
      <c r="P181" s="423"/>
      <c r="Q181" s="423"/>
      <c r="R181" s="269"/>
      <c r="S181" s="423"/>
      <c r="T181" s="423"/>
      <c r="U181" s="423"/>
      <c r="V181" s="423"/>
      <c r="W181" s="423"/>
      <c r="X181" s="423"/>
      <c r="Y181" s="269"/>
      <c r="Z181" s="269"/>
    </row>
    <row r="182" ht="18.75" customHeight="1">
      <c r="A182" s="420"/>
      <c r="B182" s="421"/>
      <c r="C182" s="421"/>
      <c r="D182" s="421"/>
      <c r="E182" s="421"/>
      <c r="F182" s="421"/>
      <c r="G182" s="421"/>
      <c r="H182" s="269"/>
      <c r="I182" s="269"/>
      <c r="J182" s="423"/>
      <c r="K182" s="423"/>
      <c r="L182" s="423"/>
      <c r="M182" s="423"/>
      <c r="N182" s="423"/>
      <c r="O182" s="423"/>
      <c r="P182" s="423"/>
      <c r="Q182" s="423"/>
      <c r="R182" s="269"/>
      <c r="S182" s="423"/>
      <c r="T182" s="423"/>
      <c r="U182" s="423"/>
      <c r="V182" s="423"/>
      <c r="W182" s="423"/>
      <c r="X182" s="423"/>
      <c r="Y182" s="269"/>
      <c r="Z182" s="269"/>
    </row>
    <row r="183" ht="18.75" customHeight="1">
      <c r="A183" s="420"/>
      <c r="B183" s="421"/>
      <c r="C183" s="421"/>
      <c r="D183" s="421"/>
      <c r="E183" s="421"/>
      <c r="F183" s="421"/>
      <c r="G183" s="421"/>
      <c r="H183" s="269"/>
      <c r="I183" s="269"/>
      <c r="J183" s="423"/>
      <c r="K183" s="423"/>
      <c r="L183" s="423"/>
      <c r="M183" s="423"/>
      <c r="N183" s="423"/>
      <c r="O183" s="423"/>
      <c r="P183" s="423"/>
      <c r="Q183" s="423"/>
      <c r="R183" s="269"/>
      <c r="S183" s="423"/>
      <c r="T183" s="423"/>
      <c r="U183" s="423"/>
      <c r="V183" s="423"/>
      <c r="W183" s="423"/>
      <c r="X183" s="423"/>
      <c r="Y183" s="269"/>
      <c r="Z183" s="269"/>
    </row>
    <row r="184" ht="18.75" customHeight="1">
      <c r="A184" s="420"/>
      <c r="B184" s="421"/>
      <c r="C184" s="421"/>
      <c r="D184" s="421"/>
      <c r="E184" s="421"/>
      <c r="F184" s="421"/>
      <c r="G184" s="421"/>
      <c r="H184" s="269"/>
      <c r="I184" s="269"/>
      <c r="J184" s="423"/>
      <c r="K184" s="423"/>
      <c r="L184" s="423"/>
      <c r="M184" s="423"/>
      <c r="N184" s="423"/>
      <c r="O184" s="423"/>
      <c r="P184" s="423"/>
      <c r="Q184" s="423"/>
      <c r="R184" s="269"/>
      <c r="S184" s="423"/>
      <c r="T184" s="423"/>
      <c r="U184" s="423"/>
      <c r="V184" s="423"/>
      <c r="W184" s="423"/>
      <c r="X184" s="423"/>
      <c r="Y184" s="269"/>
      <c r="Z184" s="269"/>
    </row>
    <row r="185" ht="18.75" customHeight="1">
      <c r="A185" s="437"/>
      <c r="B185" s="438"/>
      <c r="C185" s="438"/>
      <c r="D185" s="438"/>
      <c r="E185" s="438"/>
      <c r="F185" s="438"/>
      <c r="G185" s="438"/>
      <c r="H185" s="108"/>
      <c r="I185" s="108"/>
      <c r="J185" s="440"/>
      <c r="K185" s="440"/>
      <c r="L185" s="440"/>
      <c r="M185" s="440"/>
      <c r="N185" s="440"/>
      <c r="O185" s="440"/>
      <c r="P185" s="440"/>
      <c r="Q185" s="440"/>
      <c r="R185" s="108"/>
      <c r="S185" s="440"/>
      <c r="T185" s="440"/>
      <c r="U185" s="440"/>
      <c r="V185" s="440"/>
      <c r="W185" s="440"/>
      <c r="X185" s="440"/>
      <c r="Y185" s="108"/>
      <c r="Z185" s="108"/>
    </row>
    <row r="186" ht="18.75" customHeight="1">
      <c r="A186" s="437"/>
      <c r="B186" s="438"/>
      <c r="C186" s="438"/>
      <c r="D186" s="438"/>
      <c r="E186" s="438"/>
      <c r="F186" s="438"/>
      <c r="G186" s="438"/>
      <c r="H186" s="108"/>
      <c r="I186" s="108"/>
      <c r="J186" s="440"/>
      <c r="K186" s="440"/>
      <c r="L186" s="440"/>
      <c r="M186" s="440"/>
      <c r="N186" s="440"/>
      <c r="O186" s="440"/>
      <c r="P186" s="440"/>
      <c r="Q186" s="440"/>
      <c r="R186" s="108"/>
      <c r="S186" s="440"/>
      <c r="T186" s="440"/>
      <c r="U186" s="440"/>
      <c r="V186" s="440"/>
      <c r="W186" s="440"/>
      <c r="X186" s="440"/>
      <c r="Y186" s="108"/>
      <c r="Z186" s="108"/>
    </row>
    <row r="187" ht="18.75" customHeight="1">
      <c r="A187" s="437"/>
      <c r="B187" s="438"/>
      <c r="C187" s="438"/>
      <c r="D187" s="438"/>
      <c r="E187" s="438"/>
      <c r="F187" s="438"/>
      <c r="G187" s="438"/>
      <c r="H187" s="108"/>
      <c r="I187" s="108"/>
      <c r="J187" s="440"/>
      <c r="K187" s="440"/>
      <c r="L187" s="440"/>
      <c r="M187" s="440"/>
      <c r="N187" s="440"/>
      <c r="O187" s="440"/>
      <c r="P187" s="440"/>
      <c r="Q187" s="440"/>
      <c r="R187" s="108"/>
      <c r="S187" s="440"/>
      <c r="T187" s="440"/>
      <c r="U187" s="440"/>
      <c r="V187" s="440"/>
      <c r="W187" s="440"/>
      <c r="X187" s="440"/>
      <c r="Y187" s="108"/>
      <c r="Z187" s="108"/>
    </row>
    <row r="188" ht="18.75" customHeight="1">
      <c r="A188" s="437"/>
      <c r="B188" s="438"/>
      <c r="C188" s="438"/>
      <c r="D188" s="438"/>
      <c r="E188" s="438"/>
      <c r="F188" s="438"/>
      <c r="G188" s="438"/>
      <c r="H188" s="108"/>
      <c r="I188" s="108"/>
      <c r="J188" s="440"/>
      <c r="K188" s="440"/>
      <c r="L188" s="440"/>
      <c r="M188" s="440"/>
      <c r="N188" s="440"/>
      <c r="O188" s="440"/>
      <c r="P188" s="440"/>
      <c r="Q188" s="440"/>
      <c r="R188" s="108"/>
      <c r="S188" s="440"/>
      <c r="T188" s="440"/>
      <c r="U188" s="440"/>
      <c r="V188" s="440"/>
      <c r="W188" s="440"/>
      <c r="X188" s="440"/>
      <c r="Y188" s="108"/>
      <c r="Z188" s="108"/>
    </row>
    <row r="189" ht="18.75" customHeight="1">
      <c r="A189" s="437"/>
      <c r="B189" s="438"/>
      <c r="C189" s="438"/>
      <c r="D189" s="438"/>
      <c r="E189" s="438"/>
      <c r="F189" s="438"/>
      <c r="G189" s="438"/>
      <c r="H189" s="108"/>
      <c r="I189" s="108"/>
      <c r="J189" s="440"/>
      <c r="K189" s="440"/>
      <c r="L189" s="440"/>
      <c r="M189" s="440"/>
      <c r="N189" s="440"/>
      <c r="O189" s="440"/>
      <c r="P189" s="440"/>
      <c r="Q189" s="440"/>
      <c r="R189" s="108"/>
      <c r="S189" s="440"/>
      <c r="T189" s="440"/>
      <c r="U189" s="440"/>
      <c r="V189" s="440"/>
      <c r="W189" s="440"/>
      <c r="X189" s="440"/>
      <c r="Y189" s="108"/>
      <c r="Z189" s="108"/>
    </row>
    <row r="190" ht="18.75" customHeight="1">
      <c r="A190" s="437"/>
      <c r="B190" s="438"/>
      <c r="C190" s="438"/>
      <c r="D190" s="438"/>
      <c r="E190" s="438"/>
      <c r="F190" s="438"/>
      <c r="G190" s="438"/>
      <c r="H190" s="108"/>
      <c r="I190" s="108"/>
      <c r="J190" s="440"/>
      <c r="K190" s="440"/>
      <c r="L190" s="440"/>
      <c r="M190" s="440"/>
      <c r="N190" s="440"/>
      <c r="O190" s="440"/>
      <c r="P190" s="440"/>
      <c r="Q190" s="440"/>
      <c r="R190" s="108"/>
      <c r="S190" s="440"/>
      <c r="T190" s="440"/>
      <c r="U190" s="440"/>
      <c r="V190" s="440"/>
      <c r="W190" s="440"/>
      <c r="X190" s="440"/>
      <c r="Y190" s="108"/>
      <c r="Z190" s="108"/>
    </row>
    <row r="191" ht="18.75" customHeight="1">
      <c r="A191" s="437"/>
      <c r="B191" s="438"/>
      <c r="C191" s="438"/>
      <c r="D191" s="438"/>
      <c r="E191" s="438"/>
      <c r="F191" s="438"/>
      <c r="G191" s="438"/>
      <c r="H191" s="108"/>
      <c r="I191" s="108"/>
      <c r="J191" s="440"/>
      <c r="K191" s="440"/>
      <c r="L191" s="440"/>
      <c r="M191" s="440"/>
      <c r="N191" s="440"/>
      <c r="O191" s="440"/>
      <c r="P191" s="440"/>
      <c r="Q191" s="440"/>
      <c r="R191" s="108"/>
      <c r="S191" s="440"/>
      <c r="T191" s="440"/>
      <c r="U191" s="440"/>
      <c r="V191" s="440"/>
      <c r="W191" s="440"/>
      <c r="X191" s="440"/>
      <c r="Y191" s="108"/>
      <c r="Z191" s="108"/>
    </row>
    <row r="192" ht="18.75" customHeight="1">
      <c r="A192" s="437"/>
      <c r="B192" s="438"/>
      <c r="C192" s="438"/>
      <c r="D192" s="438"/>
      <c r="E192" s="438"/>
      <c r="F192" s="438"/>
      <c r="G192" s="438"/>
      <c r="H192" s="108"/>
      <c r="I192" s="108"/>
      <c r="J192" s="440"/>
      <c r="K192" s="440"/>
      <c r="L192" s="440"/>
      <c r="M192" s="440"/>
      <c r="N192" s="440"/>
      <c r="O192" s="440"/>
      <c r="P192" s="440"/>
      <c r="Q192" s="440"/>
      <c r="R192" s="108"/>
      <c r="S192" s="440"/>
      <c r="T192" s="440"/>
      <c r="U192" s="440"/>
      <c r="V192" s="440"/>
      <c r="W192" s="440"/>
      <c r="X192" s="440"/>
      <c r="Y192" s="108"/>
      <c r="Z192" s="108"/>
    </row>
    <row r="193" ht="18.75" customHeight="1">
      <c r="A193" s="437"/>
      <c r="B193" s="438"/>
      <c r="C193" s="438"/>
      <c r="D193" s="438"/>
      <c r="E193" s="438"/>
      <c r="F193" s="438"/>
      <c r="G193" s="438"/>
      <c r="H193" s="108"/>
      <c r="I193" s="108"/>
      <c r="J193" s="440"/>
      <c r="K193" s="440"/>
      <c r="L193" s="440"/>
      <c r="M193" s="440"/>
      <c r="N193" s="440"/>
      <c r="O193" s="440"/>
      <c r="P193" s="440"/>
      <c r="Q193" s="440"/>
      <c r="R193" s="108"/>
      <c r="S193" s="440"/>
      <c r="T193" s="440"/>
      <c r="U193" s="440"/>
      <c r="V193" s="440"/>
      <c r="W193" s="440"/>
      <c r="X193" s="440"/>
      <c r="Y193" s="108"/>
      <c r="Z193" s="108"/>
    </row>
    <row r="194" ht="18.75" customHeight="1">
      <c r="A194" s="437"/>
      <c r="B194" s="438"/>
      <c r="C194" s="438"/>
      <c r="D194" s="438"/>
      <c r="E194" s="438"/>
      <c r="F194" s="438"/>
      <c r="G194" s="438"/>
      <c r="H194" s="108"/>
      <c r="I194" s="108"/>
      <c r="J194" s="440"/>
      <c r="K194" s="440"/>
      <c r="L194" s="440"/>
      <c r="M194" s="440"/>
      <c r="N194" s="440"/>
      <c r="O194" s="440"/>
      <c r="P194" s="440"/>
      <c r="Q194" s="440"/>
      <c r="R194" s="108"/>
      <c r="S194" s="440"/>
      <c r="T194" s="440"/>
      <c r="U194" s="440"/>
      <c r="V194" s="440"/>
      <c r="W194" s="440"/>
      <c r="X194" s="440"/>
      <c r="Y194" s="108"/>
      <c r="Z194" s="108"/>
    </row>
    <row r="195" ht="18.75" customHeight="1">
      <c r="A195" s="437"/>
      <c r="B195" s="438"/>
      <c r="C195" s="438"/>
      <c r="D195" s="438"/>
      <c r="E195" s="438"/>
      <c r="F195" s="438"/>
      <c r="G195" s="438"/>
      <c r="H195" s="108"/>
      <c r="I195" s="108"/>
      <c r="J195" s="440"/>
      <c r="K195" s="440"/>
      <c r="L195" s="440"/>
      <c r="M195" s="440"/>
      <c r="N195" s="440"/>
      <c r="O195" s="440"/>
      <c r="P195" s="440"/>
      <c r="Q195" s="440"/>
      <c r="R195" s="108"/>
      <c r="S195" s="440"/>
      <c r="T195" s="440"/>
      <c r="U195" s="440"/>
      <c r="V195" s="440"/>
      <c r="W195" s="440"/>
      <c r="X195" s="440"/>
      <c r="Y195" s="108"/>
      <c r="Z195" s="108"/>
    </row>
    <row r="196" ht="18.75" customHeight="1">
      <c r="A196" s="437"/>
      <c r="B196" s="438"/>
      <c r="C196" s="438"/>
      <c r="D196" s="438"/>
      <c r="E196" s="438"/>
      <c r="F196" s="438"/>
      <c r="G196" s="438"/>
      <c r="H196" s="108"/>
      <c r="I196" s="108"/>
      <c r="J196" s="440"/>
      <c r="K196" s="440"/>
      <c r="L196" s="440"/>
      <c r="M196" s="440"/>
      <c r="N196" s="440"/>
      <c r="O196" s="440"/>
      <c r="P196" s="440"/>
      <c r="Q196" s="440"/>
      <c r="R196" s="108"/>
      <c r="S196" s="440"/>
      <c r="T196" s="440"/>
      <c r="U196" s="440"/>
      <c r="V196" s="440"/>
      <c r="W196" s="440"/>
      <c r="X196" s="440"/>
      <c r="Y196" s="108"/>
      <c r="Z196" s="108"/>
    </row>
    <row r="197" ht="18.75" customHeight="1">
      <c r="A197" s="437"/>
      <c r="B197" s="438"/>
      <c r="C197" s="438"/>
      <c r="D197" s="438"/>
      <c r="E197" s="438"/>
      <c r="F197" s="438"/>
      <c r="G197" s="438"/>
      <c r="H197" s="108"/>
      <c r="I197" s="108"/>
      <c r="J197" s="440"/>
      <c r="K197" s="440"/>
      <c r="L197" s="440"/>
      <c r="M197" s="440"/>
      <c r="N197" s="440"/>
      <c r="O197" s="440"/>
      <c r="P197" s="440"/>
      <c r="Q197" s="440"/>
      <c r="R197" s="108"/>
      <c r="S197" s="440"/>
      <c r="T197" s="440"/>
      <c r="U197" s="440"/>
      <c r="V197" s="440"/>
      <c r="W197" s="440"/>
      <c r="X197" s="440"/>
      <c r="Y197" s="108"/>
      <c r="Z197" s="108"/>
    </row>
    <row r="198" ht="18.75" customHeight="1">
      <c r="A198" s="437"/>
      <c r="B198" s="438"/>
      <c r="C198" s="438"/>
      <c r="D198" s="438"/>
      <c r="E198" s="438"/>
      <c r="F198" s="438"/>
      <c r="G198" s="438"/>
      <c r="H198" s="108"/>
      <c r="I198" s="108"/>
      <c r="J198" s="440"/>
      <c r="K198" s="440"/>
      <c r="L198" s="440"/>
      <c r="M198" s="440"/>
      <c r="N198" s="440"/>
      <c r="O198" s="440"/>
      <c r="P198" s="440"/>
      <c r="Q198" s="440"/>
      <c r="R198" s="108"/>
      <c r="S198" s="440"/>
      <c r="T198" s="440"/>
      <c r="U198" s="440"/>
      <c r="V198" s="440"/>
      <c r="W198" s="440"/>
      <c r="X198" s="440"/>
      <c r="Y198" s="108"/>
      <c r="Z198" s="108"/>
    </row>
    <row r="199" ht="18.75" customHeight="1">
      <c r="A199" s="437"/>
      <c r="B199" s="438"/>
      <c r="C199" s="438"/>
      <c r="D199" s="438"/>
      <c r="E199" s="438"/>
      <c r="F199" s="438"/>
      <c r="G199" s="438"/>
      <c r="H199" s="108"/>
      <c r="I199" s="108"/>
      <c r="J199" s="440"/>
      <c r="K199" s="440"/>
      <c r="L199" s="440"/>
      <c r="M199" s="440"/>
      <c r="N199" s="440"/>
      <c r="O199" s="440"/>
      <c r="P199" s="440"/>
      <c r="Q199" s="440"/>
      <c r="R199" s="108"/>
      <c r="S199" s="440"/>
      <c r="T199" s="440"/>
      <c r="U199" s="440"/>
      <c r="V199" s="440"/>
      <c r="W199" s="440"/>
      <c r="X199" s="440"/>
      <c r="Y199" s="108"/>
      <c r="Z199" s="108"/>
    </row>
    <row r="200" ht="18.75" customHeight="1">
      <c r="A200" s="437"/>
      <c r="B200" s="438"/>
      <c r="C200" s="438"/>
      <c r="D200" s="438"/>
      <c r="E200" s="438"/>
      <c r="F200" s="438"/>
      <c r="G200" s="438"/>
      <c r="H200" s="108"/>
      <c r="I200" s="108"/>
      <c r="J200" s="440"/>
      <c r="K200" s="440"/>
      <c r="L200" s="440"/>
      <c r="M200" s="440"/>
      <c r="N200" s="440"/>
      <c r="O200" s="440"/>
      <c r="P200" s="440"/>
      <c r="Q200" s="440"/>
      <c r="R200" s="108"/>
      <c r="S200" s="440"/>
      <c r="T200" s="440"/>
      <c r="U200" s="440"/>
      <c r="V200" s="440"/>
      <c r="W200" s="440"/>
      <c r="X200" s="440"/>
      <c r="Y200" s="108"/>
      <c r="Z200" s="108"/>
    </row>
    <row r="201" ht="18.75" customHeight="1">
      <c r="A201" s="437"/>
      <c r="B201" s="438"/>
      <c r="C201" s="438"/>
      <c r="D201" s="438"/>
      <c r="E201" s="438"/>
      <c r="F201" s="438"/>
      <c r="G201" s="438"/>
      <c r="H201" s="108"/>
      <c r="I201" s="108"/>
      <c r="J201" s="440"/>
      <c r="K201" s="440"/>
      <c r="L201" s="440"/>
      <c r="M201" s="440"/>
      <c r="N201" s="440"/>
      <c r="O201" s="440"/>
      <c r="P201" s="440"/>
      <c r="Q201" s="440"/>
      <c r="R201" s="108"/>
      <c r="S201" s="440"/>
      <c r="T201" s="440"/>
      <c r="U201" s="440"/>
      <c r="V201" s="440"/>
      <c r="W201" s="440"/>
      <c r="X201" s="440"/>
      <c r="Y201" s="108"/>
      <c r="Z201" s="108"/>
    </row>
    <row r="202" ht="18.75" customHeight="1">
      <c r="A202" s="437"/>
      <c r="B202" s="438"/>
      <c r="C202" s="438"/>
      <c r="D202" s="438"/>
      <c r="E202" s="438"/>
      <c r="F202" s="438"/>
      <c r="G202" s="438"/>
      <c r="H202" s="108"/>
      <c r="I202" s="108"/>
      <c r="J202" s="440"/>
      <c r="K202" s="440"/>
      <c r="L202" s="440"/>
      <c r="M202" s="440"/>
      <c r="N202" s="440"/>
      <c r="O202" s="440"/>
      <c r="P202" s="440"/>
      <c r="Q202" s="440"/>
      <c r="R202" s="108"/>
      <c r="S202" s="440"/>
      <c r="T202" s="440"/>
      <c r="U202" s="440"/>
      <c r="V202" s="440"/>
      <c r="W202" s="440"/>
      <c r="X202" s="440"/>
      <c r="Y202" s="108"/>
      <c r="Z202" s="108"/>
    </row>
    <row r="203" ht="18.75" customHeight="1">
      <c r="A203" s="437"/>
      <c r="B203" s="438"/>
      <c r="C203" s="438"/>
      <c r="D203" s="438"/>
      <c r="E203" s="438"/>
      <c r="F203" s="438"/>
      <c r="G203" s="438"/>
      <c r="H203" s="108"/>
      <c r="I203" s="108"/>
      <c r="J203" s="440"/>
      <c r="K203" s="440"/>
      <c r="L203" s="440"/>
      <c r="M203" s="440"/>
      <c r="N203" s="440"/>
      <c r="O203" s="440"/>
      <c r="P203" s="440"/>
      <c r="Q203" s="440"/>
      <c r="R203" s="108"/>
      <c r="S203" s="440"/>
      <c r="T203" s="440"/>
      <c r="U203" s="440"/>
      <c r="V203" s="440"/>
      <c r="W203" s="440"/>
      <c r="X203" s="440"/>
      <c r="Y203" s="108"/>
      <c r="Z203" s="108"/>
    </row>
    <row r="204" ht="18.75" customHeight="1">
      <c r="A204" s="437"/>
      <c r="B204" s="438"/>
      <c r="C204" s="438"/>
      <c r="D204" s="438"/>
      <c r="E204" s="438"/>
      <c r="F204" s="438"/>
      <c r="G204" s="438"/>
      <c r="H204" s="108"/>
      <c r="I204" s="108"/>
      <c r="J204" s="440"/>
      <c r="K204" s="440"/>
      <c r="L204" s="440"/>
      <c r="M204" s="440"/>
      <c r="N204" s="440"/>
      <c r="O204" s="440"/>
      <c r="P204" s="440"/>
      <c r="Q204" s="440"/>
      <c r="R204" s="108"/>
      <c r="S204" s="440"/>
      <c r="T204" s="440"/>
      <c r="U204" s="440"/>
      <c r="V204" s="440"/>
      <c r="W204" s="440"/>
      <c r="X204" s="440"/>
      <c r="Y204" s="108"/>
      <c r="Z204" s="108"/>
    </row>
    <row r="205" ht="18.75" customHeight="1">
      <c r="A205" s="437"/>
      <c r="B205" s="438"/>
      <c r="C205" s="438"/>
      <c r="D205" s="438"/>
      <c r="E205" s="438"/>
      <c r="F205" s="438"/>
      <c r="G205" s="438"/>
      <c r="H205" s="108"/>
      <c r="I205" s="108"/>
      <c r="J205" s="440"/>
      <c r="K205" s="440"/>
      <c r="L205" s="440"/>
      <c r="M205" s="440"/>
      <c r="N205" s="440"/>
      <c r="O205" s="440"/>
      <c r="P205" s="440"/>
      <c r="Q205" s="440"/>
      <c r="R205" s="108"/>
      <c r="S205" s="440"/>
      <c r="T205" s="440"/>
      <c r="U205" s="440"/>
      <c r="V205" s="440"/>
      <c r="W205" s="440"/>
      <c r="X205" s="440"/>
      <c r="Y205" s="108"/>
      <c r="Z205" s="108"/>
    </row>
    <row r="206" ht="18.75" customHeight="1">
      <c r="A206" s="437"/>
      <c r="B206" s="438"/>
      <c r="C206" s="438"/>
      <c r="D206" s="438"/>
      <c r="E206" s="438"/>
      <c r="F206" s="438"/>
      <c r="G206" s="438"/>
      <c r="H206" s="108"/>
      <c r="I206" s="108"/>
      <c r="J206" s="440"/>
      <c r="K206" s="440"/>
      <c r="L206" s="440"/>
      <c r="M206" s="440"/>
      <c r="N206" s="440"/>
      <c r="O206" s="440"/>
      <c r="P206" s="440"/>
      <c r="Q206" s="440"/>
      <c r="R206" s="108"/>
      <c r="S206" s="440"/>
      <c r="T206" s="440"/>
      <c r="U206" s="440"/>
      <c r="V206" s="440"/>
      <c r="W206" s="440"/>
      <c r="X206" s="440"/>
      <c r="Y206" s="108"/>
      <c r="Z206" s="108"/>
    </row>
    <row r="207" ht="18.75" customHeight="1">
      <c r="A207" s="437"/>
      <c r="B207" s="438"/>
      <c r="C207" s="438"/>
      <c r="D207" s="438"/>
      <c r="E207" s="438"/>
      <c r="F207" s="438"/>
      <c r="G207" s="438"/>
      <c r="H207" s="108"/>
      <c r="I207" s="108"/>
      <c r="J207" s="440"/>
      <c r="K207" s="440"/>
      <c r="L207" s="440"/>
      <c r="M207" s="440"/>
      <c r="N207" s="440"/>
      <c r="O207" s="440"/>
      <c r="P207" s="440"/>
      <c r="Q207" s="440"/>
      <c r="R207" s="108"/>
      <c r="S207" s="440"/>
      <c r="T207" s="440"/>
      <c r="U207" s="440"/>
      <c r="V207" s="440"/>
      <c r="W207" s="440"/>
      <c r="X207" s="440"/>
      <c r="Y207" s="108"/>
      <c r="Z207" s="108"/>
    </row>
    <row r="208" ht="18.75" customHeight="1">
      <c r="A208" s="437"/>
      <c r="B208" s="438"/>
      <c r="C208" s="438"/>
      <c r="D208" s="438"/>
      <c r="E208" s="438"/>
      <c r="F208" s="438"/>
      <c r="G208" s="438"/>
      <c r="H208" s="108"/>
      <c r="I208" s="108"/>
      <c r="J208" s="440"/>
      <c r="K208" s="440"/>
      <c r="L208" s="440"/>
      <c r="M208" s="440"/>
      <c r="N208" s="440"/>
      <c r="O208" s="440"/>
      <c r="P208" s="440"/>
      <c r="Q208" s="440"/>
      <c r="R208" s="108"/>
      <c r="S208" s="440"/>
      <c r="T208" s="440"/>
      <c r="U208" s="440"/>
      <c r="V208" s="440"/>
      <c r="W208" s="440"/>
      <c r="X208" s="440"/>
      <c r="Y208" s="108"/>
      <c r="Z208" s="108"/>
    </row>
    <row r="209" ht="18.75" customHeight="1">
      <c r="A209" s="437"/>
      <c r="B209" s="438"/>
      <c r="C209" s="438"/>
      <c r="D209" s="438"/>
      <c r="E209" s="438"/>
      <c r="F209" s="438"/>
      <c r="G209" s="438"/>
      <c r="H209" s="108"/>
      <c r="I209" s="108"/>
      <c r="J209" s="440"/>
      <c r="K209" s="440"/>
      <c r="L209" s="440"/>
      <c r="M209" s="440"/>
      <c r="N209" s="440"/>
      <c r="O209" s="440"/>
      <c r="P209" s="440"/>
      <c r="Q209" s="440"/>
      <c r="R209" s="108"/>
      <c r="S209" s="440"/>
      <c r="T209" s="440"/>
      <c r="U209" s="440"/>
      <c r="V209" s="440"/>
      <c r="W209" s="440"/>
      <c r="X209" s="440"/>
      <c r="Y209" s="108"/>
      <c r="Z209" s="108"/>
    </row>
    <row r="210" ht="18.75" customHeight="1">
      <c r="A210" s="437"/>
      <c r="B210" s="438"/>
      <c r="C210" s="438"/>
      <c r="D210" s="438"/>
      <c r="E210" s="438"/>
      <c r="F210" s="438"/>
      <c r="G210" s="438"/>
      <c r="H210" s="108"/>
      <c r="I210" s="108"/>
      <c r="J210" s="440"/>
      <c r="K210" s="440"/>
      <c r="L210" s="440"/>
      <c r="M210" s="440"/>
      <c r="N210" s="440"/>
      <c r="O210" s="440"/>
      <c r="P210" s="440"/>
      <c r="Q210" s="440"/>
      <c r="R210" s="108"/>
      <c r="S210" s="440"/>
      <c r="T210" s="440"/>
      <c r="U210" s="440"/>
      <c r="V210" s="440"/>
      <c r="W210" s="440"/>
      <c r="X210" s="440"/>
      <c r="Y210" s="108"/>
      <c r="Z210" s="108"/>
    </row>
    <row r="211" ht="18.75" customHeight="1">
      <c r="A211" s="437"/>
      <c r="B211" s="438"/>
      <c r="C211" s="438"/>
      <c r="D211" s="438"/>
      <c r="E211" s="438"/>
      <c r="F211" s="438"/>
      <c r="G211" s="438"/>
      <c r="H211" s="108"/>
      <c r="I211" s="108"/>
      <c r="J211" s="440"/>
      <c r="K211" s="440"/>
      <c r="L211" s="440"/>
      <c r="M211" s="440"/>
      <c r="N211" s="440"/>
      <c r="O211" s="440"/>
      <c r="P211" s="440"/>
      <c r="Q211" s="440"/>
      <c r="R211" s="108"/>
      <c r="S211" s="440"/>
      <c r="T211" s="440"/>
      <c r="U211" s="440"/>
      <c r="V211" s="440"/>
      <c r="W211" s="440"/>
      <c r="X211" s="440"/>
      <c r="Y211" s="108"/>
      <c r="Z211" s="108"/>
    </row>
    <row r="212" ht="18.75" customHeight="1">
      <c r="A212" s="437"/>
      <c r="B212" s="438"/>
      <c r="C212" s="438"/>
      <c r="D212" s="438"/>
      <c r="E212" s="438"/>
      <c r="F212" s="438"/>
      <c r="G212" s="438"/>
      <c r="H212" s="108"/>
      <c r="I212" s="108"/>
      <c r="J212" s="440"/>
      <c r="K212" s="440"/>
      <c r="L212" s="440"/>
      <c r="M212" s="440"/>
      <c r="N212" s="440"/>
      <c r="O212" s="440"/>
      <c r="P212" s="440"/>
      <c r="Q212" s="440"/>
      <c r="R212" s="108"/>
      <c r="S212" s="440"/>
      <c r="T212" s="440"/>
      <c r="U212" s="440"/>
      <c r="V212" s="440"/>
      <c r="W212" s="440"/>
      <c r="X212" s="440"/>
      <c r="Y212" s="108"/>
      <c r="Z212" s="108"/>
    </row>
    <row r="213" ht="18.75" customHeight="1">
      <c r="A213" s="437"/>
      <c r="B213" s="438"/>
      <c r="C213" s="438"/>
      <c r="D213" s="438"/>
      <c r="E213" s="438"/>
      <c r="F213" s="438"/>
      <c r="G213" s="438"/>
      <c r="H213" s="108"/>
      <c r="I213" s="108"/>
      <c r="J213" s="440"/>
      <c r="K213" s="440"/>
      <c r="L213" s="440"/>
      <c r="M213" s="440"/>
      <c r="N213" s="440"/>
      <c r="O213" s="440"/>
      <c r="P213" s="440"/>
      <c r="Q213" s="440"/>
      <c r="R213" s="108"/>
      <c r="S213" s="440"/>
      <c r="T213" s="440"/>
      <c r="U213" s="440"/>
      <c r="V213" s="440"/>
      <c r="W213" s="440"/>
      <c r="X213" s="440"/>
      <c r="Y213" s="108"/>
      <c r="Z213" s="108"/>
    </row>
    <row r="214" ht="18.75" customHeight="1">
      <c r="A214" s="437"/>
      <c r="B214" s="438"/>
      <c r="C214" s="438"/>
      <c r="D214" s="438"/>
      <c r="E214" s="438"/>
      <c r="F214" s="438"/>
      <c r="G214" s="438"/>
      <c r="H214" s="108"/>
      <c r="I214" s="108"/>
      <c r="J214" s="440"/>
      <c r="K214" s="440"/>
      <c r="L214" s="440"/>
      <c r="M214" s="440"/>
      <c r="N214" s="440"/>
      <c r="O214" s="440"/>
      <c r="P214" s="440"/>
      <c r="Q214" s="440"/>
      <c r="R214" s="108"/>
      <c r="S214" s="440"/>
      <c r="T214" s="440"/>
      <c r="U214" s="440"/>
      <c r="V214" s="440"/>
      <c r="W214" s="440"/>
      <c r="X214" s="440"/>
      <c r="Y214" s="108"/>
      <c r="Z214" s="108"/>
    </row>
    <row r="215" ht="18.75" customHeight="1">
      <c r="A215" s="437"/>
      <c r="B215" s="438"/>
      <c r="C215" s="438"/>
      <c r="D215" s="438"/>
      <c r="E215" s="438"/>
      <c r="F215" s="438"/>
      <c r="G215" s="438"/>
      <c r="H215" s="108"/>
      <c r="I215" s="108"/>
      <c r="J215" s="440"/>
      <c r="K215" s="440"/>
      <c r="L215" s="440"/>
      <c r="M215" s="440"/>
      <c r="N215" s="440"/>
      <c r="O215" s="440"/>
      <c r="P215" s="440"/>
      <c r="Q215" s="440"/>
      <c r="R215" s="108"/>
      <c r="S215" s="440"/>
      <c r="T215" s="440"/>
      <c r="U215" s="440"/>
      <c r="V215" s="440"/>
      <c r="W215" s="440"/>
      <c r="X215" s="440"/>
      <c r="Y215" s="108"/>
      <c r="Z215" s="108"/>
    </row>
    <row r="216" ht="18.75" customHeight="1">
      <c r="A216" s="437"/>
      <c r="B216" s="438"/>
      <c r="C216" s="438"/>
      <c r="D216" s="438"/>
      <c r="E216" s="438"/>
      <c r="F216" s="438"/>
      <c r="G216" s="438"/>
      <c r="H216" s="108"/>
      <c r="I216" s="108"/>
      <c r="J216" s="440"/>
      <c r="K216" s="440"/>
      <c r="L216" s="440"/>
      <c r="M216" s="440"/>
      <c r="N216" s="440"/>
      <c r="O216" s="440"/>
      <c r="P216" s="440"/>
      <c r="Q216" s="440"/>
      <c r="R216" s="108"/>
      <c r="S216" s="440"/>
      <c r="T216" s="440"/>
      <c r="U216" s="440"/>
      <c r="V216" s="440"/>
      <c r="W216" s="440"/>
      <c r="X216" s="440"/>
      <c r="Y216" s="108"/>
      <c r="Z216" s="108"/>
    </row>
    <row r="217" ht="18.75" customHeight="1">
      <c r="A217" s="437"/>
      <c r="B217" s="438"/>
      <c r="C217" s="438"/>
      <c r="D217" s="438"/>
      <c r="E217" s="438"/>
      <c r="F217" s="438"/>
      <c r="G217" s="438"/>
      <c r="H217" s="108"/>
      <c r="I217" s="108"/>
      <c r="J217" s="440"/>
      <c r="K217" s="440"/>
      <c r="L217" s="440"/>
      <c r="M217" s="440"/>
      <c r="N217" s="440"/>
      <c r="O217" s="440"/>
      <c r="P217" s="440"/>
      <c r="Q217" s="440"/>
      <c r="R217" s="108"/>
      <c r="S217" s="440"/>
      <c r="T217" s="440"/>
      <c r="U217" s="440"/>
      <c r="V217" s="440"/>
      <c r="W217" s="440"/>
      <c r="X217" s="440"/>
      <c r="Y217" s="108"/>
      <c r="Z217" s="108"/>
    </row>
    <row r="218" ht="18.75" customHeight="1">
      <c r="A218" s="437"/>
      <c r="B218" s="438"/>
      <c r="C218" s="438"/>
      <c r="D218" s="438"/>
      <c r="E218" s="438"/>
      <c r="F218" s="438"/>
      <c r="G218" s="438"/>
      <c r="H218" s="108"/>
      <c r="I218" s="108"/>
      <c r="J218" s="440"/>
      <c r="K218" s="440"/>
      <c r="L218" s="440"/>
      <c r="M218" s="440"/>
      <c r="N218" s="440"/>
      <c r="O218" s="440"/>
      <c r="P218" s="440"/>
      <c r="Q218" s="440"/>
      <c r="R218" s="108"/>
      <c r="S218" s="440"/>
      <c r="T218" s="440"/>
      <c r="U218" s="440"/>
      <c r="V218" s="440"/>
      <c r="W218" s="440"/>
      <c r="X218" s="440"/>
      <c r="Y218" s="108"/>
      <c r="Z218" s="108"/>
    </row>
    <row r="219" ht="18.75" customHeight="1">
      <c r="A219" s="437"/>
      <c r="B219" s="438"/>
      <c r="C219" s="438"/>
      <c r="D219" s="438"/>
      <c r="E219" s="438"/>
      <c r="F219" s="438"/>
      <c r="G219" s="438"/>
      <c r="H219" s="108"/>
      <c r="I219" s="108"/>
      <c r="J219" s="440"/>
      <c r="K219" s="440"/>
      <c r="L219" s="440"/>
      <c r="M219" s="440"/>
      <c r="N219" s="440"/>
      <c r="O219" s="440"/>
      <c r="P219" s="440"/>
      <c r="Q219" s="440"/>
      <c r="R219" s="108"/>
      <c r="S219" s="440"/>
      <c r="T219" s="440"/>
      <c r="U219" s="440"/>
      <c r="V219" s="440"/>
      <c r="W219" s="440"/>
      <c r="X219" s="440"/>
      <c r="Y219" s="108"/>
      <c r="Z219" s="108"/>
    </row>
    <row r="220" ht="18.75" customHeight="1">
      <c r="A220" s="437"/>
      <c r="B220" s="438"/>
      <c r="C220" s="438"/>
      <c r="D220" s="438"/>
      <c r="E220" s="438"/>
      <c r="F220" s="438"/>
      <c r="G220" s="438"/>
      <c r="H220" s="108"/>
      <c r="I220" s="108"/>
      <c r="J220" s="440"/>
      <c r="K220" s="440"/>
      <c r="L220" s="440"/>
      <c r="M220" s="440"/>
      <c r="N220" s="440"/>
      <c r="O220" s="440"/>
      <c r="P220" s="440"/>
      <c r="Q220" s="440"/>
      <c r="R220" s="108"/>
      <c r="S220" s="440"/>
      <c r="T220" s="440"/>
      <c r="U220" s="440"/>
      <c r="V220" s="440"/>
      <c r="W220" s="440"/>
      <c r="X220" s="440"/>
      <c r="Y220" s="108"/>
      <c r="Z220" s="108"/>
    </row>
    <row r="221" ht="18.75" customHeight="1">
      <c r="A221" s="437"/>
      <c r="B221" s="438"/>
      <c r="C221" s="438"/>
      <c r="D221" s="438"/>
      <c r="E221" s="438"/>
      <c r="F221" s="438"/>
      <c r="G221" s="438"/>
      <c r="H221" s="108"/>
      <c r="I221" s="108"/>
      <c r="J221" s="440"/>
      <c r="K221" s="440"/>
      <c r="L221" s="440"/>
      <c r="M221" s="440"/>
      <c r="N221" s="440"/>
      <c r="O221" s="440"/>
      <c r="P221" s="440"/>
      <c r="Q221" s="440"/>
      <c r="R221" s="108"/>
      <c r="S221" s="440"/>
      <c r="T221" s="440"/>
      <c r="U221" s="440"/>
      <c r="V221" s="440"/>
      <c r="W221" s="440"/>
      <c r="X221" s="440"/>
      <c r="Y221" s="108"/>
      <c r="Z221" s="108"/>
    </row>
    <row r="222" ht="18.75" customHeight="1">
      <c r="A222" s="437"/>
      <c r="B222" s="438"/>
      <c r="C222" s="438"/>
      <c r="D222" s="438"/>
      <c r="E222" s="438"/>
      <c r="F222" s="438"/>
      <c r="G222" s="438"/>
      <c r="H222" s="108"/>
      <c r="I222" s="108"/>
      <c r="J222" s="440"/>
      <c r="K222" s="440"/>
      <c r="L222" s="440"/>
      <c r="M222" s="440"/>
      <c r="N222" s="440"/>
      <c r="O222" s="440"/>
      <c r="P222" s="440"/>
      <c r="Q222" s="440"/>
      <c r="R222" s="108"/>
      <c r="S222" s="440"/>
      <c r="T222" s="440"/>
      <c r="U222" s="440"/>
      <c r="V222" s="440"/>
      <c r="W222" s="440"/>
      <c r="X222" s="440"/>
      <c r="Y222" s="108"/>
      <c r="Z222" s="108"/>
    </row>
    <row r="223" ht="18.75" customHeight="1">
      <c r="A223" s="437"/>
      <c r="B223" s="438"/>
      <c r="C223" s="438"/>
      <c r="D223" s="438"/>
      <c r="E223" s="438"/>
      <c r="F223" s="438"/>
      <c r="G223" s="438"/>
      <c r="H223" s="108"/>
      <c r="I223" s="108"/>
      <c r="J223" s="440"/>
      <c r="K223" s="440"/>
      <c r="L223" s="440"/>
      <c r="M223" s="440"/>
      <c r="N223" s="440"/>
      <c r="O223" s="440"/>
      <c r="P223" s="440"/>
      <c r="Q223" s="440"/>
      <c r="R223" s="108"/>
      <c r="S223" s="440"/>
      <c r="T223" s="440"/>
      <c r="U223" s="440"/>
      <c r="V223" s="440"/>
      <c r="W223" s="440"/>
      <c r="X223" s="440"/>
      <c r="Y223" s="108"/>
      <c r="Z223" s="108"/>
    </row>
    <row r="224" ht="18.75" customHeight="1">
      <c r="A224" s="437"/>
      <c r="B224" s="438"/>
      <c r="C224" s="438"/>
      <c r="D224" s="438"/>
      <c r="E224" s="438"/>
      <c r="F224" s="438"/>
      <c r="G224" s="438"/>
      <c r="H224" s="108"/>
      <c r="I224" s="108"/>
      <c r="J224" s="440"/>
      <c r="K224" s="440"/>
      <c r="L224" s="440"/>
      <c r="M224" s="440"/>
      <c r="N224" s="440"/>
      <c r="O224" s="440"/>
      <c r="P224" s="440"/>
      <c r="Q224" s="440"/>
      <c r="R224" s="108"/>
      <c r="S224" s="440"/>
      <c r="T224" s="440"/>
      <c r="U224" s="440"/>
      <c r="V224" s="440"/>
      <c r="W224" s="440"/>
      <c r="X224" s="440"/>
      <c r="Y224" s="108"/>
      <c r="Z224" s="108"/>
    </row>
    <row r="225" ht="18.75" customHeight="1">
      <c r="A225" s="437"/>
      <c r="B225" s="438"/>
      <c r="C225" s="438"/>
      <c r="D225" s="438"/>
      <c r="E225" s="438"/>
      <c r="F225" s="438"/>
      <c r="G225" s="438"/>
      <c r="H225" s="108"/>
      <c r="I225" s="108"/>
      <c r="J225" s="440"/>
      <c r="K225" s="440"/>
      <c r="L225" s="440"/>
      <c r="M225" s="440"/>
      <c r="N225" s="440"/>
      <c r="O225" s="440"/>
      <c r="P225" s="440"/>
      <c r="Q225" s="440"/>
      <c r="R225" s="108"/>
      <c r="S225" s="440"/>
      <c r="T225" s="440"/>
      <c r="U225" s="440"/>
      <c r="V225" s="440"/>
      <c r="W225" s="440"/>
      <c r="X225" s="440"/>
      <c r="Y225" s="108"/>
      <c r="Z225" s="108"/>
    </row>
    <row r="226" ht="18.75" customHeight="1">
      <c r="A226" s="437"/>
      <c r="B226" s="438"/>
      <c r="C226" s="438"/>
      <c r="D226" s="438"/>
      <c r="E226" s="438"/>
      <c r="F226" s="438"/>
      <c r="G226" s="438"/>
      <c r="H226" s="108"/>
      <c r="I226" s="108"/>
      <c r="J226" s="440"/>
      <c r="K226" s="440"/>
      <c r="L226" s="440"/>
      <c r="M226" s="440"/>
      <c r="N226" s="440"/>
      <c r="O226" s="440"/>
      <c r="P226" s="440"/>
      <c r="Q226" s="440"/>
      <c r="R226" s="108"/>
      <c r="S226" s="440"/>
      <c r="T226" s="440"/>
      <c r="U226" s="440"/>
      <c r="V226" s="440"/>
      <c r="W226" s="440"/>
      <c r="X226" s="440"/>
      <c r="Y226" s="108"/>
      <c r="Z226" s="108"/>
    </row>
    <row r="227" ht="18.75" customHeight="1">
      <c r="A227" s="437"/>
      <c r="B227" s="438"/>
      <c r="C227" s="438"/>
      <c r="D227" s="438"/>
      <c r="E227" s="438"/>
      <c r="F227" s="438"/>
      <c r="G227" s="438"/>
      <c r="H227" s="108"/>
      <c r="I227" s="108"/>
      <c r="J227" s="440"/>
      <c r="K227" s="440"/>
      <c r="L227" s="440"/>
      <c r="M227" s="440"/>
      <c r="N227" s="440"/>
      <c r="O227" s="440"/>
      <c r="P227" s="440"/>
      <c r="Q227" s="440"/>
      <c r="R227" s="108"/>
      <c r="S227" s="440"/>
      <c r="T227" s="440"/>
      <c r="U227" s="440"/>
      <c r="V227" s="440"/>
      <c r="W227" s="440"/>
      <c r="X227" s="440"/>
      <c r="Y227" s="108"/>
      <c r="Z227" s="108"/>
    </row>
    <row r="228" ht="18.75" customHeight="1">
      <c r="A228" s="437"/>
      <c r="B228" s="438"/>
      <c r="C228" s="438"/>
      <c r="D228" s="438"/>
      <c r="E228" s="438"/>
      <c r="F228" s="438"/>
      <c r="G228" s="438"/>
      <c r="H228" s="108"/>
      <c r="I228" s="108"/>
      <c r="J228" s="440"/>
      <c r="K228" s="440"/>
      <c r="L228" s="440"/>
      <c r="M228" s="440"/>
      <c r="N228" s="440"/>
      <c r="O228" s="440"/>
      <c r="P228" s="440"/>
      <c r="Q228" s="440"/>
      <c r="R228" s="108"/>
      <c r="S228" s="440"/>
      <c r="T228" s="440"/>
      <c r="U228" s="440"/>
      <c r="V228" s="440"/>
      <c r="W228" s="440"/>
      <c r="X228" s="440"/>
      <c r="Y228" s="108"/>
      <c r="Z228" s="108"/>
    </row>
    <row r="229" ht="18.75" customHeight="1">
      <c r="A229" s="437"/>
      <c r="B229" s="438"/>
      <c r="C229" s="438"/>
      <c r="D229" s="438"/>
      <c r="E229" s="438"/>
      <c r="F229" s="438"/>
      <c r="G229" s="438"/>
      <c r="H229" s="108"/>
      <c r="I229" s="108"/>
      <c r="J229" s="440"/>
      <c r="K229" s="440"/>
      <c r="L229" s="440"/>
      <c r="M229" s="440"/>
      <c r="N229" s="440"/>
      <c r="O229" s="440"/>
      <c r="P229" s="440"/>
      <c r="Q229" s="440"/>
      <c r="R229" s="108"/>
      <c r="S229" s="440"/>
      <c r="T229" s="440"/>
      <c r="U229" s="440"/>
      <c r="V229" s="440"/>
      <c r="W229" s="440"/>
      <c r="X229" s="440"/>
      <c r="Y229" s="108"/>
      <c r="Z229" s="108"/>
    </row>
    <row r="230" ht="18.75" customHeight="1">
      <c r="A230" s="437"/>
      <c r="B230" s="438"/>
      <c r="C230" s="438"/>
      <c r="D230" s="438"/>
      <c r="E230" s="438"/>
      <c r="F230" s="438"/>
      <c r="G230" s="438"/>
      <c r="H230" s="108"/>
      <c r="I230" s="108"/>
      <c r="J230" s="440"/>
      <c r="K230" s="440"/>
      <c r="L230" s="440"/>
      <c r="M230" s="440"/>
      <c r="N230" s="440"/>
      <c r="O230" s="440"/>
      <c r="P230" s="440"/>
      <c r="Q230" s="440"/>
      <c r="R230" s="108"/>
      <c r="S230" s="440"/>
      <c r="T230" s="440"/>
      <c r="U230" s="440"/>
      <c r="V230" s="440"/>
      <c r="W230" s="440"/>
      <c r="X230" s="440"/>
      <c r="Y230" s="108"/>
      <c r="Z230" s="108"/>
    </row>
    <row r="231" ht="18.75" customHeight="1">
      <c r="A231" s="437"/>
      <c r="B231" s="438"/>
      <c r="C231" s="438"/>
      <c r="D231" s="438"/>
      <c r="E231" s="438"/>
      <c r="F231" s="438"/>
      <c r="G231" s="438"/>
      <c r="H231" s="108"/>
      <c r="I231" s="108"/>
      <c r="J231" s="440"/>
      <c r="K231" s="440"/>
      <c r="L231" s="440"/>
      <c r="M231" s="440"/>
      <c r="N231" s="440"/>
      <c r="O231" s="440"/>
      <c r="P231" s="440"/>
      <c r="Q231" s="440"/>
      <c r="R231" s="108"/>
      <c r="S231" s="440"/>
      <c r="T231" s="440"/>
      <c r="U231" s="440"/>
      <c r="V231" s="440"/>
      <c r="W231" s="440"/>
      <c r="X231" s="440"/>
      <c r="Y231" s="108"/>
      <c r="Z231" s="108"/>
    </row>
    <row r="232" ht="18.75" customHeight="1">
      <c r="A232" s="437"/>
      <c r="B232" s="438"/>
      <c r="C232" s="438"/>
      <c r="D232" s="438"/>
      <c r="E232" s="438"/>
      <c r="F232" s="438"/>
      <c r="G232" s="438"/>
      <c r="H232" s="108"/>
      <c r="I232" s="108"/>
      <c r="J232" s="440"/>
      <c r="K232" s="440"/>
      <c r="L232" s="440"/>
      <c r="M232" s="440"/>
      <c r="N232" s="440"/>
      <c r="O232" s="440"/>
      <c r="P232" s="440"/>
      <c r="Q232" s="440"/>
      <c r="R232" s="108"/>
      <c r="S232" s="440"/>
      <c r="T232" s="440"/>
      <c r="U232" s="440"/>
      <c r="V232" s="440"/>
      <c r="W232" s="440"/>
      <c r="X232" s="440"/>
      <c r="Y232" s="108"/>
      <c r="Z232" s="108"/>
    </row>
    <row r="233" ht="18.75" customHeight="1">
      <c r="A233" s="437"/>
      <c r="B233" s="438"/>
      <c r="C233" s="438"/>
      <c r="D233" s="438"/>
      <c r="E233" s="438"/>
      <c r="F233" s="438"/>
      <c r="G233" s="438"/>
      <c r="H233" s="108"/>
      <c r="I233" s="108"/>
      <c r="J233" s="440"/>
      <c r="K233" s="440"/>
      <c r="L233" s="440"/>
      <c r="M233" s="440"/>
      <c r="N233" s="440"/>
      <c r="O233" s="440"/>
      <c r="P233" s="440"/>
      <c r="Q233" s="440"/>
      <c r="R233" s="108"/>
      <c r="S233" s="440"/>
      <c r="T233" s="440"/>
      <c r="U233" s="440"/>
      <c r="V233" s="440"/>
      <c r="W233" s="440"/>
      <c r="X233" s="440"/>
      <c r="Y233" s="108"/>
      <c r="Z233" s="108"/>
    </row>
    <row r="234" ht="18.75" customHeight="1">
      <c r="A234" s="437"/>
      <c r="B234" s="438"/>
      <c r="C234" s="438"/>
      <c r="D234" s="438"/>
      <c r="E234" s="438"/>
      <c r="F234" s="438"/>
      <c r="G234" s="438"/>
      <c r="H234" s="108"/>
      <c r="I234" s="108"/>
      <c r="J234" s="440"/>
      <c r="K234" s="440"/>
      <c r="L234" s="440"/>
      <c r="M234" s="440"/>
      <c r="N234" s="440"/>
      <c r="O234" s="440"/>
      <c r="P234" s="440"/>
      <c r="Q234" s="440"/>
      <c r="R234" s="108"/>
      <c r="S234" s="440"/>
      <c r="T234" s="440"/>
      <c r="U234" s="440"/>
      <c r="V234" s="440"/>
      <c r="W234" s="440"/>
      <c r="X234" s="440"/>
      <c r="Y234" s="108"/>
      <c r="Z234" s="108"/>
    </row>
    <row r="235" ht="18.75" customHeight="1">
      <c r="A235" s="437"/>
      <c r="B235" s="438"/>
      <c r="C235" s="438"/>
      <c r="D235" s="438"/>
      <c r="E235" s="438"/>
      <c r="F235" s="438"/>
      <c r="G235" s="438"/>
      <c r="H235" s="108"/>
      <c r="I235" s="108"/>
      <c r="J235" s="440"/>
      <c r="K235" s="440"/>
      <c r="L235" s="440"/>
      <c r="M235" s="440"/>
      <c r="N235" s="440"/>
      <c r="O235" s="440"/>
      <c r="P235" s="440"/>
      <c r="Q235" s="440"/>
      <c r="R235" s="108"/>
      <c r="S235" s="440"/>
      <c r="T235" s="440"/>
      <c r="U235" s="440"/>
      <c r="V235" s="440"/>
      <c r="W235" s="440"/>
      <c r="X235" s="440"/>
      <c r="Y235" s="108"/>
      <c r="Z235" s="108"/>
    </row>
    <row r="236" ht="18.75" customHeight="1">
      <c r="A236" s="437"/>
      <c r="B236" s="438"/>
      <c r="C236" s="438"/>
      <c r="D236" s="438"/>
      <c r="E236" s="438"/>
      <c r="F236" s="438"/>
      <c r="G236" s="438"/>
      <c r="H236" s="108"/>
      <c r="I236" s="108"/>
      <c r="J236" s="440"/>
      <c r="K236" s="440"/>
      <c r="L236" s="440"/>
      <c r="M236" s="440"/>
      <c r="N236" s="440"/>
      <c r="O236" s="440"/>
      <c r="P236" s="440"/>
      <c r="Q236" s="440"/>
      <c r="R236" s="108"/>
      <c r="S236" s="440"/>
      <c r="T236" s="440"/>
      <c r="U236" s="440"/>
      <c r="V236" s="440"/>
      <c r="W236" s="440"/>
      <c r="X236" s="440"/>
      <c r="Y236" s="108"/>
      <c r="Z236" s="108"/>
    </row>
    <row r="237" ht="18.75" customHeight="1">
      <c r="A237" s="437"/>
      <c r="B237" s="438"/>
      <c r="C237" s="438"/>
      <c r="D237" s="438"/>
      <c r="E237" s="438"/>
      <c r="F237" s="438"/>
      <c r="G237" s="438"/>
      <c r="H237" s="108"/>
      <c r="I237" s="108"/>
      <c r="J237" s="440"/>
      <c r="K237" s="440"/>
      <c r="L237" s="440"/>
      <c r="M237" s="440"/>
      <c r="N237" s="440"/>
      <c r="O237" s="440"/>
      <c r="P237" s="440"/>
      <c r="Q237" s="440"/>
      <c r="R237" s="108"/>
      <c r="S237" s="440"/>
      <c r="T237" s="440"/>
      <c r="U237" s="440"/>
      <c r="V237" s="440"/>
      <c r="W237" s="440"/>
      <c r="X237" s="440"/>
      <c r="Y237" s="108"/>
      <c r="Z237" s="108"/>
    </row>
    <row r="238" ht="18.75" customHeight="1">
      <c r="A238" s="437"/>
      <c r="B238" s="438"/>
      <c r="C238" s="438"/>
      <c r="D238" s="438"/>
      <c r="E238" s="438"/>
      <c r="F238" s="438"/>
      <c r="G238" s="438"/>
      <c r="H238" s="108"/>
      <c r="I238" s="108"/>
      <c r="J238" s="440"/>
      <c r="K238" s="440"/>
      <c r="L238" s="440"/>
      <c r="M238" s="440"/>
      <c r="N238" s="440"/>
      <c r="O238" s="440"/>
      <c r="P238" s="440"/>
      <c r="Q238" s="440"/>
      <c r="R238" s="108"/>
      <c r="S238" s="440"/>
      <c r="T238" s="440"/>
      <c r="U238" s="440"/>
      <c r="V238" s="440"/>
      <c r="W238" s="440"/>
      <c r="X238" s="440"/>
      <c r="Y238" s="108"/>
      <c r="Z238" s="108"/>
    </row>
    <row r="239" ht="18.75" customHeight="1">
      <c r="A239" s="437"/>
      <c r="B239" s="438"/>
      <c r="C239" s="438"/>
      <c r="D239" s="438"/>
      <c r="E239" s="438"/>
      <c r="F239" s="438"/>
      <c r="G239" s="438"/>
      <c r="H239" s="108"/>
      <c r="I239" s="108"/>
      <c r="J239" s="440"/>
      <c r="K239" s="440"/>
      <c r="L239" s="440"/>
      <c r="M239" s="440"/>
      <c r="N239" s="440"/>
      <c r="O239" s="440"/>
      <c r="P239" s="440"/>
      <c r="Q239" s="440"/>
      <c r="R239" s="108"/>
      <c r="S239" s="440"/>
      <c r="T239" s="440"/>
      <c r="U239" s="440"/>
      <c r="V239" s="440"/>
      <c r="W239" s="440"/>
      <c r="X239" s="440"/>
      <c r="Y239" s="108"/>
      <c r="Z239" s="108"/>
    </row>
    <row r="240" ht="18.75" customHeight="1">
      <c r="A240" s="437"/>
      <c r="B240" s="438"/>
      <c r="C240" s="438"/>
      <c r="D240" s="438"/>
      <c r="E240" s="438"/>
      <c r="F240" s="438"/>
      <c r="G240" s="438"/>
      <c r="H240" s="108"/>
      <c r="I240" s="108"/>
      <c r="J240" s="440"/>
      <c r="K240" s="440"/>
      <c r="L240" s="440"/>
      <c r="M240" s="440"/>
      <c r="N240" s="440"/>
      <c r="O240" s="440"/>
      <c r="P240" s="440"/>
      <c r="Q240" s="440"/>
      <c r="R240" s="108"/>
      <c r="S240" s="440"/>
      <c r="T240" s="440"/>
      <c r="U240" s="440"/>
      <c r="V240" s="440"/>
      <c r="W240" s="440"/>
      <c r="X240" s="440"/>
      <c r="Y240" s="108"/>
      <c r="Z240" s="108"/>
    </row>
    <row r="241" ht="18.75" customHeight="1">
      <c r="A241" s="437"/>
      <c r="B241" s="438"/>
      <c r="C241" s="438"/>
      <c r="D241" s="438"/>
      <c r="E241" s="438"/>
      <c r="F241" s="438"/>
      <c r="G241" s="438"/>
      <c r="H241" s="108"/>
      <c r="I241" s="108"/>
      <c r="J241" s="440"/>
      <c r="K241" s="440"/>
      <c r="L241" s="440"/>
      <c r="M241" s="440"/>
      <c r="N241" s="440"/>
      <c r="O241" s="440"/>
      <c r="P241" s="440"/>
      <c r="Q241" s="440"/>
      <c r="R241" s="108"/>
      <c r="S241" s="440"/>
      <c r="T241" s="440"/>
      <c r="U241" s="440"/>
      <c r="V241" s="440"/>
      <c r="W241" s="440"/>
      <c r="X241" s="440"/>
      <c r="Y241" s="108"/>
      <c r="Z241" s="108"/>
    </row>
    <row r="242" ht="18.75" customHeight="1">
      <c r="A242" s="437"/>
      <c r="B242" s="438"/>
      <c r="C242" s="438"/>
      <c r="D242" s="438"/>
      <c r="E242" s="438"/>
      <c r="F242" s="438"/>
      <c r="G242" s="438"/>
      <c r="H242" s="108"/>
      <c r="I242" s="108"/>
      <c r="J242" s="440"/>
      <c r="K242" s="440"/>
      <c r="L242" s="440"/>
      <c r="M242" s="440"/>
      <c r="N242" s="440"/>
      <c r="O242" s="440"/>
      <c r="P242" s="440"/>
      <c r="Q242" s="440"/>
      <c r="R242" s="108"/>
      <c r="S242" s="440"/>
      <c r="T242" s="440"/>
      <c r="U242" s="440"/>
      <c r="V242" s="440"/>
      <c r="W242" s="440"/>
      <c r="X242" s="440"/>
      <c r="Y242" s="108"/>
      <c r="Z242" s="108"/>
    </row>
    <row r="243" ht="18.75" customHeight="1">
      <c r="A243" s="437"/>
      <c r="B243" s="438"/>
      <c r="C243" s="438"/>
      <c r="D243" s="438"/>
      <c r="E243" s="438"/>
      <c r="F243" s="438"/>
      <c r="G243" s="438"/>
      <c r="H243" s="108"/>
      <c r="I243" s="108"/>
      <c r="J243" s="440"/>
      <c r="K243" s="440"/>
      <c r="L243" s="440"/>
      <c r="M243" s="440"/>
      <c r="N243" s="440"/>
      <c r="O243" s="440"/>
      <c r="P243" s="440"/>
      <c r="Q243" s="440"/>
      <c r="R243" s="108"/>
      <c r="S243" s="440"/>
      <c r="T243" s="440"/>
      <c r="U243" s="440"/>
      <c r="V243" s="440"/>
      <c r="W243" s="440"/>
      <c r="X243" s="440"/>
      <c r="Y243" s="108"/>
      <c r="Z243" s="108"/>
    </row>
    <row r="244" ht="18.75" customHeight="1">
      <c r="A244" s="437"/>
      <c r="B244" s="438"/>
      <c r="C244" s="438"/>
      <c r="D244" s="438"/>
      <c r="E244" s="438"/>
      <c r="F244" s="438"/>
      <c r="G244" s="438"/>
      <c r="H244" s="108"/>
      <c r="I244" s="108"/>
      <c r="J244" s="440"/>
      <c r="K244" s="440"/>
      <c r="L244" s="440"/>
      <c r="M244" s="440"/>
      <c r="N244" s="440"/>
      <c r="O244" s="440"/>
      <c r="P244" s="440"/>
      <c r="Q244" s="440"/>
      <c r="R244" s="108"/>
      <c r="S244" s="440"/>
      <c r="T244" s="440"/>
      <c r="U244" s="440"/>
      <c r="V244" s="440"/>
      <c r="W244" s="440"/>
      <c r="X244" s="440"/>
      <c r="Y244" s="108"/>
      <c r="Z244" s="108"/>
    </row>
    <row r="245" ht="18.75" customHeight="1">
      <c r="A245" s="437"/>
      <c r="B245" s="438"/>
      <c r="C245" s="438"/>
      <c r="D245" s="438"/>
      <c r="E245" s="438"/>
      <c r="F245" s="438"/>
      <c r="G245" s="438"/>
      <c r="H245" s="108"/>
      <c r="I245" s="108"/>
      <c r="J245" s="440"/>
      <c r="K245" s="440"/>
      <c r="L245" s="440"/>
      <c r="M245" s="440"/>
      <c r="N245" s="440"/>
      <c r="O245" s="440"/>
      <c r="P245" s="440"/>
      <c r="Q245" s="440"/>
      <c r="R245" s="108"/>
      <c r="S245" s="440"/>
      <c r="T245" s="440"/>
      <c r="U245" s="440"/>
      <c r="V245" s="440"/>
      <c r="W245" s="440"/>
      <c r="X245" s="440"/>
      <c r="Y245" s="108"/>
      <c r="Z245" s="108"/>
    </row>
    <row r="246" ht="18.75" customHeight="1">
      <c r="A246" s="437"/>
      <c r="B246" s="438"/>
      <c r="C246" s="438"/>
      <c r="D246" s="438"/>
      <c r="E246" s="438"/>
      <c r="F246" s="438"/>
      <c r="G246" s="438"/>
      <c r="H246" s="108"/>
      <c r="I246" s="108"/>
      <c r="J246" s="440"/>
      <c r="K246" s="440"/>
      <c r="L246" s="440"/>
      <c r="M246" s="440"/>
      <c r="N246" s="440"/>
      <c r="O246" s="440"/>
      <c r="P246" s="440"/>
      <c r="Q246" s="440"/>
      <c r="R246" s="108"/>
      <c r="S246" s="440"/>
      <c r="T246" s="440"/>
      <c r="U246" s="440"/>
      <c r="V246" s="440"/>
      <c r="W246" s="440"/>
      <c r="X246" s="440"/>
      <c r="Y246" s="108"/>
      <c r="Z246" s="108"/>
    </row>
    <row r="247" ht="18.75" customHeight="1">
      <c r="A247" s="437"/>
      <c r="B247" s="438"/>
      <c r="C247" s="438"/>
      <c r="D247" s="438"/>
      <c r="E247" s="438"/>
      <c r="F247" s="438"/>
      <c r="G247" s="438"/>
      <c r="H247" s="108"/>
      <c r="I247" s="108"/>
      <c r="J247" s="440"/>
      <c r="K247" s="440"/>
      <c r="L247" s="440"/>
      <c r="M247" s="440"/>
      <c r="N247" s="440"/>
      <c r="O247" s="440"/>
      <c r="P247" s="440"/>
      <c r="Q247" s="440"/>
      <c r="R247" s="108"/>
      <c r="S247" s="440"/>
      <c r="T247" s="440"/>
      <c r="U247" s="440"/>
      <c r="V247" s="440"/>
      <c r="W247" s="440"/>
      <c r="X247" s="440"/>
      <c r="Y247" s="108"/>
      <c r="Z247" s="108"/>
    </row>
    <row r="248" ht="18.75" customHeight="1">
      <c r="A248" s="437"/>
      <c r="B248" s="438"/>
      <c r="C248" s="438"/>
      <c r="D248" s="438"/>
      <c r="E248" s="438"/>
      <c r="F248" s="438"/>
      <c r="G248" s="438"/>
      <c r="H248" s="108"/>
      <c r="I248" s="108"/>
      <c r="J248" s="440"/>
      <c r="K248" s="440"/>
      <c r="L248" s="440"/>
      <c r="M248" s="440"/>
      <c r="N248" s="440"/>
      <c r="O248" s="440"/>
      <c r="P248" s="440"/>
      <c r="Q248" s="440"/>
      <c r="R248" s="108"/>
      <c r="S248" s="440"/>
      <c r="T248" s="440"/>
      <c r="U248" s="440"/>
      <c r="V248" s="440"/>
      <c r="W248" s="440"/>
      <c r="X248" s="440"/>
      <c r="Y248" s="108"/>
      <c r="Z248" s="108"/>
    </row>
    <row r="249" ht="18.75" customHeight="1">
      <c r="A249" s="437"/>
      <c r="B249" s="438"/>
      <c r="C249" s="438"/>
      <c r="D249" s="438"/>
      <c r="E249" s="438"/>
      <c r="F249" s="438"/>
      <c r="G249" s="438"/>
      <c r="H249" s="108"/>
      <c r="I249" s="108"/>
      <c r="J249" s="440"/>
      <c r="K249" s="440"/>
      <c r="L249" s="440"/>
      <c r="M249" s="440"/>
      <c r="N249" s="440"/>
      <c r="O249" s="440"/>
      <c r="P249" s="440"/>
      <c r="Q249" s="440"/>
      <c r="R249" s="108"/>
      <c r="S249" s="440"/>
      <c r="T249" s="440"/>
      <c r="U249" s="440"/>
      <c r="V249" s="440"/>
      <c r="W249" s="440"/>
      <c r="X249" s="440"/>
      <c r="Y249" s="108"/>
      <c r="Z249" s="108"/>
    </row>
    <row r="250" ht="18.75" customHeight="1">
      <c r="A250" s="437"/>
      <c r="B250" s="438"/>
      <c r="C250" s="438"/>
      <c r="D250" s="438"/>
      <c r="E250" s="438"/>
      <c r="F250" s="438"/>
      <c r="G250" s="438"/>
      <c r="H250" s="108"/>
      <c r="I250" s="108"/>
      <c r="J250" s="440"/>
      <c r="K250" s="440"/>
      <c r="L250" s="440"/>
      <c r="M250" s="440"/>
      <c r="N250" s="440"/>
      <c r="O250" s="440"/>
      <c r="P250" s="440"/>
      <c r="Q250" s="440"/>
      <c r="R250" s="108"/>
      <c r="S250" s="440"/>
      <c r="T250" s="440"/>
      <c r="U250" s="440"/>
      <c r="V250" s="440"/>
      <c r="W250" s="440"/>
      <c r="X250" s="440"/>
      <c r="Y250" s="108"/>
      <c r="Z250" s="108"/>
    </row>
    <row r="251" ht="18.75" customHeight="1">
      <c r="A251" s="437"/>
      <c r="B251" s="438"/>
      <c r="C251" s="438"/>
      <c r="D251" s="438"/>
      <c r="E251" s="438"/>
      <c r="F251" s="438"/>
      <c r="G251" s="438"/>
      <c r="H251" s="108"/>
      <c r="I251" s="108"/>
      <c r="J251" s="440"/>
      <c r="K251" s="440"/>
      <c r="L251" s="440"/>
      <c r="M251" s="440"/>
      <c r="N251" s="440"/>
      <c r="O251" s="440"/>
      <c r="P251" s="440"/>
      <c r="Q251" s="440"/>
      <c r="R251" s="108"/>
      <c r="S251" s="440"/>
      <c r="T251" s="440"/>
      <c r="U251" s="440"/>
      <c r="V251" s="440"/>
      <c r="W251" s="440"/>
      <c r="X251" s="440"/>
      <c r="Y251" s="108"/>
      <c r="Z251" s="108"/>
    </row>
    <row r="252" ht="18.75" customHeight="1">
      <c r="A252" s="437"/>
      <c r="B252" s="438"/>
      <c r="C252" s="438"/>
      <c r="D252" s="438"/>
      <c r="E252" s="438"/>
      <c r="F252" s="438"/>
      <c r="G252" s="438"/>
      <c r="H252" s="108"/>
      <c r="I252" s="108"/>
      <c r="J252" s="440"/>
      <c r="K252" s="440"/>
      <c r="L252" s="440"/>
      <c r="M252" s="440"/>
      <c r="N252" s="440"/>
      <c r="O252" s="440"/>
      <c r="P252" s="440"/>
      <c r="Q252" s="440"/>
      <c r="R252" s="108"/>
      <c r="S252" s="440"/>
      <c r="T252" s="440"/>
      <c r="U252" s="440"/>
      <c r="V252" s="440"/>
      <c r="W252" s="440"/>
      <c r="X252" s="440"/>
      <c r="Y252" s="108"/>
      <c r="Z252" s="108"/>
    </row>
    <row r="253" ht="18.75" customHeight="1">
      <c r="A253" s="437"/>
      <c r="B253" s="438"/>
      <c r="C253" s="438"/>
      <c r="D253" s="438"/>
      <c r="E253" s="438"/>
      <c r="F253" s="438"/>
      <c r="G253" s="438"/>
      <c r="H253" s="108"/>
      <c r="I253" s="108"/>
      <c r="J253" s="440"/>
      <c r="K253" s="440"/>
      <c r="L253" s="440"/>
      <c r="M253" s="440"/>
      <c r="N253" s="440"/>
      <c r="O253" s="440"/>
      <c r="P253" s="440"/>
      <c r="Q253" s="440"/>
      <c r="R253" s="108"/>
      <c r="S253" s="440"/>
      <c r="T253" s="440"/>
      <c r="U253" s="440"/>
      <c r="V253" s="440"/>
      <c r="W253" s="440"/>
      <c r="X253" s="440"/>
      <c r="Y253" s="108"/>
      <c r="Z253" s="108"/>
    </row>
    <row r="254" ht="18.75" customHeight="1">
      <c r="A254" s="437"/>
      <c r="B254" s="438"/>
      <c r="C254" s="438"/>
      <c r="D254" s="438"/>
      <c r="E254" s="438"/>
      <c r="F254" s="438"/>
      <c r="G254" s="438"/>
      <c r="H254" s="108"/>
      <c r="I254" s="108"/>
      <c r="J254" s="440"/>
      <c r="K254" s="440"/>
      <c r="L254" s="440"/>
      <c r="M254" s="440"/>
      <c r="N254" s="440"/>
      <c r="O254" s="440"/>
      <c r="P254" s="440"/>
      <c r="Q254" s="440"/>
      <c r="R254" s="108"/>
      <c r="S254" s="440"/>
      <c r="T254" s="440"/>
      <c r="U254" s="440"/>
      <c r="V254" s="440"/>
      <c r="W254" s="440"/>
      <c r="X254" s="440"/>
      <c r="Y254" s="108"/>
      <c r="Z254" s="108"/>
    </row>
    <row r="255" ht="18.75" customHeight="1">
      <c r="A255" s="437"/>
      <c r="B255" s="438"/>
      <c r="C255" s="438"/>
      <c r="D255" s="438"/>
      <c r="E255" s="438"/>
      <c r="F255" s="438"/>
      <c r="G255" s="438"/>
      <c r="H255" s="108"/>
      <c r="I255" s="108"/>
      <c r="J255" s="440"/>
      <c r="K255" s="440"/>
      <c r="L255" s="440"/>
      <c r="M255" s="440"/>
      <c r="N255" s="440"/>
      <c r="O255" s="440"/>
      <c r="P255" s="440"/>
      <c r="Q255" s="440"/>
      <c r="R255" s="108"/>
      <c r="S255" s="440"/>
      <c r="T255" s="440"/>
      <c r="U255" s="440"/>
      <c r="V255" s="440"/>
      <c r="W255" s="440"/>
      <c r="X255" s="440"/>
      <c r="Y255" s="108"/>
      <c r="Z255" s="108"/>
    </row>
    <row r="256" ht="18.75" customHeight="1">
      <c r="A256" s="437"/>
      <c r="B256" s="438"/>
      <c r="C256" s="438"/>
      <c r="D256" s="438"/>
      <c r="E256" s="438"/>
      <c r="F256" s="438"/>
      <c r="G256" s="438"/>
      <c r="H256" s="108"/>
      <c r="I256" s="108"/>
      <c r="J256" s="440"/>
      <c r="K256" s="440"/>
      <c r="L256" s="440"/>
      <c r="M256" s="440"/>
      <c r="N256" s="440"/>
      <c r="O256" s="440"/>
      <c r="P256" s="440"/>
      <c r="Q256" s="440"/>
      <c r="R256" s="108"/>
      <c r="S256" s="440"/>
      <c r="T256" s="440"/>
      <c r="U256" s="440"/>
      <c r="V256" s="440"/>
      <c r="W256" s="440"/>
      <c r="X256" s="440"/>
      <c r="Y256" s="108"/>
      <c r="Z256" s="108"/>
    </row>
    <row r="257" ht="18.75" customHeight="1">
      <c r="A257" s="437"/>
      <c r="B257" s="438"/>
      <c r="C257" s="438"/>
      <c r="D257" s="438"/>
      <c r="E257" s="438"/>
      <c r="F257" s="438"/>
      <c r="G257" s="438"/>
      <c r="H257" s="108"/>
      <c r="I257" s="108"/>
      <c r="J257" s="440"/>
      <c r="K257" s="440"/>
      <c r="L257" s="440"/>
      <c r="M257" s="440"/>
      <c r="N257" s="440"/>
      <c r="O257" s="440"/>
      <c r="P257" s="440"/>
      <c r="Q257" s="440"/>
      <c r="R257" s="108"/>
      <c r="S257" s="440"/>
      <c r="T257" s="440"/>
      <c r="U257" s="440"/>
      <c r="V257" s="440"/>
      <c r="W257" s="440"/>
      <c r="X257" s="440"/>
      <c r="Y257" s="108"/>
      <c r="Z257" s="108"/>
    </row>
    <row r="258" ht="18.75" customHeight="1">
      <c r="A258" s="437"/>
      <c r="B258" s="438"/>
      <c r="C258" s="438"/>
      <c r="D258" s="438"/>
      <c r="E258" s="438"/>
      <c r="F258" s="438"/>
      <c r="G258" s="438"/>
      <c r="H258" s="108"/>
      <c r="I258" s="108"/>
      <c r="J258" s="440"/>
      <c r="K258" s="440"/>
      <c r="L258" s="440"/>
      <c r="M258" s="440"/>
      <c r="N258" s="440"/>
      <c r="O258" s="440"/>
      <c r="P258" s="440"/>
      <c r="Q258" s="440"/>
      <c r="R258" s="108"/>
      <c r="S258" s="440"/>
      <c r="T258" s="440"/>
      <c r="U258" s="440"/>
      <c r="V258" s="440"/>
      <c r="W258" s="440"/>
      <c r="X258" s="440"/>
      <c r="Y258" s="108"/>
      <c r="Z258" s="108"/>
    </row>
    <row r="259" ht="18.75" customHeight="1">
      <c r="A259" s="437"/>
      <c r="B259" s="438"/>
      <c r="C259" s="438"/>
      <c r="D259" s="438"/>
      <c r="E259" s="438"/>
      <c r="F259" s="438"/>
      <c r="G259" s="438"/>
      <c r="H259" s="108"/>
      <c r="I259" s="108"/>
      <c r="J259" s="440"/>
      <c r="K259" s="440"/>
      <c r="L259" s="440"/>
      <c r="M259" s="440"/>
      <c r="N259" s="440"/>
      <c r="O259" s="440"/>
      <c r="P259" s="440"/>
      <c r="Q259" s="440"/>
      <c r="R259" s="108"/>
      <c r="S259" s="440"/>
      <c r="T259" s="440"/>
      <c r="U259" s="440"/>
      <c r="V259" s="440"/>
      <c r="W259" s="440"/>
      <c r="X259" s="440"/>
      <c r="Y259" s="108"/>
      <c r="Z259" s="108"/>
    </row>
    <row r="260" ht="18.75" customHeight="1">
      <c r="A260" s="437"/>
      <c r="B260" s="438"/>
      <c r="C260" s="438"/>
      <c r="D260" s="438"/>
      <c r="E260" s="438"/>
      <c r="F260" s="438"/>
      <c r="G260" s="438"/>
      <c r="H260" s="108"/>
      <c r="I260" s="108"/>
      <c r="J260" s="440"/>
      <c r="K260" s="440"/>
      <c r="L260" s="440"/>
      <c r="M260" s="440"/>
      <c r="N260" s="440"/>
      <c r="O260" s="440"/>
      <c r="P260" s="440"/>
      <c r="Q260" s="440"/>
      <c r="R260" s="108"/>
      <c r="S260" s="440"/>
      <c r="T260" s="440"/>
      <c r="U260" s="440"/>
      <c r="V260" s="440"/>
      <c r="W260" s="440"/>
      <c r="X260" s="440"/>
      <c r="Y260" s="108"/>
      <c r="Z260" s="108"/>
    </row>
    <row r="261" ht="18.75" customHeight="1">
      <c r="A261" s="437"/>
      <c r="B261" s="438"/>
      <c r="C261" s="438"/>
      <c r="D261" s="438"/>
      <c r="E261" s="438"/>
      <c r="F261" s="438"/>
      <c r="G261" s="438"/>
      <c r="H261" s="108"/>
      <c r="I261" s="108"/>
      <c r="J261" s="440"/>
      <c r="K261" s="440"/>
      <c r="L261" s="440"/>
      <c r="M261" s="440"/>
      <c r="N261" s="440"/>
      <c r="O261" s="440"/>
      <c r="P261" s="440"/>
      <c r="Q261" s="440"/>
      <c r="R261" s="108"/>
      <c r="S261" s="440"/>
      <c r="T261" s="440"/>
      <c r="U261" s="440"/>
      <c r="V261" s="440"/>
      <c r="W261" s="440"/>
      <c r="X261" s="440"/>
      <c r="Y261" s="108"/>
      <c r="Z261" s="108"/>
    </row>
    <row r="262" ht="18.75" customHeight="1">
      <c r="A262" s="437"/>
      <c r="B262" s="438"/>
      <c r="C262" s="438"/>
      <c r="D262" s="438"/>
      <c r="E262" s="438"/>
      <c r="F262" s="438"/>
      <c r="G262" s="438"/>
      <c r="H262" s="108"/>
      <c r="I262" s="108"/>
      <c r="J262" s="440"/>
      <c r="K262" s="440"/>
      <c r="L262" s="440"/>
      <c r="M262" s="440"/>
      <c r="N262" s="440"/>
      <c r="O262" s="440"/>
      <c r="P262" s="440"/>
      <c r="Q262" s="440"/>
      <c r="R262" s="108"/>
      <c r="S262" s="440"/>
      <c r="T262" s="440"/>
      <c r="U262" s="440"/>
      <c r="V262" s="440"/>
      <c r="W262" s="440"/>
      <c r="X262" s="440"/>
      <c r="Y262" s="108"/>
      <c r="Z262" s="108"/>
    </row>
    <row r="263" ht="18.75" customHeight="1">
      <c r="A263" s="437"/>
      <c r="B263" s="438"/>
      <c r="C263" s="438"/>
      <c r="D263" s="438"/>
      <c r="E263" s="438"/>
      <c r="F263" s="438"/>
      <c r="G263" s="438"/>
      <c r="H263" s="108"/>
      <c r="I263" s="108"/>
      <c r="J263" s="440"/>
      <c r="K263" s="440"/>
      <c r="L263" s="440"/>
      <c r="M263" s="440"/>
      <c r="N263" s="440"/>
      <c r="O263" s="440"/>
      <c r="P263" s="440"/>
      <c r="Q263" s="440"/>
      <c r="R263" s="108"/>
      <c r="S263" s="440"/>
      <c r="T263" s="440"/>
      <c r="U263" s="440"/>
      <c r="V263" s="440"/>
      <c r="W263" s="440"/>
      <c r="X263" s="440"/>
      <c r="Y263" s="108"/>
      <c r="Z263" s="108"/>
    </row>
    <row r="264" ht="18.75" customHeight="1">
      <c r="A264" s="437"/>
      <c r="B264" s="438"/>
      <c r="C264" s="438"/>
      <c r="D264" s="438"/>
      <c r="E264" s="438"/>
      <c r="F264" s="438"/>
      <c r="G264" s="438"/>
      <c r="H264" s="108"/>
      <c r="I264" s="108"/>
      <c r="J264" s="440"/>
      <c r="K264" s="440"/>
      <c r="L264" s="440"/>
      <c r="M264" s="440"/>
      <c r="N264" s="440"/>
      <c r="O264" s="440"/>
      <c r="P264" s="440"/>
      <c r="Q264" s="440"/>
      <c r="R264" s="108"/>
      <c r="S264" s="440"/>
      <c r="T264" s="440"/>
      <c r="U264" s="440"/>
      <c r="V264" s="440"/>
      <c r="W264" s="440"/>
      <c r="X264" s="440"/>
      <c r="Y264" s="108"/>
      <c r="Z264" s="108"/>
    </row>
    <row r="265" ht="18.75" customHeight="1">
      <c r="A265" s="437"/>
      <c r="B265" s="438"/>
      <c r="C265" s="438"/>
      <c r="D265" s="438"/>
      <c r="E265" s="438"/>
      <c r="F265" s="438"/>
      <c r="G265" s="438"/>
      <c r="H265" s="108"/>
      <c r="I265" s="108"/>
      <c r="J265" s="440"/>
      <c r="K265" s="440"/>
      <c r="L265" s="440"/>
      <c r="M265" s="440"/>
      <c r="N265" s="440"/>
      <c r="O265" s="440"/>
      <c r="P265" s="440"/>
      <c r="Q265" s="440"/>
      <c r="R265" s="108"/>
      <c r="S265" s="440"/>
      <c r="T265" s="440"/>
      <c r="U265" s="440"/>
      <c r="V265" s="440"/>
      <c r="W265" s="440"/>
      <c r="X265" s="440"/>
      <c r="Y265" s="108"/>
      <c r="Z265" s="108"/>
    </row>
    <row r="266" ht="18.75" customHeight="1">
      <c r="A266" s="437"/>
      <c r="B266" s="438"/>
      <c r="C266" s="438"/>
      <c r="D266" s="438"/>
      <c r="E266" s="438"/>
      <c r="F266" s="438"/>
      <c r="G266" s="438"/>
      <c r="H266" s="108"/>
      <c r="I266" s="108"/>
      <c r="J266" s="440"/>
      <c r="K266" s="440"/>
      <c r="L266" s="440"/>
      <c r="M266" s="440"/>
      <c r="N266" s="440"/>
      <c r="O266" s="440"/>
      <c r="P266" s="440"/>
      <c r="Q266" s="440"/>
      <c r="R266" s="108"/>
      <c r="S266" s="440"/>
      <c r="T266" s="440"/>
      <c r="U266" s="440"/>
      <c r="V266" s="440"/>
      <c r="W266" s="440"/>
      <c r="X266" s="440"/>
      <c r="Y266" s="108"/>
      <c r="Z266" s="108"/>
    </row>
    <row r="267" ht="18.75" customHeight="1">
      <c r="A267" s="437"/>
      <c r="B267" s="438"/>
      <c r="C267" s="438"/>
      <c r="D267" s="438"/>
      <c r="E267" s="438"/>
      <c r="F267" s="438"/>
      <c r="G267" s="438"/>
      <c r="H267" s="108"/>
      <c r="I267" s="108"/>
      <c r="J267" s="440"/>
      <c r="K267" s="440"/>
      <c r="L267" s="440"/>
      <c r="M267" s="440"/>
      <c r="N267" s="440"/>
      <c r="O267" s="440"/>
      <c r="P267" s="440"/>
      <c r="Q267" s="440"/>
      <c r="R267" s="108"/>
      <c r="S267" s="440"/>
      <c r="T267" s="440"/>
      <c r="U267" s="440"/>
      <c r="V267" s="440"/>
      <c r="W267" s="440"/>
      <c r="X267" s="440"/>
      <c r="Y267" s="108"/>
      <c r="Z267" s="108"/>
    </row>
    <row r="268" ht="18.75" customHeight="1">
      <c r="A268" s="437"/>
      <c r="B268" s="438"/>
      <c r="C268" s="438"/>
      <c r="D268" s="438"/>
      <c r="E268" s="438"/>
      <c r="F268" s="438"/>
      <c r="G268" s="438"/>
      <c r="H268" s="108"/>
      <c r="I268" s="108"/>
      <c r="J268" s="440"/>
      <c r="K268" s="440"/>
      <c r="L268" s="440"/>
      <c r="M268" s="440"/>
      <c r="N268" s="440"/>
      <c r="O268" s="440"/>
      <c r="P268" s="440"/>
      <c r="Q268" s="440"/>
      <c r="R268" s="108"/>
      <c r="S268" s="440"/>
      <c r="T268" s="440"/>
      <c r="U268" s="440"/>
      <c r="V268" s="440"/>
      <c r="W268" s="440"/>
      <c r="X268" s="440"/>
      <c r="Y268" s="108"/>
      <c r="Z268" s="108"/>
    </row>
    <row r="269" ht="18.75" customHeight="1">
      <c r="A269" s="437"/>
      <c r="B269" s="438"/>
      <c r="C269" s="438"/>
      <c r="D269" s="438"/>
      <c r="E269" s="438"/>
      <c r="F269" s="438"/>
      <c r="G269" s="438"/>
      <c r="H269" s="108"/>
      <c r="I269" s="108"/>
      <c r="J269" s="440"/>
      <c r="K269" s="440"/>
      <c r="L269" s="440"/>
      <c r="M269" s="440"/>
      <c r="N269" s="440"/>
      <c r="O269" s="440"/>
      <c r="P269" s="440"/>
      <c r="Q269" s="440"/>
      <c r="R269" s="108"/>
      <c r="S269" s="440"/>
      <c r="T269" s="440"/>
      <c r="U269" s="440"/>
      <c r="V269" s="440"/>
      <c r="W269" s="440"/>
      <c r="X269" s="440"/>
      <c r="Y269" s="108"/>
      <c r="Z269" s="108"/>
    </row>
    <row r="270" ht="18.75" customHeight="1">
      <c r="A270" s="437"/>
      <c r="B270" s="438"/>
      <c r="C270" s="438"/>
      <c r="D270" s="438"/>
      <c r="E270" s="438"/>
      <c r="F270" s="438"/>
      <c r="G270" s="438"/>
      <c r="H270" s="108"/>
      <c r="I270" s="108"/>
      <c r="J270" s="440"/>
      <c r="K270" s="440"/>
      <c r="L270" s="440"/>
      <c r="M270" s="440"/>
      <c r="N270" s="440"/>
      <c r="O270" s="440"/>
      <c r="P270" s="440"/>
      <c r="Q270" s="440"/>
      <c r="R270" s="108"/>
      <c r="S270" s="440"/>
      <c r="T270" s="440"/>
      <c r="U270" s="440"/>
      <c r="V270" s="440"/>
      <c r="W270" s="440"/>
      <c r="X270" s="440"/>
      <c r="Y270" s="108"/>
      <c r="Z270" s="108"/>
    </row>
    <row r="271" ht="18.75" customHeight="1">
      <c r="A271" s="437"/>
      <c r="B271" s="438"/>
      <c r="C271" s="438"/>
      <c r="D271" s="438"/>
      <c r="E271" s="438"/>
      <c r="F271" s="438"/>
      <c r="G271" s="438"/>
      <c r="H271" s="108"/>
      <c r="I271" s="108"/>
      <c r="J271" s="440"/>
      <c r="K271" s="440"/>
      <c r="L271" s="440"/>
      <c r="M271" s="440"/>
      <c r="N271" s="440"/>
      <c r="O271" s="440"/>
      <c r="P271" s="440"/>
      <c r="Q271" s="440"/>
      <c r="R271" s="108"/>
      <c r="S271" s="440"/>
      <c r="T271" s="440"/>
      <c r="U271" s="440"/>
      <c r="V271" s="440"/>
      <c r="W271" s="440"/>
      <c r="X271" s="440"/>
      <c r="Y271" s="108"/>
      <c r="Z271" s="108"/>
    </row>
    <row r="272" ht="18.75" customHeight="1">
      <c r="A272" s="437"/>
      <c r="B272" s="438"/>
      <c r="C272" s="438"/>
      <c r="D272" s="438"/>
      <c r="E272" s="438"/>
      <c r="F272" s="438"/>
      <c r="G272" s="438"/>
      <c r="H272" s="108"/>
      <c r="I272" s="108"/>
      <c r="J272" s="440"/>
      <c r="K272" s="440"/>
      <c r="L272" s="440"/>
      <c r="M272" s="440"/>
      <c r="N272" s="440"/>
      <c r="O272" s="440"/>
      <c r="P272" s="440"/>
      <c r="Q272" s="440"/>
      <c r="R272" s="108"/>
      <c r="S272" s="440"/>
      <c r="T272" s="440"/>
      <c r="U272" s="440"/>
      <c r="V272" s="440"/>
      <c r="W272" s="440"/>
      <c r="X272" s="440"/>
      <c r="Y272" s="108"/>
      <c r="Z272" s="108"/>
    </row>
    <row r="273" ht="18.75" customHeight="1">
      <c r="A273" s="437"/>
      <c r="B273" s="438"/>
      <c r="C273" s="438"/>
      <c r="D273" s="438"/>
      <c r="E273" s="438"/>
      <c r="F273" s="438"/>
      <c r="G273" s="438"/>
      <c r="H273" s="108"/>
      <c r="I273" s="108"/>
      <c r="J273" s="440"/>
      <c r="K273" s="440"/>
      <c r="L273" s="440"/>
      <c r="M273" s="440"/>
      <c r="N273" s="440"/>
      <c r="O273" s="440"/>
      <c r="P273" s="440"/>
      <c r="Q273" s="440"/>
      <c r="R273" s="108"/>
      <c r="S273" s="440"/>
      <c r="T273" s="440"/>
      <c r="U273" s="440"/>
      <c r="V273" s="440"/>
      <c r="W273" s="440"/>
      <c r="X273" s="440"/>
      <c r="Y273" s="108"/>
      <c r="Z273" s="108"/>
    </row>
    <row r="274" ht="18.75" customHeight="1">
      <c r="A274" s="437"/>
      <c r="B274" s="438"/>
      <c r="C274" s="438"/>
      <c r="D274" s="438"/>
      <c r="E274" s="438"/>
      <c r="F274" s="438"/>
      <c r="G274" s="438"/>
      <c r="H274" s="108"/>
      <c r="I274" s="108"/>
      <c r="J274" s="440"/>
      <c r="K274" s="440"/>
      <c r="L274" s="440"/>
      <c r="M274" s="440"/>
      <c r="N274" s="440"/>
      <c r="O274" s="440"/>
      <c r="P274" s="440"/>
      <c r="Q274" s="440"/>
      <c r="R274" s="108"/>
      <c r="S274" s="440"/>
      <c r="T274" s="440"/>
      <c r="U274" s="440"/>
      <c r="V274" s="440"/>
      <c r="W274" s="440"/>
      <c r="X274" s="440"/>
      <c r="Y274" s="108"/>
      <c r="Z274" s="108"/>
    </row>
    <row r="275" ht="18.75" customHeight="1">
      <c r="A275" s="437"/>
      <c r="B275" s="438"/>
      <c r="C275" s="438"/>
      <c r="D275" s="438"/>
      <c r="E275" s="438"/>
      <c r="F275" s="438"/>
      <c r="G275" s="438"/>
      <c r="H275" s="108"/>
      <c r="I275" s="108"/>
      <c r="J275" s="440"/>
      <c r="K275" s="440"/>
      <c r="L275" s="440"/>
      <c r="M275" s="440"/>
      <c r="N275" s="440"/>
      <c r="O275" s="440"/>
      <c r="P275" s="440"/>
      <c r="Q275" s="440"/>
      <c r="R275" s="108"/>
      <c r="S275" s="440"/>
      <c r="T275" s="440"/>
      <c r="U275" s="440"/>
      <c r="V275" s="440"/>
      <c r="W275" s="440"/>
      <c r="X275" s="440"/>
      <c r="Y275" s="108"/>
      <c r="Z275" s="108"/>
    </row>
    <row r="276" ht="18.75" customHeight="1">
      <c r="A276" s="437"/>
      <c r="B276" s="438"/>
      <c r="C276" s="438"/>
      <c r="D276" s="438"/>
      <c r="E276" s="438"/>
      <c r="F276" s="438"/>
      <c r="G276" s="438"/>
      <c r="H276" s="108"/>
      <c r="I276" s="108"/>
      <c r="J276" s="440"/>
      <c r="K276" s="440"/>
      <c r="L276" s="440"/>
      <c r="M276" s="440"/>
      <c r="N276" s="440"/>
      <c r="O276" s="440"/>
      <c r="P276" s="440"/>
      <c r="Q276" s="440"/>
      <c r="R276" s="108"/>
      <c r="S276" s="440"/>
      <c r="T276" s="440"/>
      <c r="U276" s="440"/>
      <c r="V276" s="440"/>
      <c r="W276" s="440"/>
      <c r="X276" s="440"/>
      <c r="Y276" s="108"/>
      <c r="Z276" s="108"/>
    </row>
    <row r="277" ht="18.75" customHeight="1">
      <c r="A277" s="437"/>
      <c r="B277" s="438"/>
      <c r="C277" s="438"/>
      <c r="D277" s="438"/>
      <c r="E277" s="438"/>
      <c r="F277" s="438"/>
      <c r="G277" s="438"/>
      <c r="H277" s="108"/>
      <c r="I277" s="108"/>
      <c r="J277" s="440"/>
      <c r="K277" s="440"/>
      <c r="L277" s="440"/>
      <c r="M277" s="440"/>
      <c r="N277" s="440"/>
      <c r="O277" s="440"/>
      <c r="P277" s="440"/>
      <c r="Q277" s="440"/>
      <c r="R277" s="108"/>
      <c r="S277" s="440"/>
      <c r="T277" s="440"/>
      <c r="U277" s="440"/>
      <c r="V277" s="440"/>
      <c r="W277" s="440"/>
      <c r="X277" s="440"/>
      <c r="Y277" s="108"/>
      <c r="Z277" s="108"/>
    </row>
    <row r="278" ht="18.75" customHeight="1">
      <c r="A278" s="437"/>
      <c r="B278" s="438"/>
      <c r="C278" s="438"/>
      <c r="D278" s="438"/>
      <c r="E278" s="438"/>
      <c r="F278" s="438"/>
      <c r="G278" s="438"/>
      <c r="H278" s="108"/>
      <c r="I278" s="108"/>
      <c r="J278" s="440"/>
      <c r="K278" s="440"/>
      <c r="L278" s="440"/>
      <c r="M278" s="440"/>
      <c r="N278" s="440"/>
      <c r="O278" s="440"/>
      <c r="P278" s="440"/>
      <c r="Q278" s="440"/>
      <c r="R278" s="108"/>
      <c r="S278" s="440"/>
      <c r="T278" s="440"/>
      <c r="U278" s="440"/>
      <c r="V278" s="440"/>
      <c r="W278" s="440"/>
      <c r="X278" s="440"/>
      <c r="Y278" s="108"/>
      <c r="Z278" s="108"/>
    </row>
    <row r="279" ht="18.75" customHeight="1">
      <c r="A279" s="437"/>
      <c r="B279" s="438"/>
      <c r="C279" s="438"/>
      <c r="D279" s="438"/>
      <c r="E279" s="438"/>
      <c r="F279" s="438"/>
      <c r="G279" s="438"/>
      <c r="H279" s="108"/>
      <c r="I279" s="108"/>
      <c r="J279" s="440"/>
      <c r="K279" s="440"/>
      <c r="L279" s="440"/>
      <c r="M279" s="440"/>
      <c r="N279" s="440"/>
      <c r="O279" s="440"/>
      <c r="P279" s="440"/>
      <c r="Q279" s="440"/>
      <c r="R279" s="108"/>
      <c r="S279" s="440"/>
      <c r="T279" s="440"/>
      <c r="U279" s="440"/>
      <c r="V279" s="440"/>
      <c r="W279" s="440"/>
      <c r="X279" s="440"/>
      <c r="Y279" s="108"/>
      <c r="Z279" s="108"/>
    </row>
    <row r="280" ht="18.75" customHeight="1">
      <c r="A280" s="437"/>
      <c r="B280" s="438"/>
      <c r="C280" s="438"/>
      <c r="D280" s="438"/>
      <c r="E280" s="438"/>
      <c r="F280" s="438"/>
      <c r="G280" s="438"/>
      <c r="H280" s="108"/>
      <c r="I280" s="108"/>
      <c r="J280" s="440"/>
      <c r="K280" s="440"/>
      <c r="L280" s="440"/>
      <c r="M280" s="440"/>
      <c r="N280" s="440"/>
      <c r="O280" s="440"/>
      <c r="P280" s="440"/>
      <c r="Q280" s="440"/>
      <c r="R280" s="108"/>
      <c r="S280" s="440"/>
      <c r="T280" s="440"/>
      <c r="U280" s="440"/>
      <c r="V280" s="440"/>
      <c r="W280" s="440"/>
      <c r="X280" s="440"/>
      <c r="Y280" s="108"/>
      <c r="Z280" s="108"/>
    </row>
    <row r="281" ht="18.75" customHeight="1">
      <c r="A281" s="437"/>
      <c r="B281" s="438"/>
      <c r="C281" s="438"/>
      <c r="D281" s="438"/>
      <c r="E281" s="438"/>
      <c r="F281" s="438"/>
      <c r="G281" s="438"/>
      <c r="H281" s="108"/>
      <c r="I281" s="108"/>
      <c r="J281" s="440"/>
      <c r="K281" s="440"/>
      <c r="L281" s="440"/>
      <c r="M281" s="440"/>
      <c r="N281" s="440"/>
      <c r="O281" s="440"/>
      <c r="P281" s="440"/>
      <c r="Q281" s="440"/>
      <c r="R281" s="108"/>
      <c r="S281" s="440"/>
      <c r="T281" s="440"/>
      <c r="U281" s="440"/>
      <c r="V281" s="440"/>
      <c r="W281" s="440"/>
      <c r="X281" s="440"/>
      <c r="Y281" s="108"/>
      <c r="Z281" s="108"/>
    </row>
    <row r="282" ht="18.75" customHeight="1">
      <c r="A282" s="437"/>
      <c r="B282" s="438"/>
      <c r="C282" s="438"/>
      <c r="D282" s="438"/>
      <c r="E282" s="438"/>
      <c r="F282" s="438"/>
      <c r="G282" s="438"/>
      <c r="H282" s="108"/>
      <c r="I282" s="108"/>
      <c r="J282" s="440"/>
      <c r="K282" s="440"/>
      <c r="L282" s="440"/>
      <c r="M282" s="440"/>
      <c r="N282" s="440"/>
      <c r="O282" s="440"/>
      <c r="P282" s="440"/>
      <c r="Q282" s="440"/>
      <c r="R282" s="108"/>
      <c r="S282" s="440"/>
      <c r="T282" s="440"/>
      <c r="U282" s="440"/>
      <c r="V282" s="440"/>
      <c r="W282" s="440"/>
      <c r="X282" s="440"/>
      <c r="Y282" s="108"/>
      <c r="Z282" s="108"/>
    </row>
    <row r="283" ht="18.75" customHeight="1">
      <c r="A283" s="437"/>
      <c r="B283" s="438"/>
      <c r="C283" s="438"/>
      <c r="D283" s="438"/>
      <c r="E283" s="438"/>
      <c r="F283" s="438"/>
      <c r="G283" s="438"/>
      <c r="H283" s="108"/>
      <c r="I283" s="108"/>
      <c r="J283" s="440"/>
      <c r="K283" s="440"/>
      <c r="L283" s="440"/>
      <c r="M283" s="440"/>
      <c r="N283" s="440"/>
      <c r="O283" s="440"/>
      <c r="P283" s="440"/>
      <c r="Q283" s="440"/>
      <c r="R283" s="108"/>
      <c r="S283" s="440"/>
      <c r="T283" s="440"/>
      <c r="U283" s="440"/>
      <c r="V283" s="440"/>
      <c r="W283" s="440"/>
      <c r="X283" s="440"/>
      <c r="Y283" s="108"/>
      <c r="Z283" s="108"/>
    </row>
    <row r="284" ht="18.75" customHeight="1">
      <c r="A284" s="437"/>
      <c r="B284" s="438"/>
      <c r="C284" s="438"/>
      <c r="D284" s="438"/>
      <c r="E284" s="438"/>
      <c r="F284" s="438"/>
      <c r="G284" s="438"/>
      <c r="H284" s="108"/>
      <c r="I284" s="108"/>
      <c r="J284" s="440"/>
      <c r="K284" s="440"/>
      <c r="L284" s="440"/>
      <c r="M284" s="440"/>
      <c r="N284" s="440"/>
      <c r="O284" s="440"/>
      <c r="P284" s="440"/>
      <c r="Q284" s="440"/>
      <c r="R284" s="108"/>
      <c r="S284" s="440"/>
      <c r="T284" s="440"/>
      <c r="U284" s="440"/>
      <c r="V284" s="440"/>
      <c r="W284" s="440"/>
      <c r="X284" s="440"/>
      <c r="Y284" s="108"/>
      <c r="Z284" s="108"/>
    </row>
    <row r="285" ht="18.75" customHeight="1">
      <c r="A285" s="437"/>
      <c r="B285" s="438"/>
      <c r="C285" s="438"/>
      <c r="D285" s="438"/>
      <c r="E285" s="438"/>
      <c r="F285" s="438"/>
      <c r="G285" s="438"/>
      <c r="H285" s="108"/>
      <c r="I285" s="108"/>
      <c r="J285" s="440"/>
      <c r="K285" s="440"/>
      <c r="L285" s="440"/>
      <c r="M285" s="440"/>
      <c r="N285" s="440"/>
      <c r="O285" s="440"/>
      <c r="P285" s="440"/>
      <c r="Q285" s="440"/>
      <c r="R285" s="108"/>
      <c r="S285" s="440"/>
      <c r="T285" s="440"/>
      <c r="U285" s="440"/>
      <c r="V285" s="440"/>
      <c r="W285" s="440"/>
      <c r="X285" s="440"/>
      <c r="Y285" s="108"/>
      <c r="Z285" s="108"/>
    </row>
    <row r="286" ht="18.75" customHeight="1">
      <c r="A286" s="437"/>
      <c r="B286" s="438"/>
      <c r="C286" s="438"/>
      <c r="D286" s="438"/>
      <c r="E286" s="438"/>
      <c r="F286" s="438"/>
      <c r="G286" s="438"/>
      <c r="H286" s="108"/>
      <c r="I286" s="108"/>
      <c r="J286" s="440"/>
      <c r="K286" s="440"/>
      <c r="L286" s="440"/>
      <c r="M286" s="440"/>
      <c r="N286" s="440"/>
      <c r="O286" s="440"/>
      <c r="P286" s="440"/>
      <c r="Q286" s="440"/>
      <c r="R286" s="108"/>
      <c r="S286" s="440"/>
      <c r="T286" s="440"/>
      <c r="U286" s="440"/>
      <c r="V286" s="440"/>
      <c r="W286" s="440"/>
      <c r="X286" s="440"/>
      <c r="Y286" s="108"/>
      <c r="Z286" s="108"/>
    </row>
    <row r="287" ht="18.75" customHeight="1">
      <c r="A287" s="437"/>
      <c r="B287" s="438"/>
      <c r="C287" s="438"/>
      <c r="D287" s="438"/>
      <c r="E287" s="438"/>
      <c r="F287" s="438"/>
      <c r="G287" s="438"/>
      <c r="H287" s="108"/>
      <c r="I287" s="108"/>
      <c r="J287" s="440"/>
      <c r="K287" s="440"/>
      <c r="L287" s="440"/>
      <c r="M287" s="440"/>
      <c r="N287" s="440"/>
      <c r="O287" s="440"/>
      <c r="P287" s="440"/>
      <c r="Q287" s="440"/>
      <c r="R287" s="108"/>
      <c r="S287" s="440"/>
      <c r="T287" s="440"/>
      <c r="U287" s="440"/>
      <c r="V287" s="440"/>
      <c r="W287" s="440"/>
      <c r="X287" s="440"/>
      <c r="Y287" s="108"/>
      <c r="Z287" s="108"/>
    </row>
    <row r="288" ht="18.75" customHeight="1">
      <c r="A288" s="437"/>
      <c r="B288" s="438"/>
      <c r="C288" s="438"/>
      <c r="D288" s="438"/>
      <c r="E288" s="438"/>
      <c r="F288" s="438"/>
      <c r="G288" s="438"/>
      <c r="H288" s="108"/>
      <c r="I288" s="108"/>
      <c r="J288" s="440"/>
      <c r="K288" s="440"/>
      <c r="L288" s="440"/>
      <c r="M288" s="440"/>
      <c r="N288" s="440"/>
      <c r="O288" s="440"/>
      <c r="P288" s="440"/>
      <c r="Q288" s="440"/>
      <c r="R288" s="108"/>
      <c r="S288" s="440"/>
      <c r="T288" s="440"/>
      <c r="U288" s="440"/>
      <c r="V288" s="440"/>
      <c r="W288" s="440"/>
      <c r="X288" s="440"/>
      <c r="Y288" s="108"/>
      <c r="Z288" s="108"/>
    </row>
    <row r="289" ht="18.75" customHeight="1">
      <c r="A289" s="437"/>
      <c r="B289" s="438"/>
      <c r="C289" s="438"/>
      <c r="D289" s="438"/>
      <c r="E289" s="438"/>
      <c r="F289" s="438"/>
      <c r="G289" s="438"/>
      <c r="H289" s="108"/>
      <c r="I289" s="108"/>
      <c r="J289" s="440"/>
      <c r="K289" s="440"/>
      <c r="L289" s="440"/>
      <c r="M289" s="440"/>
      <c r="N289" s="440"/>
      <c r="O289" s="440"/>
      <c r="P289" s="440"/>
      <c r="Q289" s="440"/>
      <c r="R289" s="108"/>
      <c r="S289" s="440"/>
      <c r="T289" s="440"/>
      <c r="U289" s="440"/>
      <c r="V289" s="440"/>
      <c r="W289" s="440"/>
      <c r="X289" s="440"/>
      <c r="Y289" s="108"/>
      <c r="Z289" s="108"/>
    </row>
    <row r="290" ht="18.75" customHeight="1">
      <c r="A290" s="437"/>
      <c r="B290" s="438"/>
      <c r="C290" s="438"/>
      <c r="D290" s="438"/>
      <c r="E290" s="438"/>
      <c r="F290" s="438"/>
      <c r="G290" s="438"/>
      <c r="H290" s="108"/>
      <c r="I290" s="108"/>
      <c r="J290" s="440"/>
      <c r="K290" s="440"/>
      <c r="L290" s="440"/>
      <c r="M290" s="440"/>
      <c r="N290" s="440"/>
      <c r="O290" s="440"/>
      <c r="P290" s="440"/>
      <c r="Q290" s="440"/>
      <c r="R290" s="108"/>
      <c r="S290" s="440"/>
      <c r="T290" s="440"/>
      <c r="U290" s="440"/>
      <c r="V290" s="440"/>
      <c r="W290" s="440"/>
      <c r="X290" s="440"/>
      <c r="Y290" s="108"/>
      <c r="Z290" s="108"/>
    </row>
    <row r="291" ht="18.75" customHeight="1">
      <c r="A291" s="437"/>
      <c r="B291" s="438"/>
      <c r="C291" s="438"/>
      <c r="D291" s="438"/>
      <c r="E291" s="438"/>
      <c r="F291" s="438"/>
      <c r="G291" s="438"/>
      <c r="H291" s="108"/>
      <c r="I291" s="108"/>
      <c r="J291" s="440"/>
      <c r="K291" s="440"/>
      <c r="L291" s="440"/>
      <c r="M291" s="440"/>
      <c r="N291" s="440"/>
      <c r="O291" s="440"/>
      <c r="P291" s="440"/>
      <c r="Q291" s="440"/>
      <c r="R291" s="108"/>
      <c r="S291" s="440"/>
      <c r="T291" s="440"/>
      <c r="U291" s="440"/>
      <c r="V291" s="440"/>
      <c r="W291" s="440"/>
      <c r="X291" s="440"/>
      <c r="Y291" s="108"/>
      <c r="Z291" s="108"/>
    </row>
    <row r="292" ht="18.75" customHeight="1">
      <c r="A292" s="437"/>
      <c r="B292" s="438"/>
      <c r="C292" s="438"/>
      <c r="D292" s="438"/>
      <c r="E292" s="438"/>
      <c r="F292" s="438"/>
      <c r="G292" s="438"/>
      <c r="H292" s="108"/>
      <c r="I292" s="108"/>
      <c r="J292" s="440"/>
      <c r="K292" s="440"/>
      <c r="L292" s="440"/>
      <c r="M292" s="440"/>
      <c r="N292" s="440"/>
      <c r="O292" s="440"/>
      <c r="P292" s="440"/>
      <c r="Q292" s="440"/>
      <c r="R292" s="108"/>
      <c r="S292" s="440"/>
      <c r="T292" s="440"/>
      <c r="U292" s="440"/>
      <c r="V292" s="440"/>
      <c r="W292" s="440"/>
      <c r="X292" s="440"/>
      <c r="Y292" s="108"/>
      <c r="Z292" s="108"/>
    </row>
    <row r="293" ht="18.75" customHeight="1">
      <c r="A293" s="437"/>
      <c r="B293" s="438"/>
      <c r="C293" s="438"/>
      <c r="D293" s="438"/>
      <c r="E293" s="438"/>
      <c r="F293" s="438"/>
      <c r="G293" s="438"/>
      <c r="H293" s="108"/>
      <c r="I293" s="108"/>
      <c r="J293" s="440"/>
      <c r="K293" s="440"/>
      <c r="L293" s="440"/>
      <c r="M293" s="440"/>
      <c r="N293" s="440"/>
      <c r="O293" s="440"/>
      <c r="P293" s="440"/>
      <c r="Q293" s="440"/>
      <c r="R293" s="108"/>
      <c r="S293" s="440"/>
      <c r="T293" s="440"/>
      <c r="U293" s="440"/>
      <c r="V293" s="440"/>
      <c r="W293" s="440"/>
      <c r="X293" s="440"/>
      <c r="Y293" s="108"/>
      <c r="Z293" s="108"/>
    </row>
    <row r="294" ht="18.75" customHeight="1">
      <c r="A294" s="437"/>
      <c r="B294" s="438"/>
      <c r="C294" s="438"/>
      <c r="D294" s="438"/>
      <c r="E294" s="438"/>
      <c r="F294" s="438"/>
      <c r="G294" s="438"/>
      <c r="H294" s="108"/>
      <c r="I294" s="108"/>
      <c r="J294" s="440"/>
      <c r="K294" s="440"/>
      <c r="L294" s="440"/>
      <c r="M294" s="440"/>
      <c r="N294" s="440"/>
      <c r="O294" s="440"/>
      <c r="P294" s="440"/>
      <c r="Q294" s="440"/>
      <c r="R294" s="108"/>
      <c r="S294" s="440"/>
      <c r="T294" s="440"/>
      <c r="U294" s="440"/>
      <c r="V294" s="440"/>
      <c r="W294" s="440"/>
      <c r="X294" s="440"/>
      <c r="Y294" s="108"/>
      <c r="Z294" s="108"/>
    </row>
    <row r="295" ht="18.75" customHeight="1">
      <c r="A295" s="437"/>
      <c r="B295" s="438"/>
      <c r="C295" s="438"/>
      <c r="D295" s="438"/>
      <c r="E295" s="438"/>
      <c r="F295" s="438"/>
      <c r="G295" s="438"/>
      <c r="H295" s="108"/>
      <c r="I295" s="108"/>
      <c r="J295" s="440"/>
      <c r="K295" s="440"/>
      <c r="L295" s="440"/>
      <c r="M295" s="440"/>
      <c r="N295" s="440"/>
      <c r="O295" s="440"/>
      <c r="P295" s="440"/>
      <c r="Q295" s="440"/>
      <c r="R295" s="108"/>
      <c r="S295" s="440"/>
      <c r="T295" s="440"/>
      <c r="U295" s="440"/>
      <c r="V295" s="440"/>
      <c r="W295" s="440"/>
      <c r="X295" s="440"/>
      <c r="Y295" s="108"/>
      <c r="Z295" s="108"/>
    </row>
    <row r="296" ht="18.75" customHeight="1">
      <c r="A296" s="437"/>
      <c r="B296" s="438"/>
      <c r="C296" s="438"/>
      <c r="D296" s="438"/>
      <c r="E296" s="438"/>
      <c r="F296" s="438"/>
      <c r="G296" s="438"/>
      <c r="H296" s="108"/>
      <c r="I296" s="108"/>
      <c r="J296" s="440"/>
      <c r="K296" s="440"/>
      <c r="L296" s="440"/>
      <c r="M296" s="440"/>
      <c r="N296" s="440"/>
      <c r="O296" s="440"/>
      <c r="P296" s="440"/>
      <c r="Q296" s="440"/>
      <c r="R296" s="108"/>
      <c r="S296" s="440"/>
      <c r="T296" s="440"/>
      <c r="U296" s="440"/>
      <c r="V296" s="440"/>
      <c r="W296" s="440"/>
      <c r="X296" s="440"/>
      <c r="Y296" s="108"/>
      <c r="Z296" s="108"/>
    </row>
    <row r="297" ht="18.75" customHeight="1">
      <c r="A297" s="437"/>
      <c r="B297" s="438"/>
      <c r="C297" s="438"/>
      <c r="D297" s="438"/>
      <c r="E297" s="438"/>
      <c r="F297" s="438"/>
      <c r="G297" s="438"/>
      <c r="H297" s="108"/>
      <c r="I297" s="108"/>
      <c r="J297" s="440"/>
      <c r="K297" s="440"/>
      <c r="L297" s="440"/>
      <c r="M297" s="440"/>
      <c r="N297" s="440"/>
      <c r="O297" s="440"/>
      <c r="P297" s="440"/>
      <c r="Q297" s="440"/>
      <c r="R297" s="108"/>
      <c r="S297" s="440"/>
      <c r="T297" s="440"/>
      <c r="U297" s="440"/>
      <c r="V297" s="440"/>
      <c r="W297" s="440"/>
      <c r="X297" s="440"/>
      <c r="Y297" s="108"/>
      <c r="Z297" s="108"/>
    </row>
    <row r="298" ht="18.75" customHeight="1">
      <c r="A298" s="437"/>
      <c r="B298" s="438"/>
      <c r="C298" s="438"/>
      <c r="D298" s="438"/>
      <c r="E298" s="438"/>
      <c r="F298" s="438"/>
      <c r="G298" s="438"/>
      <c r="H298" s="108"/>
      <c r="I298" s="108"/>
      <c r="J298" s="440"/>
      <c r="K298" s="440"/>
      <c r="L298" s="440"/>
      <c r="M298" s="440"/>
      <c r="N298" s="440"/>
      <c r="O298" s="440"/>
      <c r="P298" s="440"/>
      <c r="Q298" s="440"/>
      <c r="R298" s="108"/>
      <c r="S298" s="440"/>
      <c r="T298" s="440"/>
      <c r="U298" s="440"/>
      <c r="V298" s="440"/>
      <c r="W298" s="440"/>
      <c r="X298" s="440"/>
      <c r="Y298" s="108"/>
      <c r="Z298" s="108"/>
    </row>
    <row r="299" ht="18.75" customHeight="1">
      <c r="A299" s="437"/>
      <c r="B299" s="438"/>
      <c r="C299" s="438"/>
      <c r="D299" s="438"/>
      <c r="E299" s="438"/>
      <c r="F299" s="438"/>
      <c r="G299" s="438"/>
      <c r="H299" s="108"/>
      <c r="I299" s="108"/>
      <c r="J299" s="440"/>
      <c r="K299" s="440"/>
      <c r="L299" s="440"/>
      <c r="M299" s="440"/>
      <c r="N299" s="440"/>
      <c r="O299" s="440"/>
      <c r="P299" s="440"/>
      <c r="Q299" s="440"/>
      <c r="R299" s="108"/>
      <c r="S299" s="440"/>
      <c r="T299" s="440"/>
      <c r="U299" s="440"/>
      <c r="V299" s="440"/>
      <c r="W299" s="440"/>
      <c r="X299" s="440"/>
      <c r="Y299" s="108"/>
      <c r="Z299" s="108"/>
    </row>
    <row r="300" ht="18.75" customHeight="1">
      <c r="A300" s="437"/>
      <c r="B300" s="438"/>
      <c r="C300" s="438"/>
      <c r="D300" s="438"/>
      <c r="E300" s="438"/>
      <c r="F300" s="438"/>
      <c r="G300" s="438"/>
      <c r="H300" s="108"/>
      <c r="I300" s="108"/>
      <c r="J300" s="440"/>
      <c r="K300" s="440"/>
      <c r="L300" s="440"/>
      <c r="M300" s="440"/>
      <c r="N300" s="440"/>
      <c r="O300" s="440"/>
      <c r="P300" s="440"/>
      <c r="Q300" s="440"/>
      <c r="R300" s="108"/>
      <c r="S300" s="440"/>
      <c r="T300" s="440"/>
      <c r="U300" s="440"/>
      <c r="V300" s="440"/>
      <c r="W300" s="440"/>
      <c r="X300" s="440"/>
      <c r="Y300" s="108"/>
      <c r="Z300" s="108"/>
    </row>
    <row r="301" ht="18.75" customHeight="1">
      <c r="A301" s="437"/>
      <c r="B301" s="438"/>
      <c r="C301" s="438"/>
      <c r="D301" s="438"/>
      <c r="E301" s="438"/>
      <c r="F301" s="438"/>
      <c r="G301" s="438"/>
      <c r="H301" s="108"/>
      <c r="I301" s="108"/>
      <c r="J301" s="440"/>
      <c r="K301" s="440"/>
      <c r="L301" s="440"/>
      <c r="M301" s="440"/>
      <c r="N301" s="440"/>
      <c r="O301" s="440"/>
      <c r="P301" s="440"/>
      <c r="Q301" s="440"/>
      <c r="R301" s="108"/>
      <c r="S301" s="440"/>
      <c r="T301" s="440"/>
      <c r="U301" s="440"/>
      <c r="V301" s="440"/>
      <c r="W301" s="440"/>
      <c r="X301" s="440"/>
      <c r="Y301" s="108"/>
      <c r="Z301" s="108"/>
    </row>
    <row r="302" ht="18.75" customHeight="1">
      <c r="A302" s="437"/>
      <c r="B302" s="438"/>
      <c r="C302" s="438"/>
      <c r="D302" s="438"/>
      <c r="E302" s="438"/>
      <c r="F302" s="438"/>
      <c r="G302" s="438"/>
      <c r="H302" s="108"/>
      <c r="I302" s="108"/>
      <c r="J302" s="440"/>
      <c r="K302" s="440"/>
      <c r="L302" s="440"/>
      <c r="M302" s="440"/>
      <c r="N302" s="440"/>
      <c r="O302" s="440"/>
      <c r="P302" s="440"/>
      <c r="Q302" s="440"/>
      <c r="R302" s="108"/>
      <c r="S302" s="440"/>
      <c r="T302" s="440"/>
      <c r="U302" s="440"/>
      <c r="V302" s="440"/>
      <c r="W302" s="440"/>
      <c r="X302" s="440"/>
      <c r="Y302" s="108"/>
      <c r="Z302" s="108"/>
    </row>
    <row r="303" ht="18.75" customHeight="1">
      <c r="A303" s="437"/>
      <c r="B303" s="438"/>
      <c r="C303" s="438"/>
      <c r="D303" s="438"/>
      <c r="E303" s="438"/>
      <c r="F303" s="438"/>
      <c r="G303" s="438"/>
      <c r="H303" s="108"/>
      <c r="I303" s="108"/>
      <c r="J303" s="440"/>
      <c r="K303" s="440"/>
      <c r="L303" s="440"/>
      <c r="M303" s="440"/>
      <c r="N303" s="440"/>
      <c r="O303" s="440"/>
      <c r="P303" s="440"/>
      <c r="Q303" s="440"/>
      <c r="R303" s="108"/>
      <c r="S303" s="440"/>
      <c r="T303" s="440"/>
      <c r="U303" s="440"/>
      <c r="V303" s="440"/>
      <c r="W303" s="440"/>
      <c r="X303" s="440"/>
      <c r="Y303" s="108"/>
      <c r="Z303" s="108"/>
    </row>
    <row r="304" ht="18.75" customHeight="1">
      <c r="A304" s="437"/>
      <c r="B304" s="438"/>
      <c r="C304" s="438"/>
      <c r="D304" s="438"/>
      <c r="E304" s="438"/>
      <c r="F304" s="438"/>
      <c r="G304" s="438"/>
      <c r="H304" s="108"/>
      <c r="I304" s="108"/>
      <c r="J304" s="440"/>
      <c r="K304" s="440"/>
      <c r="L304" s="440"/>
      <c r="M304" s="440"/>
      <c r="N304" s="440"/>
      <c r="O304" s="440"/>
      <c r="P304" s="440"/>
      <c r="Q304" s="440"/>
      <c r="R304" s="108"/>
      <c r="S304" s="440"/>
      <c r="T304" s="440"/>
      <c r="U304" s="440"/>
      <c r="V304" s="440"/>
      <c r="W304" s="440"/>
      <c r="X304" s="440"/>
      <c r="Y304" s="108"/>
      <c r="Z304" s="108"/>
    </row>
    <row r="305" ht="18.75" customHeight="1">
      <c r="A305" s="437"/>
      <c r="B305" s="438"/>
      <c r="C305" s="438"/>
      <c r="D305" s="438"/>
      <c r="E305" s="438"/>
      <c r="F305" s="438"/>
      <c r="G305" s="438"/>
      <c r="H305" s="108"/>
      <c r="I305" s="108"/>
      <c r="J305" s="440"/>
      <c r="K305" s="440"/>
      <c r="L305" s="440"/>
      <c r="M305" s="440"/>
      <c r="N305" s="440"/>
      <c r="O305" s="440"/>
      <c r="P305" s="440"/>
      <c r="Q305" s="440"/>
      <c r="R305" s="108"/>
      <c r="S305" s="440"/>
      <c r="T305" s="440"/>
      <c r="U305" s="440"/>
      <c r="V305" s="440"/>
      <c r="W305" s="440"/>
      <c r="X305" s="440"/>
      <c r="Y305" s="108"/>
      <c r="Z305" s="108"/>
    </row>
    <row r="306" ht="18.75" customHeight="1">
      <c r="A306" s="437"/>
      <c r="B306" s="438"/>
      <c r="C306" s="438"/>
      <c r="D306" s="438"/>
      <c r="E306" s="438"/>
      <c r="F306" s="438"/>
      <c r="G306" s="438"/>
      <c r="H306" s="108"/>
      <c r="I306" s="108"/>
      <c r="J306" s="440"/>
      <c r="K306" s="440"/>
      <c r="L306" s="440"/>
      <c r="M306" s="440"/>
      <c r="N306" s="440"/>
      <c r="O306" s="440"/>
      <c r="P306" s="440"/>
      <c r="Q306" s="440"/>
      <c r="R306" s="108"/>
      <c r="S306" s="440"/>
      <c r="T306" s="440"/>
      <c r="U306" s="440"/>
      <c r="V306" s="440"/>
      <c r="W306" s="440"/>
      <c r="X306" s="440"/>
      <c r="Y306" s="108"/>
      <c r="Z306" s="108"/>
    </row>
    <row r="307" ht="18.75" customHeight="1">
      <c r="A307" s="437"/>
      <c r="B307" s="438"/>
      <c r="C307" s="438"/>
      <c r="D307" s="438"/>
      <c r="E307" s="438"/>
      <c r="F307" s="438"/>
      <c r="G307" s="438"/>
      <c r="H307" s="108"/>
      <c r="I307" s="108"/>
      <c r="J307" s="440"/>
      <c r="K307" s="440"/>
      <c r="L307" s="440"/>
      <c r="M307" s="440"/>
      <c r="N307" s="440"/>
      <c r="O307" s="440"/>
      <c r="P307" s="440"/>
      <c r="Q307" s="440"/>
      <c r="R307" s="108"/>
      <c r="S307" s="440"/>
      <c r="T307" s="440"/>
      <c r="U307" s="440"/>
      <c r="V307" s="440"/>
      <c r="W307" s="440"/>
      <c r="X307" s="440"/>
      <c r="Y307" s="108"/>
      <c r="Z307" s="108"/>
    </row>
    <row r="308" ht="18.75" customHeight="1">
      <c r="A308" s="437"/>
      <c r="B308" s="438"/>
      <c r="C308" s="438"/>
      <c r="D308" s="438"/>
      <c r="E308" s="438"/>
      <c r="F308" s="438"/>
      <c r="G308" s="438"/>
      <c r="H308" s="108"/>
      <c r="I308" s="108"/>
      <c r="J308" s="440"/>
      <c r="K308" s="440"/>
      <c r="L308" s="440"/>
      <c r="M308" s="440"/>
      <c r="N308" s="440"/>
      <c r="O308" s="440"/>
      <c r="P308" s="440"/>
      <c r="Q308" s="440"/>
      <c r="R308" s="108"/>
      <c r="S308" s="440"/>
      <c r="T308" s="440"/>
      <c r="U308" s="440"/>
      <c r="V308" s="440"/>
      <c r="W308" s="440"/>
      <c r="X308" s="440"/>
      <c r="Y308" s="108"/>
      <c r="Z308" s="108"/>
    </row>
    <row r="309" ht="18.75" customHeight="1">
      <c r="A309" s="437"/>
      <c r="B309" s="438"/>
      <c r="C309" s="438"/>
      <c r="D309" s="438"/>
      <c r="E309" s="438"/>
      <c r="F309" s="438"/>
      <c r="G309" s="438"/>
      <c r="H309" s="108"/>
      <c r="I309" s="108"/>
      <c r="J309" s="440"/>
      <c r="K309" s="440"/>
      <c r="L309" s="440"/>
      <c r="M309" s="440"/>
      <c r="N309" s="440"/>
      <c r="O309" s="440"/>
      <c r="P309" s="440"/>
      <c r="Q309" s="440"/>
      <c r="R309" s="108"/>
      <c r="S309" s="440"/>
      <c r="T309" s="440"/>
      <c r="U309" s="440"/>
      <c r="V309" s="440"/>
      <c r="W309" s="440"/>
      <c r="X309" s="440"/>
      <c r="Y309" s="108"/>
      <c r="Z309" s="108"/>
    </row>
    <row r="310" ht="18.75" customHeight="1">
      <c r="A310" s="437"/>
      <c r="B310" s="438"/>
      <c r="C310" s="438"/>
      <c r="D310" s="438"/>
      <c r="E310" s="438"/>
      <c r="F310" s="438"/>
      <c r="G310" s="438"/>
      <c r="H310" s="108"/>
      <c r="I310" s="108"/>
      <c r="J310" s="440"/>
      <c r="K310" s="440"/>
      <c r="L310" s="440"/>
      <c r="M310" s="440"/>
      <c r="N310" s="440"/>
      <c r="O310" s="440"/>
      <c r="P310" s="440"/>
      <c r="Q310" s="440"/>
      <c r="R310" s="108"/>
      <c r="S310" s="440"/>
      <c r="T310" s="440"/>
      <c r="U310" s="440"/>
      <c r="V310" s="440"/>
      <c r="W310" s="440"/>
      <c r="X310" s="440"/>
      <c r="Y310" s="108"/>
      <c r="Z310" s="108"/>
    </row>
    <row r="311" ht="18.75" customHeight="1">
      <c r="A311" s="437"/>
      <c r="B311" s="438"/>
      <c r="C311" s="438"/>
      <c r="D311" s="438"/>
      <c r="E311" s="438"/>
      <c r="F311" s="438"/>
      <c r="G311" s="438"/>
      <c r="H311" s="108"/>
      <c r="I311" s="108"/>
      <c r="J311" s="440"/>
      <c r="K311" s="440"/>
      <c r="L311" s="440"/>
      <c r="M311" s="440"/>
      <c r="N311" s="440"/>
      <c r="O311" s="440"/>
      <c r="P311" s="440"/>
      <c r="Q311" s="440"/>
      <c r="R311" s="108"/>
      <c r="S311" s="440"/>
      <c r="T311" s="440"/>
      <c r="U311" s="440"/>
      <c r="V311" s="440"/>
      <c r="W311" s="440"/>
      <c r="X311" s="440"/>
      <c r="Y311" s="108"/>
      <c r="Z311" s="108"/>
    </row>
    <row r="312" ht="18.75" customHeight="1">
      <c r="A312" s="437"/>
      <c r="B312" s="438"/>
      <c r="C312" s="438"/>
      <c r="D312" s="438"/>
      <c r="E312" s="438"/>
      <c r="F312" s="438"/>
      <c r="G312" s="438"/>
      <c r="H312" s="108"/>
      <c r="I312" s="108"/>
      <c r="J312" s="440"/>
      <c r="K312" s="440"/>
      <c r="L312" s="440"/>
      <c r="M312" s="440"/>
      <c r="N312" s="440"/>
      <c r="O312" s="440"/>
      <c r="P312" s="440"/>
      <c r="Q312" s="440"/>
      <c r="R312" s="108"/>
      <c r="S312" s="440"/>
      <c r="T312" s="440"/>
      <c r="U312" s="440"/>
      <c r="V312" s="440"/>
      <c r="W312" s="440"/>
      <c r="X312" s="440"/>
      <c r="Y312" s="108"/>
      <c r="Z312" s="108"/>
    </row>
    <row r="313" ht="18.75" customHeight="1">
      <c r="A313" s="437"/>
      <c r="B313" s="438"/>
      <c r="C313" s="438"/>
      <c r="D313" s="438"/>
      <c r="E313" s="438"/>
      <c r="F313" s="438"/>
      <c r="G313" s="438"/>
      <c r="H313" s="108"/>
      <c r="I313" s="108"/>
      <c r="J313" s="440"/>
      <c r="K313" s="440"/>
      <c r="L313" s="440"/>
      <c r="M313" s="440"/>
      <c r="N313" s="440"/>
      <c r="O313" s="440"/>
      <c r="P313" s="440"/>
      <c r="Q313" s="440"/>
      <c r="R313" s="108"/>
      <c r="S313" s="440"/>
      <c r="T313" s="440"/>
      <c r="U313" s="440"/>
      <c r="V313" s="440"/>
      <c r="W313" s="440"/>
      <c r="X313" s="440"/>
      <c r="Y313" s="108"/>
      <c r="Z313" s="108"/>
    </row>
    <row r="314" ht="18.75" customHeight="1">
      <c r="A314" s="437"/>
      <c r="B314" s="438"/>
      <c r="C314" s="438"/>
      <c r="D314" s="438"/>
      <c r="E314" s="438"/>
      <c r="F314" s="438"/>
      <c r="G314" s="438"/>
      <c r="H314" s="108"/>
      <c r="I314" s="108"/>
      <c r="J314" s="440"/>
      <c r="K314" s="440"/>
      <c r="L314" s="440"/>
      <c r="M314" s="440"/>
      <c r="N314" s="440"/>
      <c r="O314" s="440"/>
      <c r="P314" s="440"/>
      <c r="Q314" s="440"/>
      <c r="R314" s="108"/>
      <c r="S314" s="440"/>
      <c r="T314" s="440"/>
      <c r="U314" s="440"/>
      <c r="V314" s="440"/>
      <c r="W314" s="440"/>
      <c r="X314" s="440"/>
      <c r="Y314" s="108"/>
      <c r="Z314" s="108"/>
    </row>
    <row r="315" ht="18.75" customHeight="1">
      <c r="A315" s="437"/>
      <c r="B315" s="438"/>
      <c r="C315" s="438"/>
      <c r="D315" s="438"/>
      <c r="E315" s="438"/>
      <c r="F315" s="438"/>
      <c r="G315" s="438"/>
      <c r="H315" s="108"/>
      <c r="I315" s="108"/>
      <c r="J315" s="440"/>
      <c r="K315" s="440"/>
      <c r="L315" s="440"/>
      <c r="M315" s="440"/>
      <c r="N315" s="440"/>
      <c r="O315" s="440"/>
      <c r="P315" s="440"/>
      <c r="Q315" s="440"/>
      <c r="R315" s="108"/>
      <c r="S315" s="440"/>
      <c r="T315" s="440"/>
      <c r="U315" s="440"/>
      <c r="V315" s="440"/>
      <c r="W315" s="440"/>
      <c r="X315" s="440"/>
      <c r="Y315" s="108"/>
      <c r="Z315" s="108"/>
    </row>
    <row r="316" ht="18.75" customHeight="1">
      <c r="A316" s="437"/>
      <c r="B316" s="438"/>
      <c r="C316" s="438"/>
      <c r="D316" s="438"/>
      <c r="E316" s="438"/>
      <c r="F316" s="438"/>
      <c r="G316" s="438"/>
      <c r="H316" s="108"/>
      <c r="I316" s="108"/>
      <c r="J316" s="440"/>
      <c r="K316" s="440"/>
      <c r="L316" s="440"/>
      <c r="M316" s="440"/>
      <c r="N316" s="440"/>
      <c r="O316" s="440"/>
      <c r="P316" s="440"/>
      <c r="Q316" s="440"/>
      <c r="R316" s="108"/>
      <c r="S316" s="440"/>
      <c r="T316" s="440"/>
      <c r="U316" s="440"/>
      <c r="V316" s="440"/>
      <c r="W316" s="440"/>
      <c r="X316" s="440"/>
      <c r="Y316" s="108"/>
      <c r="Z316" s="108"/>
    </row>
    <row r="317" ht="18.75" customHeight="1">
      <c r="A317" s="437"/>
      <c r="B317" s="438"/>
      <c r="C317" s="438"/>
      <c r="D317" s="438"/>
      <c r="E317" s="438"/>
      <c r="F317" s="438"/>
      <c r="G317" s="438"/>
      <c r="H317" s="108"/>
      <c r="I317" s="108"/>
      <c r="J317" s="440"/>
      <c r="K317" s="440"/>
      <c r="L317" s="440"/>
      <c r="M317" s="440"/>
      <c r="N317" s="440"/>
      <c r="O317" s="440"/>
      <c r="P317" s="440"/>
      <c r="Q317" s="440"/>
      <c r="R317" s="108"/>
      <c r="S317" s="440"/>
      <c r="T317" s="440"/>
      <c r="U317" s="440"/>
      <c r="V317" s="440"/>
      <c r="W317" s="440"/>
      <c r="X317" s="440"/>
      <c r="Y317" s="108"/>
      <c r="Z317" s="108"/>
    </row>
    <row r="318" ht="18.75" customHeight="1">
      <c r="A318" s="437"/>
      <c r="B318" s="438"/>
      <c r="C318" s="438"/>
      <c r="D318" s="438"/>
      <c r="E318" s="438"/>
      <c r="F318" s="438"/>
      <c r="G318" s="438"/>
      <c r="H318" s="108"/>
      <c r="I318" s="108"/>
      <c r="J318" s="440"/>
      <c r="K318" s="440"/>
      <c r="L318" s="440"/>
      <c r="M318" s="440"/>
      <c r="N318" s="440"/>
      <c r="O318" s="440"/>
      <c r="P318" s="440"/>
      <c r="Q318" s="440"/>
      <c r="R318" s="108"/>
      <c r="S318" s="440"/>
      <c r="T318" s="440"/>
      <c r="U318" s="440"/>
      <c r="V318" s="440"/>
      <c r="W318" s="440"/>
      <c r="X318" s="440"/>
      <c r="Y318" s="108"/>
      <c r="Z318" s="108"/>
    </row>
    <row r="319" ht="18.75" customHeight="1">
      <c r="A319" s="437"/>
      <c r="B319" s="438"/>
      <c r="C319" s="438"/>
      <c r="D319" s="438"/>
      <c r="E319" s="438"/>
      <c r="F319" s="438"/>
      <c r="G319" s="438"/>
      <c r="H319" s="108"/>
      <c r="I319" s="108"/>
      <c r="J319" s="440"/>
      <c r="K319" s="440"/>
      <c r="L319" s="440"/>
      <c r="M319" s="440"/>
      <c r="N319" s="440"/>
      <c r="O319" s="440"/>
      <c r="P319" s="440"/>
      <c r="Q319" s="440"/>
      <c r="R319" s="108"/>
      <c r="S319" s="440"/>
      <c r="T319" s="440"/>
      <c r="U319" s="440"/>
      <c r="V319" s="440"/>
      <c r="W319" s="440"/>
      <c r="X319" s="440"/>
      <c r="Y319" s="108"/>
      <c r="Z319" s="108"/>
    </row>
    <row r="320" ht="18.75" customHeight="1">
      <c r="A320" s="437"/>
      <c r="B320" s="438"/>
      <c r="C320" s="438"/>
      <c r="D320" s="438"/>
      <c r="E320" s="438"/>
      <c r="F320" s="438"/>
      <c r="G320" s="438"/>
      <c r="H320" s="108"/>
      <c r="I320" s="108"/>
      <c r="J320" s="440"/>
      <c r="K320" s="440"/>
      <c r="L320" s="440"/>
      <c r="M320" s="440"/>
      <c r="N320" s="440"/>
      <c r="O320" s="440"/>
      <c r="P320" s="440"/>
      <c r="Q320" s="440"/>
      <c r="R320" s="108"/>
      <c r="S320" s="440"/>
      <c r="T320" s="440"/>
      <c r="U320" s="440"/>
      <c r="V320" s="440"/>
      <c r="W320" s="440"/>
      <c r="X320" s="440"/>
      <c r="Y320" s="108"/>
      <c r="Z320" s="108"/>
    </row>
    <row r="321" ht="18.75" customHeight="1">
      <c r="A321" s="437"/>
      <c r="B321" s="438"/>
      <c r="C321" s="438"/>
      <c r="D321" s="438"/>
      <c r="E321" s="438"/>
      <c r="F321" s="438"/>
      <c r="G321" s="438"/>
      <c r="H321" s="108"/>
      <c r="I321" s="108"/>
      <c r="J321" s="440"/>
      <c r="K321" s="440"/>
      <c r="L321" s="440"/>
      <c r="M321" s="440"/>
      <c r="N321" s="440"/>
      <c r="O321" s="440"/>
      <c r="P321" s="440"/>
      <c r="Q321" s="440"/>
      <c r="R321" s="108"/>
      <c r="S321" s="440"/>
      <c r="T321" s="440"/>
      <c r="U321" s="440"/>
      <c r="V321" s="440"/>
      <c r="W321" s="440"/>
      <c r="X321" s="440"/>
      <c r="Y321" s="108"/>
      <c r="Z321" s="108"/>
    </row>
    <row r="322" ht="18.75" customHeight="1">
      <c r="A322" s="437"/>
      <c r="B322" s="438"/>
      <c r="C322" s="438"/>
      <c r="D322" s="438"/>
      <c r="E322" s="438"/>
      <c r="F322" s="438"/>
      <c r="G322" s="438"/>
      <c r="H322" s="108"/>
      <c r="I322" s="108"/>
      <c r="J322" s="440"/>
      <c r="K322" s="440"/>
      <c r="L322" s="440"/>
      <c r="M322" s="440"/>
      <c r="N322" s="440"/>
      <c r="O322" s="440"/>
      <c r="P322" s="440"/>
      <c r="Q322" s="440"/>
      <c r="R322" s="108"/>
      <c r="S322" s="440"/>
      <c r="T322" s="440"/>
      <c r="U322" s="440"/>
      <c r="V322" s="440"/>
      <c r="W322" s="440"/>
      <c r="X322" s="440"/>
      <c r="Y322" s="108"/>
      <c r="Z322" s="108"/>
    </row>
    <row r="323" ht="18.75" customHeight="1">
      <c r="A323" s="437"/>
      <c r="B323" s="438"/>
      <c r="C323" s="438"/>
      <c r="D323" s="438"/>
      <c r="E323" s="438"/>
      <c r="F323" s="438"/>
      <c r="G323" s="438"/>
      <c r="H323" s="108"/>
      <c r="I323" s="108"/>
      <c r="J323" s="440"/>
      <c r="K323" s="440"/>
      <c r="L323" s="440"/>
      <c r="M323" s="440"/>
      <c r="N323" s="440"/>
      <c r="O323" s="440"/>
      <c r="P323" s="440"/>
      <c r="Q323" s="440"/>
      <c r="R323" s="108"/>
      <c r="S323" s="440"/>
      <c r="T323" s="440"/>
      <c r="U323" s="440"/>
      <c r="V323" s="440"/>
      <c r="W323" s="440"/>
      <c r="X323" s="440"/>
      <c r="Y323" s="108"/>
      <c r="Z323" s="108"/>
    </row>
    <row r="324" ht="18.75" customHeight="1">
      <c r="A324" s="437"/>
      <c r="B324" s="438"/>
      <c r="C324" s="438"/>
      <c r="D324" s="438"/>
      <c r="E324" s="438"/>
      <c r="F324" s="438"/>
      <c r="G324" s="438"/>
      <c r="H324" s="108"/>
      <c r="I324" s="108"/>
      <c r="J324" s="440"/>
      <c r="K324" s="440"/>
      <c r="L324" s="440"/>
      <c r="M324" s="440"/>
      <c r="N324" s="440"/>
      <c r="O324" s="440"/>
      <c r="P324" s="440"/>
      <c r="Q324" s="440"/>
      <c r="R324" s="108"/>
      <c r="S324" s="440"/>
      <c r="T324" s="440"/>
      <c r="U324" s="440"/>
      <c r="V324" s="440"/>
      <c r="W324" s="440"/>
      <c r="X324" s="440"/>
      <c r="Y324" s="108"/>
      <c r="Z324" s="108"/>
    </row>
    <row r="325" ht="18.75" customHeight="1">
      <c r="A325" s="437"/>
      <c r="B325" s="438"/>
      <c r="C325" s="438"/>
      <c r="D325" s="438"/>
      <c r="E325" s="438"/>
      <c r="F325" s="438"/>
      <c r="G325" s="438"/>
      <c r="H325" s="108"/>
      <c r="I325" s="108"/>
      <c r="J325" s="440"/>
      <c r="K325" s="440"/>
      <c r="L325" s="440"/>
      <c r="M325" s="440"/>
      <c r="N325" s="440"/>
      <c r="O325" s="440"/>
      <c r="P325" s="440"/>
      <c r="Q325" s="440"/>
      <c r="R325" s="108"/>
      <c r="S325" s="440"/>
      <c r="T325" s="440"/>
      <c r="U325" s="440"/>
      <c r="V325" s="440"/>
      <c r="W325" s="440"/>
      <c r="X325" s="440"/>
      <c r="Y325" s="108"/>
      <c r="Z325" s="108"/>
    </row>
    <row r="326" ht="18.75" customHeight="1">
      <c r="A326" s="437"/>
      <c r="B326" s="438"/>
      <c r="C326" s="438"/>
      <c r="D326" s="438"/>
      <c r="E326" s="438"/>
      <c r="F326" s="438"/>
      <c r="G326" s="438"/>
      <c r="H326" s="108"/>
      <c r="I326" s="108"/>
      <c r="J326" s="440"/>
      <c r="K326" s="440"/>
      <c r="L326" s="440"/>
      <c r="M326" s="440"/>
      <c r="N326" s="440"/>
      <c r="O326" s="440"/>
      <c r="P326" s="440"/>
      <c r="Q326" s="440"/>
      <c r="R326" s="108"/>
      <c r="S326" s="440"/>
      <c r="T326" s="440"/>
      <c r="U326" s="440"/>
      <c r="V326" s="440"/>
      <c r="W326" s="440"/>
      <c r="X326" s="440"/>
      <c r="Y326" s="108"/>
      <c r="Z326" s="108"/>
    </row>
    <row r="327" ht="18.75" customHeight="1">
      <c r="A327" s="437"/>
      <c r="B327" s="438"/>
      <c r="C327" s="438"/>
      <c r="D327" s="438"/>
      <c r="E327" s="438"/>
      <c r="F327" s="438"/>
      <c r="G327" s="438"/>
      <c r="H327" s="108"/>
      <c r="I327" s="108"/>
      <c r="J327" s="440"/>
      <c r="K327" s="440"/>
      <c r="L327" s="440"/>
      <c r="M327" s="440"/>
      <c r="N327" s="440"/>
      <c r="O327" s="440"/>
      <c r="P327" s="440"/>
      <c r="Q327" s="440"/>
      <c r="R327" s="108"/>
      <c r="S327" s="440"/>
      <c r="T327" s="440"/>
      <c r="U327" s="440"/>
      <c r="V327" s="440"/>
      <c r="W327" s="440"/>
      <c r="X327" s="440"/>
      <c r="Y327" s="108"/>
      <c r="Z327" s="108"/>
    </row>
    <row r="328" ht="18.75" customHeight="1">
      <c r="A328" s="437"/>
      <c r="B328" s="438"/>
      <c r="C328" s="438"/>
      <c r="D328" s="438"/>
      <c r="E328" s="438"/>
      <c r="F328" s="438"/>
      <c r="G328" s="438"/>
      <c r="H328" s="108"/>
      <c r="I328" s="108"/>
      <c r="J328" s="440"/>
      <c r="K328" s="440"/>
      <c r="L328" s="440"/>
      <c r="M328" s="440"/>
      <c r="N328" s="440"/>
      <c r="O328" s="440"/>
      <c r="P328" s="440"/>
      <c r="Q328" s="440"/>
      <c r="R328" s="108"/>
      <c r="S328" s="440"/>
      <c r="T328" s="440"/>
      <c r="U328" s="440"/>
      <c r="V328" s="440"/>
      <c r="W328" s="440"/>
      <c r="X328" s="440"/>
      <c r="Y328" s="108"/>
      <c r="Z328" s="108"/>
    </row>
    <row r="329" ht="18.75" customHeight="1">
      <c r="A329" s="437"/>
      <c r="B329" s="438"/>
      <c r="C329" s="438"/>
      <c r="D329" s="438"/>
      <c r="E329" s="438"/>
      <c r="F329" s="438"/>
      <c r="G329" s="438"/>
      <c r="H329" s="108"/>
      <c r="I329" s="108"/>
      <c r="J329" s="440"/>
      <c r="K329" s="440"/>
      <c r="L329" s="440"/>
      <c r="M329" s="440"/>
      <c r="N329" s="440"/>
      <c r="O329" s="440"/>
      <c r="P329" s="440"/>
      <c r="Q329" s="440"/>
      <c r="R329" s="108"/>
      <c r="S329" s="440"/>
      <c r="T329" s="440"/>
      <c r="U329" s="440"/>
      <c r="V329" s="440"/>
      <c r="W329" s="440"/>
      <c r="X329" s="440"/>
      <c r="Y329" s="108"/>
      <c r="Z329" s="108"/>
    </row>
    <row r="330" ht="18.75" customHeight="1">
      <c r="A330" s="437"/>
      <c r="B330" s="438"/>
      <c r="C330" s="438"/>
      <c r="D330" s="438"/>
      <c r="E330" s="438"/>
      <c r="F330" s="438"/>
      <c r="G330" s="438"/>
      <c r="H330" s="108"/>
      <c r="I330" s="108"/>
      <c r="J330" s="440"/>
      <c r="K330" s="440"/>
      <c r="L330" s="440"/>
      <c r="M330" s="440"/>
      <c r="N330" s="440"/>
      <c r="O330" s="440"/>
      <c r="P330" s="440"/>
      <c r="Q330" s="440"/>
      <c r="R330" s="108"/>
      <c r="S330" s="440"/>
      <c r="T330" s="440"/>
      <c r="U330" s="440"/>
      <c r="V330" s="440"/>
      <c r="W330" s="440"/>
      <c r="X330" s="440"/>
      <c r="Y330" s="108"/>
      <c r="Z330" s="108"/>
    </row>
    <row r="331" ht="18.75" customHeight="1">
      <c r="A331" s="437"/>
      <c r="B331" s="438"/>
      <c r="C331" s="438"/>
      <c r="D331" s="438"/>
      <c r="E331" s="438"/>
      <c r="F331" s="438"/>
      <c r="G331" s="438"/>
      <c r="H331" s="108"/>
      <c r="I331" s="108"/>
      <c r="J331" s="440"/>
      <c r="K331" s="440"/>
      <c r="L331" s="440"/>
      <c r="M331" s="440"/>
      <c r="N331" s="440"/>
      <c r="O331" s="440"/>
      <c r="P331" s="440"/>
      <c r="Q331" s="440"/>
      <c r="R331" s="108"/>
      <c r="S331" s="440"/>
      <c r="T331" s="440"/>
      <c r="U331" s="440"/>
      <c r="V331" s="440"/>
      <c r="W331" s="440"/>
      <c r="X331" s="440"/>
      <c r="Y331" s="108"/>
      <c r="Z331" s="108"/>
    </row>
    <row r="332" ht="18.75" customHeight="1">
      <c r="A332" s="437"/>
      <c r="B332" s="438"/>
      <c r="C332" s="438"/>
      <c r="D332" s="438"/>
      <c r="E332" s="438"/>
      <c r="F332" s="438"/>
      <c r="G332" s="438"/>
      <c r="H332" s="108"/>
      <c r="I332" s="108"/>
      <c r="J332" s="440"/>
      <c r="K332" s="440"/>
      <c r="L332" s="440"/>
      <c r="M332" s="440"/>
      <c r="N332" s="440"/>
      <c r="O332" s="440"/>
      <c r="P332" s="440"/>
      <c r="Q332" s="440"/>
      <c r="R332" s="108"/>
      <c r="S332" s="440"/>
      <c r="T332" s="440"/>
      <c r="U332" s="440"/>
      <c r="V332" s="440"/>
      <c r="W332" s="440"/>
      <c r="X332" s="440"/>
      <c r="Y332" s="108"/>
      <c r="Z332" s="108"/>
    </row>
    <row r="333" ht="18.75" customHeight="1">
      <c r="A333" s="437"/>
      <c r="B333" s="438"/>
      <c r="C333" s="438"/>
      <c r="D333" s="438"/>
      <c r="E333" s="438"/>
      <c r="F333" s="438"/>
      <c r="G333" s="438"/>
      <c r="H333" s="108"/>
      <c r="I333" s="108"/>
      <c r="J333" s="440"/>
      <c r="K333" s="440"/>
      <c r="L333" s="440"/>
      <c r="M333" s="440"/>
      <c r="N333" s="440"/>
      <c r="O333" s="440"/>
      <c r="P333" s="440"/>
      <c r="Q333" s="440"/>
      <c r="R333" s="108"/>
      <c r="S333" s="440"/>
      <c r="T333" s="440"/>
      <c r="U333" s="440"/>
      <c r="V333" s="440"/>
      <c r="W333" s="440"/>
      <c r="X333" s="440"/>
      <c r="Y333" s="108"/>
      <c r="Z333" s="108"/>
    </row>
    <row r="334" ht="18.75" customHeight="1">
      <c r="A334" s="437"/>
      <c r="B334" s="438"/>
      <c r="C334" s="438"/>
      <c r="D334" s="438"/>
      <c r="E334" s="438"/>
      <c r="F334" s="438"/>
      <c r="G334" s="438"/>
      <c r="H334" s="108"/>
      <c r="I334" s="108"/>
      <c r="J334" s="440"/>
      <c r="K334" s="440"/>
      <c r="L334" s="440"/>
      <c r="M334" s="440"/>
      <c r="N334" s="440"/>
      <c r="O334" s="440"/>
      <c r="P334" s="440"/>
      <c r="Q334" s="440"/>
      <c r="R334" s="108"/>
      <c r="S334" s="440"/>
      <c r="T334" s="440"/>
      <c r="U334" s="440"/>
      <c r="V334" s="440"/>
      <c r="W334" s="440"/>
      <c r="X334" s="440"/>
      <c r="Y334" s="108"/>
      <c r="Z334" s="108"/>
    </row>
    <row r="335" ht="18.75" customHeight="1">
      <c r="A335" s="437"/>
      <c r="B335" s="438"/>
      <c r="C335" s="438"/>
      <c r="D335" s="438"/>
      <c r="E335" s="438"/>
      <c r="F335" s="438"/>
      <c r="G335" s="438"/>
      <c r="H335" s="108"/>
      <c r="I335" s="108"/>
      <c r="J335" s="440"/>
      <c r="K335" s="440"/>
      <c r="L335" s="440"/>
      <c r="M335" s="440"/>
      <c r="N335" s="440"/>
      <c r="O335" s="440"/>
      <c r="P335" s="440"/>
      <c r="Q335" s="440"/>
      <c r="R335" s="108"/>
      <c r="S335" s="440"/>
      <c r="T335" s="440"/>
      <c r="U335" s="440"/>
      <c r="V335" s="440"/>
      <c r="W335" s="440"/>
      <c r="X335" s="440"/>
      <c r="Y335" s="108"/>
      <c r="Z335" s="108"/>
    </row>
    <row r="336" ht="18.75" customHeight="1">
      <c r="A336" s="437"/>
      <c r="B336" s="438"/>
      <c r="C336" s="438"/>
      <c r="D336" s="438"/>
      <c r="E336" s="438"/>
      <c r="F336" s="438"/>
      <c r="G336" s="438"/>
      <c r="H336" s="108"/>
      <c r="I336" s="108"/>
      <c r="J336" s="440"/>
      <c r="K336" s="440"/>
      <c r="L336" s="440"/>
      <c r="M336" s="440"/>
      <c r="N336" s="440"/>
      <c r="O336" s="440"/>
      <c r="P336" s="440"/>
      <c r="Q336" s="440"/>
      <c r="R336" s="108"/>
      <c r="S336" s="440"/>
      <c r="T336" s="440"/>
      <c r="U336" s="440"/>
      <c r="V336" s="440"/>
      <c r="W336" s="440"/>
      <c r="X336" s="440"/>
      <c r="Y336" s="108"/>
      <c r="Z336" s="108"/>
    </row>
    <row r="337" ht="18.75" customHeight="1">
      <c r="A337" s="437"/>
      <c r="B337" s="438"/>
      <c r="C337" s="438"/>
      <c r="D337" s="438"/>
      <c r="E337" s="438"/>
      <c r="F337" s="438"/>
      <c r="G337" s="438"/>
      <c r="H337" s="108"/>
      <c r="I337" s="108"/>
      <c r="J337" s="440"/>
      <c r="K337" s="440"/>
      <c r="L337" s="440"/>
      <c r="M337" s="440"/>
      <c r="N337" s="440"/>
      <c r="O337" s="440"/>
      <c r="P337" s="440"/>
      <c r="Q337" s="440"/>
      <c r="R337" s="108"/>
      <c r="S337" s="440"/>
      <c r="T337" s="440"/>
      <c r="U337" s="440"/>
      <c r="V337" s="440"/>
      <c r="W337" s="440"/>
      <c r="X337" s="440"/>
      <c r="Y337" s="108"/>
      <c r="Z337" s="108"/>
    </row>
    <row r="338" ht="18.75" customHeight="1">
      <c r="A338" s="437"/>
      <c r="B338" s="438"/>
      <c r="C338" s="438"/>
      <c r="D338" s="438"/>
      <c r="E338" s="438"/>
      <c r="F338" s="438"/>
      <c r="G338" s="438"/>
      <c r="H338" s="108"/>
      <c r="I338" s="108"/>
      <c r="J338" s="440"/>
      <c r="K338" s="440"/>
      <c r="L338" s="440"/>
      <c r="M338" s="440"/>
      <c r="N338" s="440"/>
      <c r="O338" s="440"/>
      <c r="P338" s="440"/>
      <c r="Q338" s="440"/>
      <c r="R338" s="108"/>
      <c r="S338" s="440"/>
      <c r="T338" s="440"/>
      <c r="U338" s="440"/>
      <c r="V338" s="440"/>
      <c r="W338" s="440"/>
      <c r="X338" s="440"/>
      <c r="Y338" s="108"/>
      <c r="Z338" s="108"/>
    </row>
    <row r="339" ht="18.75" customHeight="1">
      <c r="A339" s="437"/>
      <c r="B339" s="438"/>
      <c r="C339" s="438"/>
      <c r="D339" s="438"/>
      <c r="E339" s="438"/>
      <c r="F339" s="438"/>
      <c r="G339" s="438"/>
      <c r="H339" s="108"/>
      <c r="I339" s="108"/>
      <c r="J339" s="440"/>
      <c r="K339" s="440"/>
      <c r="L339" s="440"/>
      <c r="M339" s="440"/>
      <c r="N339" s="440"/>
      <c r="O339" s="440"/>
      <c r="P339" s="440"/>
      <c r="Q339" s="440"/>
      <c r="R339" s="108"/>
      <c r="S339" s="440"/>
      <c r="T339" s="440"/>
      <c r="U339" s="440"/>
      <c r="V339" s="440"/>
      <c r="W339" s="440"/>
      <c r="X339" s="440"/>
      <c r="Y339" s="108"/>
      <c r="Z339" s="108"/>
    </row>
    <row r="340" ht="18.75" customHeight="1">
      <c r="A340" s="437"/>
      <c r="B340" s="438"/>
      <c r="C340" s="438"/>
      <c r="D340" s="438"/>
      <c r="E340" s="438"/>
      <c r="F340" s="438"/>
      <c r="G340" s="438"/>
      <c r="H340" s="108"/>
      <c r="I340" s="108"/>
      <c r="J340" s="440"/>
      <c r="K340" s="440"/>
      <c r="L340" s="440"/>
      <c r="M340" s="440"/>
      <c r="N340" s="440"/>
      <c r="O340" s="440"/>
      <c r="P340" s="440"/>
      <c r="Q340" s="440"/>
      <c r="R340" s="108"/>
      <c r="S340" s="440"/>
      <c r="T340" s="440"/>
      <c r="U340" s="440"/>
      <c r="V340" s="440"/>
      <c r="W340" s="440"/>
      <c r="X340" s="440"/>
      <c r="Y340" s="108"/>
      <c r="Z340" s="108"/>
    </row>
    <row r="341" ht="18.75" customHeight="1">
      <c r="A341" s="437"/>
      <c r="B341" s="438"/>
      <c r="C341" s="438"/>
      <c r="D341" s="438"/>
      <c r="E341" s="438"/>
      <c r="F341" s="438"/>
      <c r="G341" s="438"/>
      <c r="H341" s="108"/>
      <c r="I341" s="108"/>
      <c r="J341" s="440"/>
      <c r="K341" s="440"/>
      <c r="L341" s="440"/>
      <c r="M341" s="440"/>
      <c r="N341" s="440"/>
      <c r="O341" s="440"/>
      <c r="P341" s="440"/>
      <c r="Q341" s="440"/>
      <c r="R341" s="108"/>
      <c r="S341" s="440"/>
      <c r="T341" s="440"/>
      <c r="U341" s="440"/>
      <c r="V341" s="440"/>
      <c r="W341" s="440"/>
      <c r="X341" s="440"/>
      <c r="Y341" s="108"/>
      <c r="Z341" s="108"/>
    </row>
    <row r="342" ht="18.75" customHeight="1">
      <c r="A342" s="437"/>
      <c r="B342" s="438"/>
      <c r="C342" s="438"/>
      <c r="D342" s="438"/>
      <c r="E342" s="438"/>
      <c r="F342" s="438"/>
      <c r="G342" s="438"/>
      <c r="H342" s="108"/>
      <c r="I342" s="108"/>
      <c r="J342" s="440"/>
      <c r="K342" s="440"/>
      <c r="L342" s="440"/>
      <c r="M342" s="440"/>
      <c r="N342" s="440"/>
      <c r="O342" s="440"/>
      <c r="P342" s="440"/>
      <c r="Q342" s="440"/>
      <c r="R342" s="108"/>
      <c r="S342" s="440"/>
      <c r="T342" s="440"/>
      <c r="U342" s="440"/>
      <c r="V342" s="440"/>
      <c r="W342" s="440"/>
      <c r="X342" s="440"/>
      <c r="Y342" s="108"/>
      <c r="Z342" s="108"/>
    </row>
    <row r="343" ht="18.75" customHeight="1">
      <c r="A343" s="437"/>
      <c r="B343" s="438"/>
      <c r="C343" s="438"/>
      <c r="D343" s="438"/>
      <c r="E343" s="438"/>
      <c r="F343" s="438"/>
      <c r="G343" s="438"/>
      <c r="H343" s="108"/>
      <c r="I343" s="108"/>
      <c r="J343" s="440"/>
      <c r="K343" s="440"/>
      <c r="L343" s="440"/>
      <c r="M343" s="440"/>
      <c r="N343" s="440"/>
      <c r="O343" s="440"/>
      <c r="P343" s="440"/>
      <c r="Q343" s="440"/>
      <c r="R343" s="108"/>
      <c r="S343" s="440"/>
      <c r="T343" s="440"/>
      <c r="U343" s="440"/>
      <c r="V343" s="440"/>
      <c r="W343" s="440"/>
      <c r="X343" s="440"/>
      <c r="Y343" s="108"/>
      <c r="Z343" s="108"/>
    </row>
    <row r="344" ht="18.75" customHeight="1">
      <c r="A344" s="437"/>
      <c r="B344" s="438"/>
      <c r="C344" s="438"/>
      <c r="D344" s="438"/>
      <c r="E344" s="438"/>
      <c r="F344" s="438"/>
      <c r="G344" s="438"/>
      <c r="H344" s="108"/>
      <c r="I344" s="108"/>
      <c r="J344" s="440"/>
      <c r="K344" s="440"/>
      <c r="L344" s="440"/>
      <c r="M344" s="440"/>
      <c r="N344" s="440"/>
      <c r="O344" s="440"/>
      <c r="P344" s="440"/>
      <c r="Q344" s="440"/>
      <c r="R344" s="108"/>
      <c r="S344" s="440"/>
      <c r="T344" s="440"/>
      <c r="U344" s="440"/>
      <c r="V344" s="440"/>
      <c r="W344" s="440"/>
      <c r="X344" s="440"/>
      <c r="Y344" s="108"/>
      <c r="Z344" s="108"/>
    </row>
    <row r="345" ht="18.75" customHeight="1">
      <c r="A345" s="437"/>
      <c r="B345" s="438"/>
      <c r="C345" s="438"/>
      <c r="D345" s="438"/>
      <c r="E345" s="438"/>
      <c r="F345" s="438"/>
      <c r="G345" s="438"/>
      <c r="H345" s="108"/>
      <c r="I345" s="108"/>
      <c r="J345" s="440"/>
      <c r="K345" s="440"/>
      <c r="L345" s="440"/>
      <c r="M345" s="440"/>
      <c r="N345" s="440"/>
      <c r="O345" s="440"/>
      <c r="P345" s="440"/>
      <c r="Q345" s="440"/>
      <c r="R345" s="108"/>
      <c r="S345" s="440"/>
      <c r="T345" s="440"/>
      <c r="U345" s="440"/>
      <c r="V345" s="440"/>
      <c r="W345" s="440"/>
      <c r="X345" s="440"/>
      <c r="Y345" s="108"/>
      <c r="Z345" s="108"/>
    </row>
    <row r="346" ht="18.75" customHeight="1">
      <c r="A346" s="437"/>
      <c r="B346" s="438"/>
      <c r="C346" s="438"/>
      <c r="D346" s="438"/>
      <c r="E346" s="438"/>
      <c r="F346" s="438"/>
      <c r="G346" s="438"/>
      <c r="H346" s="108"/>
      <c r="I346" s="108"/>
      <c r="J346" s="440"/>
      <c r="K346" s="440"/>
      <c r="L346" s="440"/>
      <c r="M346" s="440"/>
      <c r="N346" s="440"/>
      <c r="O346" s="440"/>
      <c r="P346" s="440"/>
      <c r="Q346" s="440"/>
      <c r="R346" s="108"/>
      <c r="S346" s="440"/>
      <c r="T346" s="440"/>
      <c r="U346" s="440"/>
      <c r="V346" s="440"/>
      <c r="W346" s="440"/>
      <c r="X346" s="440"/>
      <c r="Y346" s="108"/>
      <c r="Z346" s="108"/>
    </row>
    <row r="347" ht="18.75" customHeight="1">
      <c r="A347" s="437"/>
      <c r="B347" s="438"/>
      <c r="C347" s="438"/>
      <c r="D347" s="438"/>
      <c r="E347" s="438"/>
      <c r="F347" s="438"/>
      <c r="G347" s="438"/>
      <c r="H347" s="108"/>
      <c r="I347" s="108"/>
      <c r="J347" s="440"/>
      <c r="K347" s="440"/>
      <c r="L347" s="440"/>
      <c r="M347" s="440"/>
      <c r="N347" s="440"/>
      <c r="O347" s="440"/>
      <c r="P347" s="440"/>
      <c r="Q347" s="440"/>
      <c r="R347" s="108"/>
      <c r="S347" s="440"/>
      <c r="T347" s="440"/>
      <c r="U347" s="440"/>
      <c r="V347" s="440"/>
      <c r="W347" s="440"/>
      <c r="X347" s="440"/>
      <c r="Y347" s="108"/>
      <c r="Z347" s="108"/>
    </row>
    <row r="348" ht="18.75" customHeight="1">
      <c r="A348" s="437"/>
      <c r="B348" s="438"/>
      <c r="C348" s="438"/>
      <c r="D348" s="438"/>
      <c r="E348" s="438"/>
      <c r="F348" s="438"/>
      <c r="G348" s="438"/>
      <c r="H348" s="108"/>
      <c r="I348" s="108"/>
      <c r="J348" s="440"/>
      <c r="K348" s="440"/>
      <c r="L348" s="440"/>
      <c r="M348" s="440"/>
      <c r="N348" s="440"/>
      <c r="O348" s="440"/>
      <c r="P348" s="440"/>
      <c r="Q348" s="440"/>
      <c r="R348" s="108"/>
      <c r="S348" s="440"/>
      <c r="T348" s="440"/>
      <c r="U348" s="440"/>
      <c r="V348" s="440"/>
      <c r="W348" s="440"/>
      <c r="X348" s="440"/>
      <c r="Y348" s="108"/>
      <c r="Z348" s="108"/>
    </row>
    <row r="349" ht="18.75" customHeight="1">
      <c r="A349" s="437"/>
      <c r="B349" s="438"/>
      <c r="C349" s="438"/>
      <c r="D349" s="438"/>
      <c r="E349" s="438"/>
      <c r="F349" s="438"/>
      <c r="G349" s="438"/>
      <c r="H349" s="108"/>
      <c r="I349" s="108"/>
      <c r="J349" s="440"/>
      <c r="K349" s="440"/>
      <c r="L349" s="440"/>
      <c r="M349" s="440"/>
      <c r="N349" s="440"/>
      <c r="O349" s="440"/>
      <c r="P349" s="440"/>
      <c r="Q349" s="440"/>
      <c r="R349" s="108"/>
      <c r="S349" s="440"/>
      <c r="T349" s="440"/>
      <c r="U349" s="440"/>
      <c r="V349" s="440"/>
      <c r="W349" s="440"/>
      <c r="X349" s="440"/>
      <c r="Y349" s="108"/>
      <c r="Z349" s="108"/>
    </row>
    <row r="350" ht="18.75" customHeight="1">
      <c r="A350" s="437"/>
      <c r="B350" s="438"/>
      <c r="C350" s="438"/>
      <c r="D350" s="438"/>
      <c r="E350" s="438"/>
      <c r="F350" s="438"/>
      <c r="G350" s="438"/>
      <c r="H350" s="108"/>
      <c r="I350" s="108"/>
      <c r="J350" s="440"/>
      <c r="K350" s="440"/>
      <c r="L350" s="440"/>
      <c r="M350" s="440"/>
      <c r="N350" s="440"/>
      <c r="O350" s="440"/>
      <c r="P350" s="440"/>
      <c r="Q350" s="440"/>
      <c r="R350" s="108"/>
      <c r="S350" s="440"/>
      <c r="T350" s="440"/>
      <c r="U350" s="440"/>
      <c r="V350" s="440"/>
      <c r="W350" s="440"/>
      <c r="X350" s="440"/>
      <c r="Y350" s="108"/>
      <c r="Z350" s="108"/>
    </row>
    <row r="351" ht="18.75" customHeight="1">
      <c r="A351" s="437"/>
      <c r="B351" s="438"/>
      <c r="C351" s="438"/>
      <c r="D351" s="438"/>
      <c r="E351" s="438"/>
      <c r="F351" s="438"/>
      <c r="G351" s="438"/>
      <c r="H351" s="108"/>
      <c r="I351" s="108"/>
      <c r="J351" s="440"/>
      <c r="K351" s="440"/>
      <c r="L351" s="440"/>
      <c r="M351" s="440"/>
      <c r="N351" s="440"/>
      <c r="O351" s="440"/>
      <c r="P351" s="440"/>
      <c r="Q351" s="440"/>
      <c r="R351" s="108"/>
      <c r="S351" s="440"/>
      <c r="T351" s="440"/>
      <c r="U351" s="440"/>
      <c r="V351" s="440"/>
      <c r="W351" s="440"/>
      <c r="X351" s="440"/>
      <c r="Y351" s="108"/>
      <c r="Z351" s="108"/>
    </row>
    <row r="352" ht="18.75" customHeight="1">
      <c r="A352" s="437"/>
      <c r="B352" s="438"/>
      <c r="C352" s="438"/>
      <c r="D352" s="438"/>
      <c r="E352" s="438"/>
      <c r="F352" s="438"/>
      <c r="G352" s="438"/>
      <c r="H352" s="108"/>
      <c r="I352" s="108"/>
      <c r="J352" s="440"/>
      <c r="K352" s="440"/>
      <c r="L352" s="440"/>
      <c r="M352" s="440"/>
      <c r="N352" s="440"/>
      <c r="O352" s="440"/>
      <c r="P352" s="440"/>
      <c r="Q352" s="440"/>
      <c r="R352" s="108"/>
      <c r="S352" s="440"/>
      <c r="T352" s="440"/>
      <c r="U352" s="440"/>
      <c r="V352" s="440"/>
      <c r="W352" s="440"/>
      <c r="X352" s="440"/>
      <c r="Y352" s="108"/>
      <c r="Z352" s="108"/>
    </row>
    <row r="353" ht="18.75" customHeight="1">
      <c r="A353" s="437"/>
      <c r="B353" s="438"/>
      <c r="C353" s="438"/>
      <c r="D353" s="438"/>
      <c r="E353" s="438"/>
      <c r="F353" s="438"/>
      <c r="G353" s="438"/>
      <c r="H353" s="108"/>
      <c r="I353" s="108"/>
      <c r="J353" s="440"/>
      <c r="K353" s="440"/>
      <c r="L353" s="440"/>
      <c r="M353" s="440"/>
      <c r="N353" s="440"/>
      <c r="O353" s="440"/>
      <c r="P353" s="440"/>
      <c r="Q353" s="440"/>
      <c r="R353" s="108"/>
      <c r="S353" s="440"/>
      <c r="T353" s="440"/>
      <c r="U353" s="440"/>
      <c r="V353" s="440"/>
      <c r="W353" s="440"/>
      <c r="X353" s="440"/>
      <c r="Y353" s="108"/>
      <c r="Z353" s="108"/>
    </row>
    <row r="354" ht="18.75" customHeight="1">
      <c r="A354" s="437"/>
      <c r="B354" s="438"/>
      <c r="C354" s="438"/>
      <c r="D354" s="438"/>
      <c r="E354" s="438"/>
      <c r="F354" s="438"/>
      <c r="G354" s="438"/>
      <c r="H354" s="108"/>
      <c r="I354" s="108"/>
      <c r="J354" s="440"/>
      <c r="K354" s="440"/>
      <c r="L354" s="440"/>
      <c r="M354" s="440"/>
      <c r="N354" s="440"/>
      <c r="O354" s="440"/>
      <c r="P354" s="440"/>
      <c r="Q354" s="440"/>
      <c r="R354" s="108"/>
      <c r="S354" s="440"/>
      <c r="T354" s="440"/>
      <c r="U354" s="440"/>
      <c r="V354" s="440"/>
      <c r="W354" s="440"/>
      <c r="X354" s="440"/>
      <c r="Y354" s="108"/>
      <c r="Z354" s="108"/>
    </row>
    <row r="355" ht="18.75" customHeight="1">
      <c r="A355" s="437"/>
      <c r="B355" s="438"/>
      <c r="C355" s="438"/>
      <c r="D355" s="438"/>
      <c r="E355" s="438"/>
      <c r="F355" s="438"/>
      <c r="G355" s="438"/>
      <c r="H355" s="108"/>
      <c r="I355" s="108"/>
      <c r="J355" s="440"/>
      <c r="K355" s="440"/>
      <c r="L355" s="440"/>
      <c r="M355" s="440"/>
      <c r="N355" s="440"/>
      <c r="O355" s="440"/>
      <c r="P355" s="440"/>
      <c r="Q355" s="440"/>
      <c r="R355" s="108"/>
      <c r="S355" s="440"/>
      <c r="T355" s="440"/>
      <c r="U355" s="440"/>
      <c r="V355" s="440"/>
      <c r="W355" s="440"/>
      <c r="X355" s="440"/>
      <c r="Y355" s="108"/>
      <c r="Z355" s="108"/>
    </row>
    <row r="356" ht="18.75" customHeight="1">
      <c r="A356" s="437"/>
      <c r="B356" s="438"/>
      <c r="C356" s="438"/>
      <c r="D356" s="438"/>
      <c r="E356" s="438"/>
      <c r="F356" s="438"/>
      <c r="G356" s="438"/>
      <c r="H356" s="108"/>
      <c r="I356" s="108"/>
      <c r="J356" s="440"/>
      <c r="K356" s="440"/>
      <c r="L356" s="440"/>
      <c r="M356" s="440"/>
      <c r="N356" s="440"/>
      <c r="O356" s="440"/>
      <c r="P356" s="440"/>
      <c r="Q356" s="440"/>
      <c r="R356" s="108"/>
      <c r="S356" s="440"/>
      <c r="T356" s="440"/>
      <c r="U356" s="440"/>
      <c r="V356" s="440"/>
      <c r="W356" s="440"/>
      <c r="X356" s="440"/>
      <c r="Y356" s="108"/>
      <c r="Z356" s="108"/>
    </row>
    <row r="357" ht="18.75" customHeight="1">
      <c r="A357" s="437"/>
      <c r="B357" s="438"/>
      <c r="C357" s="438"/>
      <c r="D357" s="438"/>
      <c r="E357" s="438"/>
      <c r="F357" s="438"/>
      <c r="G357" s="438"/>
      <c r="H357" s="108"/>
      <c r="I357" s="108"/>
      <c r="J357" s="440"/>
      <c r="K357" s="440"/>
      <c r="L357" s="440"/>
      <c r="M357" s="440"/>
      <c r="N357" s="440"/>
      <c r="O357" s="440"/>
      <c r="P357" s="440"/>
      <c r="Q357" s="440"/>
      <c r="R357" s="108"/>
      <c r="S357" s="440"/>
      <c r="T357" s="440"/>
      <c r="U357" s="440"/>
      <c r="V357" s="440"/>
      <c r="W357" s="440"/>
      <c r="X357" s="440"/>
      <c r="Y357" s="108"/>
      <c r="Z357" s="108"/>
    </row>
    <row r="358" ht="18.75" customHeight="1">
      <c r="A358" s="437"/>
      <c r="B358" s="438"/>
      <c r="C358" s="438"/>
      <c r="D358" s="438"/>
      <c r="E358" s="438"/>
      <c r="F358" s="438"/>
      <c r="G358" s="438"/>
      <c r="H358" s="108"/>
      <c r="I358" s="108"/>
      <c r="J358" s="440"/>
      <c r="K358" s="440"/>
      <c r="L358" s="440"/>
      <c r="M358" s="440"/>
      <c r="N358" s="440"/>
      <c r="O358" s="440"/>
      <c r="P358" s="440"/>
      <c r="Q358" s="440"/>
      <c r="R358" s="108"/>
      <c r="S358" s="440"/>
      <c r="T358" s="440"/>
      <c r="U358" s="440"/>
      <c r="V358" s="440"/>
      <c r="W358" s="440"/>
      <c r="X358" s="440"/>
      <c r="Y358" s="108"/>
      <c r="Z358" s="108"/>
    </row>
    <row r="359" ht="18.75" customHeight="1">
      <c r="A359" s="437"/>
      <c r="B359" s="438"/>
      <c r="C359" s="438"/>
      <c r="D359" s="438"/>
      <c r="E359" s="438"/>
      <c r="F359" s="438"/>
      <c r="G359" s="438"/>
      <c r="H359" s="108"/>
      <c r="I359" s="108"/>
      <c r="J359" s="440"/>
      <c r="K359" s="440"/>
      <c r="L359" s="440"/>
      <c r="M359" s="440"/>
      <c r="N359" s="440"/>
      <c r="O359" s="440"/>
      <c r="P359" s="440"/>
      <c r="Q359" s="440"/>
      <c r="R359" s="108"/>
      <c r="S359" s="440"/>
      <c r="T359" s="440"/>
      <c r="U359" s="440"/>
      <c r="V359" s="440"/>
      <c r="W359" s="440"/>
      <c r="X359" s="440"/>
      <c r="Y359" s="108"/>
      <c r="Z359" s="108"/>
    </row>
    <row r="360" ht="18.75" customHeight="1">
      <c r="A360" s="437"/>
      <c r="B360" s="438"/>
      <c r="C360" s="438"/>
      <c r="D360" s="438"/>
      <c r="E360" s="438"/>
      <c r="F360" s="438"/>
      <c r="G360" s="438"/>
      <c r="H360" s="108"/>
      <c r="I360" s="108"/>
      <c r="J360" s="440"/>
      <c r="K360" s="440"/>
      <c r="L360" s="440"/>
      <c r="M360" s="440"/>
      <c r="N360" s="440"/>
      <c r="O360" s="440"/>
      <c r="P360" s="440"/>
      <c r="Q360" s="440"/>
      <c r="R360" s="108"/>
      <c r="S360" s="440"/>
      <c r="T360" s="440"/>
      <c r="U360" s="440"/>
      <c r="V360" s="440"/>
      <c r="W360" s="440"/>
      <c r="X360" s="440"/>
      <c r="Y360" s="108"/>
      <c r="Z360" s="108"/>
    </row>
    <row r="361" ht="18.75" customHeight="1">
      <c r="A361" s="437"/>
      <c r="B361" s="438"/>
      <c r="C361" s="438"/>
      <c r="D361" s="438"/>
      <c r="E361" s="438"/>
      <c r="F361" s="438"/>
      <c r="G361" s="438"/>
      <c r="H361" s="108"/>
      <c r="I361" s="108"/>
      <c r="J361" s="440"/>
      <c r="K361" s="440"/>
      <c r="L361" s="440"/>
      <c r="M361" s="440"/>
      <c r="N361" s="440"/>
      <c r="O361" s="440"/>
      <c r="P361" s="440"/>
      <c r="Q361" s="440"/>
      <c r="R361" s="108"/>
      <c r="S361" s="440"/>
      <c r="T361" s="440"/>
      <c r="U361" s="440"/>
      <c r="V361" s="440"/>
      <c r="W361" s="440"/>
      <c r="X361" s="440"/>
      <c r="Y361" s="108"/>
      <c r="Z361" s="108"/>
    </row>
    <row r="362" ht="18.75" customHeight="1">
      <c r="A362" s="437"/>
      <c r="B362" s="438"/>
      <c r="C362" s="438"/>
      <c r="D362" s="438"/>
      <c r="E362" s="438"/>
      <c r="F362" s="438"/>
      <c r="G362" s="438"/>
      <c r="H362" s="108"/>
      <c r="I362" s="108"/>
      <c r="J362" s="440"/>
      <c r="K362" s="440"/>
      <c r="L362" s="440"/>
      <c r="M362" s="440"/>
      <c r="N362" s="440"/>
      <c r="O362" s="440"/>
      <c r="P362" s="440"/>
      <c r="Q362" s="440"/>
      <c r="R362" s="108"/>
      <c r="S362" s="440"/>
      <c r="T362" s="440"/>
      <c r="U362" s="440"/>
      <c r="V362" s="440"/>
      <c r="W362" s="440"/>
      <c r="X362" s="440"/>
      <c r="Y362" s="108"/>
      <c r="Z362" s="108"/>
    </row>
    <row r="363" ht="18.75" customHeight="1">
      <c r="A363" s="437"/>
      <c r="B363" s="438"/>
      <c r="C363" s="438"/>
      <c r="D363" s="438"/>
      <c r="E363" s="438"/>
      <c r="F363" s="438"/>
      <c r="G363" s="438"/>
      <c r="H363" s="108"/>
      <c r="I363" s="108"/>
      <c r="J363" s="440"/>
      <c r="K363" s="440"/>
      <c r="L363" s="440"/>
      <c r="M363" s="440"/>
      <c r="N363" s="440"/>
      <c r="O363" s="440"/>
      <c r="P363" s="440"/>
      <c r="Q363" s="440"/>
      <c r="R363" s="108"/>
      <c r="S363" s="440"/>
      <c r="T363" s="440"/>
      <c r="U363" s="440"/>
      <c r="V363" s="440"/>
      <c r="W363" s="440"/>
      <c r="X363" s="440"/>
      <c r="Y363" s="108"/>
      <c r="Z363" s="108"/>
    </row>
    <row r="364" ht="18.75" customHeight="1">
      <c r="A364" s="437"/>
      <c r="B364" s="438"/>
      <c r="C364" s="438"/>
      <c r="D364" s="438"/>
      <c r="E364" s="438"/>
      <c r="F364" s="438"/>
      <c r="G364" s="438"/>
      <c r="H364" s="108"/>
      <c r="I364" s="108"/>
      <c r="J364" s="440"/>
      <c r="K364" s="440"/>
      <c r="L364" s="440"/>
      <c r="M364" s="440"/>
      <c r="N364" s="440"/>
      <c r="O364" s="440"/>
      <c r="P364" s="440"/>
      <c r="Q364" s="440"/>
      <c r="R364" s="108"/>
      <c r="S364" s="440"/>
      <c r="T364" s="440"/>
      <c r="U364" s="440"/>
      <c r="V364" s="440"/>
      <c r="W364" s="440"/>
      <c r="X364" s="440"/>
      <c r="Y364" s="108"/>
      <c r="Z364" s="108"/>
    </row>
    <row r="365" ht="18.75" customHeight="1">
      <c r="A365" s="437"/>
      <c r="B365" s="438"/>
      <c r="C365" s="438"/>
      <c r="D365" s="438"/>
      <c r="E365" s="438"/>
      <c r="F365" s="438"/>
      <c r="G365" s="438"/>
      <c r="H365" s="108"/>
      <c r="I365" s="108"/>
      <c r="J365" s="440"/>
      <c r="K365" s="440"/>
      <c r="L365" s="440"/>
      <c r="M365" s="440"/>
      <c r="N365" s="440"/>
      <c r="O365" s="440"/>
      <c r="P365" s="440"/>
      <c r="Q365" s="440"/>
      <c r="R365" s="108"/>
      <c r="S365" s="440"/>
      <c r="T365" s="440"/>
      <c r="U365" s="440"/>
      <c r="V365" s="440"/>
      <c r="W365" s="440"/>
      <c r="X365" s="440"/>
      <c r="Y365" s="108"/>
      <c r="Z365" s="108"/>
    </row>
    <row r="366" ht="18.75" customHeight="1">
      <c r="A366" s="437"/>
      <c r="B366" s="438"/>
      <c r="C366" s="438"/>
      <c r="D366" s="438"/>
      <c r="E366" s="438"/>
      <c r="F366" s="438"/>
      <c r="G366" s="438"/>
      <c r="H366" s="108"/>
      <c r="I366" s="108"/>
      <c r="J366" s="440"/>
      <c r="K366" s="440"/>
      <c r="L366" s="440"/>
      <c r="M366" s="440"/>
      <c r="N366" s="440"/>
      <c r="O366" s="440"/>
      <c r="P366" s="440"/>
      <c r="Q366" s="440"/>
      <c r="R366" s="108"/>
      <c r="S366" s="440"/>
      <c r="T366" s="440"/>
      <c r="U366" s="440"/>
      <c r="V366" s="440"/>
      <c r="W366" s="440"/>
      <c r="X366" s="440"/>
      <c r="Y366" s="108"/>
      <c r="Z366" s="108"/>
    </row>
    <row r="367" ht="18.75" customHeight="1">
      <c r="A367" s="437"/>
      <c r="B367" s="438"/>
      <c r="C367" s="438"/>
      <c r="D367" s="438"/>
      <c r="E367" s="438"/>
      <c r="F367" s="438"/>
      <c r="G367" s="438"/>
      <c r="H367" s="108"/>
      <c r="I367" s="108"/>
      <c r="J367" s="440"/>
      <c r="K367" s="440"/>
      <c r="L367" s="440"/>
      <c r="M367" s="440"/>
      <c r="N367" s="440"/>
      <c r="O367" s="440"/>
      <c r="P367" s="440"/>
      <c r="Q367" s="440"/>
      <c r="R367" s="108"/>
      <c r="S367" s="440"/>
      <c r="T367" s="440"/>
      <c r="U367" s="440"/>
      <c r="V367" s="440"/>
      <c r="W367" s="440"/>
      <c r="X367" s="440"/>
      <c r="Y367" s="108"/>
      <c r="Z367" s="108"/>
    </row>
    <row r="368" ht="18.75" customHeight="1">
      <c r="A368" s="437"/>
      <c r="B368" s="438"/>
      <c r="C368" s="438"/>
      <c r="D368" s="438"/>
      <c r="E368" s="438"/>
      <c r="F368" s="438"/>
      <c r="G368" s="438"/>
      <c r="H368" s="108"/>
      <c r="I368" s="108"/>
      <c r="J368" s="440"/>
      <c r="K368" s="440"/>
      <c r="L368" s="440"/>
      <c r="M368" s="440"/>
      <c r="N368" s="440"/>
      <c r="O368" s="440"/>
      <c r="P368" s="440"/>
      <c r="Q368" s="440"/>
      <c r="R368" s="108"/>
      <c r="S368" s="440"/>
      <c r="T368" s="440"/>
      <c r="U368" s="440"/>
      <c r="V368" s="440"/>
      <c r="W368" s="440"/>
      <c r="X368" s="440"/>
      <c r="Y368" s="108"/>
      <c r="Z368" s="108"/>
    </row>
    <row r="369" ht="18.75" customHeight="1">
      <c r="A369" s="437"/>
      <c r="B369" s="438"/>
      <c r="C369" s="438"/>
      <c r="D369" s="438"/>
      <c r="E369" s="438"/>
      <c r="F369" s="438"/>
      <c r="G369" s="438"/>
      <c r="H369" s="108"/>
      <c r="I369" s="108"/>
      <c r="J369" s="440"/>
      <c r="K369" s="440"/>
      <c r="L369" s="440"/>
      <c r="M369" s="440"/>
      <c r="N369" s="440"/>
      <c r="O369" s="440"/>
      <c r="P369" s="440"/>
      <c r="Q369" s="440"/>
      <c r="R369" s="108"/>
      <c r="S369" s="440"/>
      <c r="T369" s="440"/>
      <c r="U369" s="440"/>
      <c r="V369" s="440"/>
      <c r="W369" s="440"/>
      <c r="X369" s="440"/>
      <c r="Y369" s="108"/>
      <c r="Z369" s="108"/>
    </row>
    <row r="370" ht="18.75" customHeight="1">
      <c r="A370" s="437"/>
      <c r="B370" s="438"/>
      <c r="C370" s="438"/>
      <c r="D370" s="438"/>
      <c r="E370" s="438"/>
      <c r="F370" s="438"/>
      <c r="G370" s="438"/>
      <c r="H370" s="108"/>
      <c r="I370" s="108"/>
      <c r="J370" s="440"/>
      <c r="K370" s="440"/>
      <c r="L370" s="440"/>
      <c r="M370" s="440"/>
      <c r="N370" s="440"/>
      <c r="O370" s="440"/>
      <c r="P370" s="440"/>
      <c r="Q370" s="440"/>
      <c r="R370" s="108"/>
      <c r="S370" s="440"/>
      <c r="T370" s="440"/>
      <c r="U370" s="440"/>
      <c r="V370" s="440"/>
      <c r="W370" s="440"/>
      <c r="X370" s="440"/>
      <c r="Y370" s="108"/>
      <c r="Z370" s="108"/>
    </row>
    <row r="371" ht="18.75" customHeight="1">
      <c r="A371" s="437"/>
      <c r="B371" s="438"/>
      <c r="C371" s="438"/>
      <c r="D371" s="438"/>
      <c r="E371" s="438"/>
      <c r="F371" s="438"/>
      <c r="G371" s="438"/>
      <c r="H371" s="108"/>
      <c r="I371" s="108"/>
      <c r="J371" s="440"/>
      <c r="K371" s="440"/>
      <c r="L371" s="440"/>
      <c r="M371" s="440"/>
      <c r="N371" s="440"/>
      <c r="O371" s="440"/>
      <c r="P371" s="440"/>
      <c r="Q371" s="440"/>
      <c r="R371" s="108"/>
      <c r="S371" s="440"/>
      <c r="T371" s="440"/>
      <c r="U371" s="440"/>
      <c r="V371" s="440"/>
      <c r="W371" s="440"/>
      <c r="X371" s="440"/>
      <c r="Y371" s="108"/>
      <c r="Z371" s="108"/>
    </row>
    <row r="372" ht="18.75" customHeight="1">
      <c r="A372" s="437"/>
      <c r="B372" s="438"/>
      <c r="C372" s="438"/>
      <c r="D372" s="438"/>
      <c r="E372" s="438"/>
      <c r="F372" s="438"/>
      <c r="G372" s="438"/>
      <c r="H372" s="108"/>
      <c r="I372" s="108"/>
      <c r="J372" s="440"/>
      <c r="K372" s="440"/>
      <c r="L372" s="440"/>
      <c r="M372" s="440"/>
      <c r="N372" s="440"/>
      <c r="O372" s="440"/>
      <c r="P372" s="440"/>
      <c r="Q372" s="440"/>
      <c r="R372" s="108"/>
      <c r="S372" s="440"/>
      <c r="T372" s="440"/>
      <c r="U372" s="440"/>
      <c r="V372" s="440"/>
      <c r="W372" s="440"/>
      <c r="X372" s="440"/>
      <c r="Y372" s="108"/>
      <c r="Z372" s="108"/>
    </row>
    <row r="373" ht="18.75" customHeight="1">
      <c r="A373" s="437"/>
      <c r="B373" s="438"/>
      <c r="C373" s="438"/>
      <c r="D373" s="438"/>
      <c r="E373" s="438"/>
      <c r="F373" s="438"/>
      <c r="G373" s="438"/>
      <c r="H373" s="108"/>
      <c r="I373" s="108"/>
      <c r="J373" s="440"/>
      <c r="K373" s="440"/>
      <c r="L373" s="440"/>
      <c r="M373" s="440"/>
      <c r="N373" s="440"/>
      <c r="O373" s="440"/>
      <c r="P373" s="440"/>
      <c r="Q373" s="440"/>
      <c r="R373" s="108"/>
      <c r="S373" s="440"/>
      <c r="T373" s="440"/>
      <c r="U373" s="440"/>
      <c r="V373" s="440"/>
      <c r="W373" s="440"/>
      <c r="X373" s="440"/>
      <c r="Y373" s="108"/>
      <c r="Z373" s="108"/>
    </row>
    <row r="374" ht="18.75" customHeight="1">
      <c r="A374" s="437"/>
      <c r="B374" s="438"/>
      <c r="C374" s="438"/>
      <c r="D374" s="438"/>
      <c r="E374" s="438"/>
      <c r="F374" s="438"/>
      <c r="G374" s="438"/>
      <c r="H374" s="108"/>
      <c r="I374" s="108"/>
      <c r="J374" s="440"/>
      <c r="K374" s="440"/>
      <c r="L374" s="440"/>
      <c r="M374" s="440"/>
      <c r="N374" s="440"/>
      <c r="O374" s="440"/>
      <c r="P374" s="440"/>
      <c r="Q374" s="440"/>
      <c r="R374" s="108"/>
      <c r="S374" s="440"/>
      <c r="T374" s="440"/>
      <c r="U374" s="440"/>
      <c r="V374" s="440"/>
      <c r="W374" s="440"/>
      <c r="X374" s="440"/>
      <c r="Y374" s="108"/>
      <c r="Z374" s="108"/>
    </row>
    <row r="375" ht="18.75" customHeight="1">
      <c r="A375" s="437"/>
      <c r="B375" s="438"/>
      <c r="C375" s="438"/>
      <c r="D375" s="438"/>
      <c r="E375" s="438"/>
      <c r="F375" s="438"/>
      <c r="G375" s="438"/>
      <c r="H375" s="108"/>
      <c r="I375" s="108"/>
      <c r="J375" s="440"/>
      <c r="K375" s="440"/>
      <c r="L375" s="440"/>
      <c r="M375" s="440"/>
      <c r="N375" s="440"/>
      <c r="O375" s="440"/>
      <c r="P375" s="440"/>
      <c r="Q375" s="440"/>
      <c r="R375" s="108"/>
      <c r="S375" s="440"/>
      <c r="T375" s="440"/>
      <c r="U375" s="440"/>
      <c r="V375" s="440"/>
      <c r="W375" s="440"/>
      <c r="X375" s="440"/>
      <c r="Y375" s="108"/>
      <c r="Z375" s="108"/>
    </row>
    <row r="376" ht="18.75" customHeight="1">
      <c r="A376" s="437"/>
      <c r="B376" s="438"/>
      <c r="C376" s="438"/>
      <c r="D376" s="438"/>
      <c r="E376" s="438"/>
      <c r="F376" s="438"/>
      <c r="G376" s="438"/>
      <c r="H376" s="108"/>
      <c r="I376" s="108"/>
      <c r="J376" s="440"/>
      <c r="K376" s="440"/>
      <c r="L376" s="440"/>
      <c r="M376" s="440"/>
      <c r="N376" s="440"/>
      <c r="O376" s="440"/>
      <c r="P376" s="440"/>
      <c r="Q376" s="440"/>
      <c r="R376" s="108"/>
      <c r="S376" s="440"/>
      <c r="T376" s="440"/>
      <c r="U376" s="440"/>
      <c r="V376" s="440"/>
      <c r="W376" s="440"/>
      <c r="X376" s="440"/>
      <c r="Y376" s="108"/>
      <c r="Z376" s="108"/>
    </row>
    <row r="377" ht="18.75" customHeight="1">
      <c r="A377" s="437"/>
      <c r="B377" s="438"/>
      <c r="C377" s="438"/>
      <c r="D377" s="438"/>
      <c r="E377" s="438"/>
      <c r="F377" s="438"/>
      <c r="G377" s="438"/>
      <c r="H377" s="108"/>
      <c r="I377" s="108"/>
      <c r="J377" s="440"/>
      <c r="K377" s="440"/>
      <c r="L377" s="440"/>
      <c r="M377" s="440"/>
      <c r="N377" s="440"/>
      <c r="O377" s="440"/>
      <c r="P377" s="440"/>
      <c r="Q377" s="440"/>
      <c r="R377" s="108"/>
      <c r="S377" s="440"/>
      <c r="T377" s="440"/>
      <c r="U377" s="440"/>
      <c r="V377" s="440"/>
      <c r="W377" s="440"/>
      <c r="X377" s="440"/>
      <c r="Y377" s="108"/>
      <c r="Z377" s="108"/>
    </row>
    <row r="378" ht="18.75" customHeight="1">
      <c r="A378" s="437"/>
      <c r="B378" s="438"/>
      <c r="C378" s="438"/>
      <c r="D378" s="438"/>
      <c r="E378" s="438"/>
      <c r="F378" s="438"/>
      <c r="G378" s="438"/>
      <c r="H378" s="108"/>
      <c r="I378" s="108"/>
      <c r="J378" s="440"/>
      <c r="K378" s="440"/>
      <c r="L378" s="440"/>
      <c r="M378" s="440"/>
      <c r="N378" s="440"/>
      <c r="O378" s="440"/>
      <c r="P378" s="440"/>
      <c r="Q378" s="440"/>
      <c r="R378" s="108"/>
      <c r="S378" s="440"/>
      <c r="T378" s="440"/>
      <c r="U378" s="440"/>
      <c r="V378" s="440"/>
      <c r="W378" s="440"/>
      <c r="X378" s="440"/>
      <c r="Y378" s="108"/>
      <c r="Z378" s="108"/>
    </row>
    <row r="379" ht="18.75" customHeight="1">
      <c r="A379" s="437"/>
      <c r="B379" s="438"/>
      <c r="C379" s="438"/>
      <c r="D379" s="438"/>
      <c r="E379" s="438"/>
      <c r="F379" s="438"/>
      <c r="G379" s="438"/>
      <c r="H379" s="108"/>
      <c r="I379" s="108"/>
      <c r="J379" s="440"/>
      <c r="K379" s="440"/>
      <c r="L379" s="440"/>
      <c r="M379" s="440"/>
      <c r="N379" s="440"/>
      <c r="O379" s="440"/>
      <c r="P379" s="440"/>
      <c r="Q379" s="440"/>
      <c r="R379" s="108"/>
      <c r="S379" s="440"/>
      <c r="T379" s="440"/>
      <c r="U379" s="440"/>
      <c r="V379" s="440"/>
      <c r="W379" s="440"/>
      <c r="X379" s="440"/>
      <c r="Y379" s="108"/>
      <c r="Z379" s="108"/>
    </row>
    <row r="380" ht="18.75" customHeight="1">
      <c r="A380" s="437"/>
      <c r="B380" s="438"/>
      <c r="C380" s="438"/>
      <c r="D380" s="438"/>
      <c r="E380" s="438"/>
      <c r="F380" s="438"/>
      <c r="G380" s="438"/>
      <c r="H380" s="108"/>
      <c r="I380" s="108"/>
      <c r="J380" s="440"/>
      <c r="K380" s="440"/>
      <c r="L380" s="440"/>
      <c r="M380" s="440"/>
      <c r="N380" s="440"/>
      <c r="O380" s="440"/>
      <c r="P380" s="440"/>
      <c r="Q380" s="440"/>
      <c r="R380" s="108"/>
      <c r="S380" s="440"/>
      <c r="T380" s="440"/>
      <c r="U380" s="440"/>
      <c r="V380" s="440"/>
      <c r="W380" s="440"/>
      <c r="X380" s="440"/>
      <c r="Y380" s="108"/>
      <c r="Z380" s="108"/>
    </row>
    <row r="381" ht="18.75" customHeight="1">
      <c r="A381" s="437"/>
      <c r="B381" s="438"/>
      <c r="C381" s="438"/>
      <c r="D381" s="438"/>
      <c r="E381" s="438"/>
      <c r="F381" s="438"/>
      <c r="G381" s="438"/>
      <c r="H381" s="108"/>
      <c r="I381" s="108"/>
      <c r="J381" s="440"/>
      <c r="K381" s="440"/>
      <c r="L381" s="440"/>
      <c r="M381" s="440"/>
      <c r="N381" s="440"/>
      <c r="O381" s="440"/>
      <c r="P381" s="440"/>
      <c r="Q381" s="440"/>
      <c r="R381" s="108"/>
      <c r="S381" s="440"/>
      <c r="T381" s="440"/>
      <c r="U381" s="440"/>
      <c r="V381" s="440"/>
      <c r="W381" s="440"/>
      <c r="X381" s="440"/>
      <c r="Y381" s="108"/>
      <c r="Z381" s="108"/>
    </row>
    <row r="382" ht="18.75" customHeight="1">
      <c r="A382" s="437"/>
      <c r="B382" s="438"/>
      <c r="C382" s="438"/>
      <c r="D382" s="438"/>
      <c r="E382" s="438"/>
      <c r="F382" s="438"/>
      <c r="G382" s="438"/>
      <c r="H382" s="108"/>
      <c r="I382" s="108"/>
      <c r="J382" s="440"/>
      <c r="K382" s="440"/>
      <c r="L382" s="440"/>
      <c r="M382" s="440"/>
      <c r="N382" s="440"/>
      <c r="O382" s="440"/>
      <c r="P382" s="440"/>
      <c r="Q382" s="440"/>
      <c r="R382" s="108"/>
      <c r="S382" s="440"/>
      <c r="T382" s="440"/>
      <c r="U382" s="440"/>
      <c r="V382" s="440"/>
      <c r="W382" s="440"/>
      <c r="X382" s="440"/>
      <c r="Y382" s="108"/>
      <c r="Z382" s="108"/>
    </row>
    <row r="383" ht="18.75" customHeight="1">
      <c r="A383" s="437"/>
      <c r="B383" s="438"/>
      <c r="C383" s="438"/>
      <c r="D383" s="438"/>
      <c r="E383" s="438"/>
      <c r="F383" s="438"/>
      <c r="G383" s="438"/>
      <c r="H383" s="108"/>
      <c r="I383" s="108"/>
      <c r="J383" s="440"/>
      <c r="K383" s="440"/>
      <c r="L383" s="440"/>
      <c r="M383" s="440"/>
      <c r="N383" s="440"/>
      <c r="O383" s="440"/>
      <c r="P383" s="440"/>
      <c r="Q383" s="440"/>
      <c r="R383" s="108"/>
      <c r="S383" s="440"/>
      <c r="T383" s="440"/>
      <c r="U383" s="440"/>
      <c r="V383" s="440"/>
      <c r="W383" s="440"/>
      <c r="X383" s="440"/>
      <c r="Y383" s="108"/>
      <c r="Z383" s="108"/>
    </row>
    <row r="384" ht="18.75" customHeight="1">
      <c r="A384" s="437"/>
      <c r="B384" s="438"/>
      <c r="C384" s="438"/>
      <c r="D384" s="438"/>
      <c r="E384" s="438"/>
      <c r="F384" s="438"/>
      <c r="G384" s="438"/>
      <c r="H384" s="108"/>
      <c r="I384" s="108"/>
      <c r="J384" s="440"/>
      <c r="K384" s="440"/>
      <c r="L384" s="440"/>
      <c r="M384" s="440"/>
      <c r="N384" s="440"/>
      <c r="O384" s="440"/>
      <c r="P384" s="440"/>
      <c r="Q384" s="440"/>
      <c r="R384" s="108"/>
      <c r="S384" s="440"/>
      <c r="T384" s="440"/>
      <c r="U384" s="440"/>
      <c r="V384" s="440"/>
      <c r="W384" s="440"/>
      <c r="X384" s="440"/>
      <c r="Y384" s="108"/>
      <c r="Z384" s="108"/>
    </row>
    <row r="385" ht="18.75" customHeight="1">
      <c r="A385" s="437"/>
      <c r="B385" s="438"/>
      <c r="C385" s="438"/>
      <c r="D385" s="438"/>
      <c r="E385" s="438"/>
      <c r="F385" s="438"/>
      <c r="G385" s="438"/>
      <c r="H385" s="108"/>
      <c r="I385" s="108"/>
      <c r="J385" s="440"/>
      <c r="K385" s="440"/>
      <c r="L385" s="440"/>
      <c r="M385" s="440"/>
      <c r="N385" s="440"/>
      <c r="O385" s="440"/>
      <c r="P385" s="440"/>
      <c r="Q385" s="440"/>
      <c r="R385" s="108"/>
      <c r="S385" s="440"/>
      <c r="T385" s="440"/>
      <c r="U385" s="440"/>
      <c r="V385" s="440"/>
      <c r="W385" s="440"/>
      <c r="X385" s="440"/>
      <c r="Y385" s="108"/>
      <c r="Z385" s="108"/>
    </row>
    <row r="386" ht="18.75" customHeight="1">
      <c r="A386" s="437"/>
      <c r="B386" s="438"/>
      <c r="C386" s="438"/>
      <c r="D386" s="438"/>
      <c r="E386" s="438"/>
      <c r="F386" s="438"/>
      <c r="G386" s="438"/>
      <c r="H386" s="108"/>
      <c r="I386" s="108"/>
      <c r="J386" s="440"/>
      <c r="K386" s="440"/>
      <c r="L386" s="440"/>
      <c r="M386" s="440"/>
      <c r="N386" s="440"/>
      <c r="O386" s="440"/>
      <c r="P386" s="440"/>
      <c r="Q386" s="440"/>
      <c r="R386" s="108"/>
      <c r="S386" s="440"/>
      <c r="T386" s="440"/>
      <c r="U386" s="440"/>
      <c r="V386" s="440"/>
      <c r="W386" s="440"/>
      <c r="X386" s="440"/>
      <c r="Y386" s="108"/>
      <c r="Z386" s="108"/>
    </row>
    <row r="387" ht="18.75" customHeight="1">
      <c r="A387" s="437"/>
      <c r="B387" s="438"/>
      <c r="C387" s="438"/>
      <c r="D387" s="438"/>
      <c r="E387" s="438"/>
      <c r="F387" s="438"/>
      <c r="G387" s="438"/>
      <c r="H387" s="108"/>
      <c r="I387" s="108"/>
      <c r="J387" s="440"/>
      <c r="K387" s="440"/>
      <c r="L387" s="440"/>
      <c r="M387" s="440"/>
      <c r="N387" s="440"/>
      <c r="O387" s="440"/>
      <c r="P387" s="440"/>
      <c r="Q387" s="440"/>
      <c r="R387" s="108"/>
      <c r="S387" s="440"/>
      <c r="T387" s="440"/>
      <c r="U387" s="440"/>
      <c r="V387" s="440"/>
      <c r="W387" s="440"/>
      <c r="X387" s="440"/>
      <c r="Y387" s="108"/>
      <c r="Z387" s="108"/>
    </row>
    <row r="388" ht="18.75" customHeight="1">
      <c r="A388" s="437"/>
      <c r="B388" s="438"/>
      <c r="C388" s="438"/>
      <c r="D388" s="438"/>
      <c r="E388" s="438"/>
      <c r="F388" s="438"/>
      <c r="G388" s="438"/>
      <c r="H388" s="108"/>
      <c r="I388" s="108"/>
      <c r="J388" s="440"/>
      <c r="K388" s="440"/>
      <c r="L388" s="440"/>
      <c r="M388" s="440"/>
      <c r="N388" s="440"/>
      <c r="O388" s="440"/>
      <c r="P388" s="440"/>
      <c r="Q388" s="440"/>
      <c r="R388" s="108"/>
      <c r="S388" s="440"/>
      <c r="T388" s="440"/>
      <c r="U388" s="440"/>
      <c r="V388" s="440"/>
      <c r="W388" s="440"/>
      <c r="X388" s="440"/>
      <c r="Y388" s="108"/>
      <c r="Z388" s="108"/>
    </row>
    <row r="389" ht="18.75" customHeight="1">
      <c r="A389" s="437"/>
      <c r="B389" s="438"/>
      <c r="C389" s="438"/>
      <c r="D389" s="438"/>
      <c r="E389" s="438"/>
      <c r="F389" s="438"/>
      <c r="G389" s="438"/>
      <c r="H389" s="108"/>
      <c r="I389" s="108"/>
      <c r="J389" s="440"/>
      <c r="K389" s="440"/>
      <c r="L389" s="440"/>
      <c r="M389" s="440"/>
      <c r="N389" s="440"/>
      <c r="O389" s="440"/>
      <c r="P389" s="440"/>
      <c r="Q389" s="440"/>
      <c r="R389" s="108"/>
      <c r="S389" s="440"/>
      <c r="T389" s="440"/>
      <c r="U389" s="440"/>
      <c r="V389" s="440"/>
      <c r="W389" s="440"/>
      <c r="X389" s="440"/>
      <c r="Y389" s="108"/>
      <c r="Z389" s="108"/>
    </row>
    <row r="390" ht="18.75" customHeight="1">
      <c r="A390" s="437"/>
      <c r="B390" s="438"/>
      <c r="C390" s="438"/>
      <c r="D390" s="438"/>
      <c r="E390" s="438"/>
      <c r="F390" s="438"/>
      <c r="G390" s="438"/>
      <c r="H390" s="108"/>
      <c r="I390" s="108"/>
      <c r="J390" s="440"/>
      <c r="K390" s="440"/>
      <c r="L390" s="440"/>
      <c r="M390" s="440"/>
      <c r="N390" s="440"/>
      <c r="O390" s="440"/>
      <c r="P390" s="440"/>
      <c r="Q390" s="440"/>
      <c r="R390" s="108"/>
      <c r="S390" s="440"/>
      <c r="T390" s="440"/>
      <c r="U390" s="440"/>
      <c r="V390" s="440"/>
      <c r="W390" s="440"/>
      <c r="X390" s="440"/>
      <c r="Y390" s="108"/>
      <c r="Z390" s="108"/>
    </row>
    <row r="391" ht="18.75" customHeight="1">
      <c r="A391" s="437"/>
      <c r="B391" s="438"/>
      <c r="C391" s="438"/>
      <c r="D391" s="438"/>
      <c r="E391" s="438"/>
      <c r="F391" s="438"/>
      <c r="G391" s="438"/>
      <c r="H391" s="108"/>
      <c r="I391" s="108"/>
      <c r="J391" s="440"/>
      <c r="K391" s="440"/>
      <c r="L391" s="440"/>
      <c r="M391" s="440"/>
      <c r="N391" s="440"/>
      <c r="O391" s="440"/>
      <c r="P391" s="440"/>
      <c r="Q391" s="440"/>
      <c r="R391" s="108"/>
      <c r="S391" s="440"/>
      <c r="T391" s="440"/>
      <c r="U391" s="440"/>
      <c r="V391" s="440"/>
      <c r="W391" s="440"/>
      <c r="X391" s="440"/>
      <c r="Y391" s="108"/>
      <c r="Z391" s="108"/>
    </row>
    <row r="392" ht="18.75" customHeight="1">
      <c r="A392" s="437"/>
      <c r="B392" s="438"/>
      <c r="C392" s="438"/>
      <c r="D392" s="438"/>
      <c r="E392" s="438"/>
      <c r="F392" s="438"/>
      <c r="G392" s="438"/>
      <c r="H392" s="108"/>
      <c r="I392" s="108"/>
      <c r="J392" s="440"/>
      <c r="K392" s="440"/>
      <c r="L392" s="440"/>
      <c r="M392" s="440"/>
      <c r="N392" s="440"/>
      <c r="O392" s="440"/>
      <c r="P392" s="440"/>
      <c r="Q392" s="440"/>
      <c r="R392" s="108"/>
      <c r="S392" s="440"/>
      <c r="T392" s="440"/>
      <c r="U392" s="440"/>
      <c r="V392" s="440"/>
      <c r="W392" s="440"/>
      <c r="X392" s="440"/>
      <c r="Y392" s="108"/>
      <c r="Z392" s="108"/>
    </row>
    <row r="393" ht="18.75" customHeight="1">
      <c r="A393" s="437"/>
      <c r="B393" s="438"/>
      <c r="C393" s="438"/>
      <c r="D393" s="438"/>
      <c r="E393" s="438"/>
      <c r="F393" s="438"/>
      <c r="G393" s="438"/>
      <c r="H393" s="108"/>
      <c r="I393" s="108"/>
      <c r="J393" s="440"/>
      <c r="K393" s="440"/>
      <c r="L393" s="440"/>
      <c r="M393" s="440"/>
      <c r="N393" s="440"/>
      <c r="O393" s="440"/>
      <c r="P393" s="440"/>
      <c r="Q393" s="440"/>
      <c r="R393" s="108"/>
      <c r="S393" s="440"/>
      <c r="T393" s="440"/>
      <c r="U393" s="440"/>
      <c r="V393" s="440"/>
      <c r="W393" s="440"/>
      <c r="X393" s="440"/>
      <c r="Y393" s="108"/>
      <c r="Z393" s="108"/>
    </row>
    <row r="394" ht="18.75" customHeight="1">
      <c r="A394" s="437"/>
      <c r="B394" s="438"/>
      <c r="C394" s="438"/>
      <c r="D394" s="438"/>
      <c r="E394" s="438"/>
      <c r="F394" s="438"/>
      <c r="G394" s="438"/>
      <c r="H394" s="108"/>
      <c r="I394" s="108"/>
      <c r="J394" s="440"/>
      <c r="K394" s="440"/>
      <c r="L394" s="440"/>
      <c r="M394" s="440"/>
      <c r="N394" s="440"/>
      <c r="O394" s="440"/>
      <c r="P394" s="440"/>
      <c r="Q394" s="440"/>
      <c r="R394" s="108"/>
      <c r="S394" s="440"/>
      <c r="T394" s="440"/>
      <c r="U394" s="440"/>
      <c r="V394" s="440"/>
      <c r="W394" s="440"/>
      <c r="X394" s="440"/>
      <c r="Y394" s="108"/>
      <c r="Z394" s="108"/>
    </row>
    <row r="395" ht="18.75" customHeight="1">
      <c r="A395" s="437"/>
      <c r="B395" s="438"/>
      <c r="C395" s="438"/>
      <c r="D395" s="438"/>
      <c r="E395" s="438"/>
      <c r="F395" s="438"/>
      <c r="G395" s="438"/>
      <c r="H395" s="108"/>
      <c r="I395" s="108"/>
      <c r="J395" s="440"/>
      <c r="K395" s="440"/>
      <c r="L395" s="440"/>
      <c r="M395" s="440"/>
      <c r="N395" s="440"/>
      <c r="O395" s="440"/>
      <c r="P395" s="440"/>
      <c r="Q395" s="440"/>
      <c r="R395" s="108"/>
      <c r="S395" s="440"/>
      <c r="T395" s="440"/>
      <c r="U395" s="440"/>
      <c r="V395" s="440"/>
      <c r="W395" s="440"/>
      <c r="X395" s="440"/>
      <c r="Y395" s="108"/>
      <c r="Z395" s="108"/>
    </row>
    <row r="396" ht="18.75" customHeight="1">
      <c r="A396" s="437"/>
      <c r="B396" s="438"/>
      <c r="C396" s="438"/>
      <c r="D396" s="438"/>
      <c r="E396" s="438"/>
      <c r="F396" s="438"/>
      <c r="G396" s="438"/>
      <c r="H396" s="108"/>
      <c r="I396" s="108"/>
      <c r="J396" s="440"/>
      <c r="K396" s="440"/>
      <c r="L396" s="440"/>
      <c r="M396" s="440"/>
      <c r="N396" s="440"/>
      <c r="O396" s="440"/>
      <c r="P396" s="440"/>
      <c r="Q396" s="440"/>
      <c r="R396" s="108"/>
      <c r="S396" s="440"/>
      <c r="T396" s="440"/>
      <c r="U396" s="440"/>
      <c r="V396" s="440"/>
      <c r="W396" s="440"/>
      <c r="X396" s="440"/>
      <c r="Y396" s="108"/>
      <c r="Z396" s="108"/>
    </row>
    <row r="397" ht="18.75" customHeight="1">
      <c r="A397" s="437"/>
      <c r="B397" s="438"/>
      <c r="C397" s="438"/>
      <c r="D397" s="438"/>
      <c r="E397" s="438"/>
      <c r="F397" s="438"/>
      <c r="G397" s="438"/>
      <c r="H397" s="108"/>
      <c r="I397" s="108"/>
      <c r="J397" s="440"/>
      <c r="K397" s="440"/>
      <c r="L397" s="440"/>
      <c r="M397" s="440"/>
      <c r="N397" s="440"/>
      <c r="O397" s="440"/>
      <c r="P397" s="440"/>
      <c r="Q397" s="440"/>
      <c r="R397" s="108"/>
      <c r="S397" s="440"/>
      <c r="T397" s="440"/>
      <c r="U397" s="440"/>
      <c r="V397" s="440"/>
      <c r="W397" s="440"/>
      <c r="X397" s="440"/>
      <c r="Y397" s="108"/>
      <c r="Z397" s="108"/>
    </row>
    <row r="398" ht="18.75" customHeight="1">
      <c r="A398" s="437"/>
      <c r="B398" s="438"/>
      <c r="C398" s="438"/>
      <c r="D398" s="438"/>
      <c r="E398" s="438"/>
      <c r="F398" s="438"/>
      <c r="G398" s="438"/>
      <c r="H398" s="108"/>
      <c r="I398" s="108"/>
      <c r="J398" s="440"/>
      <c r="K398" s="440"/>
      <c r="L398" s="440"/>
      <c r="M398" s="440"/>
      <c r="N398" s="440"/>
      <c r="O398" s="440"/>
      <c r="P398" s="440"/>
      <c r="Q398" s="440"/>
      <c r="R398" s="108"/>
      <c r="S398" s="440"/>
      <c r="T398" s="440"/>
      <c r="U398" s="440"/>
      <c r="V398" s="440"/>
      <c r="W398" s="440"/>
      <c r="X398" s="440"/>
      <c r="Y398" s="108"/>
      <c r="Z398" s="108"/>
    </row>
    <row r="399" ht="18.75" customHeight="1">
      <c r="A399" s="437"/>
      <c r="B399" s="438"/>
      <c r="C399" s="438"/>
      <c r="D399" s="438"/>
      <c r="E399" s="438"/>
      <c r="F399" s="438"/>
      <c r="G399" s="438"/>
      <c r="H399" s="108"/>
      <c r="I399" s="108"/>
      <c r="J399" s="440"/>
      <c r="K399" s="440"/>
      <c r="L399" s="440"/>
      <c r="M399" s="440"/>
      <c r="N399" s="440"/>
      <c r="O399" s="440"/>
      <c r="P399" s="440"/>
      <c r="Q399" s="440"/>
      <c r="R399" s="108"/>
      <c r="S399" s="440"/>
      <c r="T399" s="440"/>
      <c r="U399" s="440"/>
      <c r="V399" s="440"/>
      <c r="W399" s="440"/>
      <c r="X399" s="440"/>
      <c r="Y399" s="108"/>
      <c r="Z399" s="108"/>
    </row>
    <row r="400" ht="18.75" customHeight="1">
      <c r="A400" s="437"/>
      <c r="B400" s="438"/>
      <c r="C400" s="438"/>
      <c r="D400" s="438"/>
      <c r="E400" s="438"/>
      <c r="F400" s="438"/>
      <c r="G400" s="438"/>
      <c r="H400" s="108"/>
      <c r="I400" s="108"/>
      <c r="J400" s="440"/>
      <c r="K400" s="440"/>
      <c r="L400" s="440"/>
      <c r="M400" s="440"/>
      <c r="N400" s="440"/>
      <c r="O400" s="440"/>
      <c r="P400" s="440"/>
      <c r="Q400" s="440"/>
      <c r="R400" s="108"/>
      <c r="S400" s="440"/>
      <c r="T400" s="440"/>
      <c r="U400" s="440"/>
      <c r="V400" s="440"/>
      <c r="W400" s="440"/>
      <c r="X400" s="440"/>
      <c r="Y400" s="108"/>
      <c r="Z400" s="108"/>
    </row>
    <row r="401" ht="18.75" customHeight="1">
      <c r="A401" s="437"/>
      <c r="B401" s="438"/>
      <c r="C401" s="438"/>
      <c r="D401" s="438"/>
      <c r="E401" s="438"/>
      <c r="F401" s="438"/>
      <c r="G401" s="438"/>
      <c r="H401" s="108"/>
      <c r="I401" s="108"/>
      <c r="J401" s="440"/>
      <c r="K401" s="440"/>
      <c r="L401" s="440"/>
      <c r="M401" s="440"/>
      <c r="N401" s="440"/>
      <c r="O401" s="440"/>
      <c r="P401" s="440"/>
      <c r="Q401" s="440"/>
      <c r="R401" s="108"/>
      <c r="S401" s="440"/>
      <c r="T401" s="440"/>
      <c r="U401" s="440"/>
      <c r="V401" s="440"/>
      <c r="W401" s="440"/>
      <c r="X401" s="440"/>
      <c r="Y401" s="108"/>
      <c r="Z401" s="108"/>
    </row>
    <row r="402" ht="18.75" customHeight="1">
      <c r="A402" s="437"/>
      <c r="B402" s="438"/>
      <c r="C402" s="438"/>
      <c r="D402" s="438"/>
      <c r="E402" s="438"/>
      <c r="F402" s="438"/>
      <c r="G402" s="438"/>
      <c r="H402" s="108"/>
      <c r="I402" s="108"/>
      <c r="J402" s="440"/>
      <c r="K402" s="440"/>
      <c r="L402" s="440"/>
      <c r="M402" s="440"/>
      <c r="N402" s="440"/>
      <c r="O402" s="440"/>
      <c r="P402" s="440"/>
      <c r="Q402" s="440"/>
      <c r="R402" s="108"/>
      <c r="S402" s="440"/>
      <c r="T402" s="440"/>
      <c r="U402" s="440"/>
      <c r="V402" s="440"/>
      <c r="W402" s="440"/>
      <c r="X402" s="440"/>
      <c r="Y402" s="108"/>
      <c r="Z402" s="108"/>
    </row>
    <row r="403" ht="18.75" customHeight="1">
      <c r="A403" s="437"/>
      <c r="B403" s="438"/>
      <c r="C403" s="438"/>
      <c r="D403" s="438"/>
      <c r="E403" s="438"/>
      <c r="F403" s="438"/>
      <c r="G403" s="438"/>
      <c r="H403" s="108"/>
      <c r="I403" s="108"/>
      <c r="J403" s="440"/>
      <c r="K403" s="440"/>
      <c r="L403" s="440"/>
      <c r="M403" s="440"/>
      <c r="N403" s="440"/>
      <c r="O403" s="440"/>
      <c r="P403" s="440"/>
      <c r="Q403" s="440"/>
      <c r="R403" s="108"/>
      <c r="S403" s="440"/>
      <c r="T403" s="440"/>
      <c r="U403" s="440"/>
      <c r="V403" s="440"/>
      <c r="W403" s="440"/>
      <c r="X403" s="440"/>
      <c r="Y403" s="108"/>
      <c r="Z403" s="108"/>
    </row>
    <row r="404" ht="18.75" customHeight="1">
      <c r="A404" s="437"/>
      <c r="B404" s="438"/>
      <c r="C404" s="438"/>
      <c r="D404" s="438"/>
      <c r="E404" s="438"/>
      <c r="F404" s="438"/>
      <c r="G404" s="438"/>
      <c r="H404" s="108"/>
      <c r="I404" s="108"/>
      <c r="J404" s="440"/>
      <c r="K404" s="440"/>
      <c r="L404" s="440"/>
      <c r="M404" s="440"/>
      <c r="N404" s="440"/>
      <c r="O404" s="440"/>
      <c r="P404" s="440"/>
      <c r="Q404" s="440"/>
      <c r="R404" s="108"/>
      <c r="S404" s="440"/>
      <c r="T404" s="440"/>
      <c r="U404" s="440"/>
      <c r="V404" s="440"/>
      <c r="W404" s="440"/>
      <c r="X404" s="440"/>
      <c r="Y404" s="108"/>
      <c r="Z404" s="108"/>
    </row>
    <row r="405" ht="18.75" customHeight="1">
      <c r="A405" s="437"/>
      <c r="B405" s="438"/>
      <c r="C405" s="438"/>
      <c r="D405" s="438"/>
      <c r="E405" s="438"/>
      <c r="F405" s="438"/>
      <c r="G405" s="438"/>
      <c r="H405" s="108"/>
      <c r="I405" s="108"/>
      <c r="J405" s="440"/>
      <c r="K405" s="440"/>
      <c r="L405" s="440"/>
      <c r="M405" s="440"/>
      <c r="N405" s="440"/>
      <c r="O405" s="440"/>
      <c r="P405" s="440"/>
      <c r="Q405" s="440"/>
      <c r="R405" s="108"/>
      <c r="S405" s="440"/>
      <c r="T405" s="440"/>
      <c r="U405" s="440"/>
      <c r="V405" s="440"/>
      <c r="W405" s="440"/>
      <c r="X405" s="440"/>
      <c r="Y405" s="108"/>
      <c r="Z405" s="108"/>
    </row>
    <row r="406" ht="18.75" customHeight="1">
      <c r="A406" s="437"/>
      <c r="B406" s="438"/>
      <c r="C406" s="438"/>
      <c r="D406" s="438"/>
      <c r="E406" s="438"/>
      <c r="F406" s="438"/>
      <c r="G406" s="438"/>
      <c r="H406" s="108"/>
      <c r="I406" s="108"/>
      <c r="J406" s="440"/>
      <c r="K406" s="440"/>
      <c r="L406" s="440"/>
      <c r="M406" s="440"/>
      <c r="N406" s="440"/>
      <c r="O406" s="440"/>
      <c r="P406" s="440"/>
      <c r="Q406" s="440"/>
      <c r="R406" s="108"/>
      <c r="S406" s="440"/>
      <c r="T406" s="440"/>
      <c r="U406" s="440"/>
      <c r="V406" s="440"/>
      <c r="W406" s="440"/>
      <c r="X406" s="440"/>
      <c r="Y406" s="108"/>
      <c r="Z406" s="108"/>
    </row>
    <row r="407" ht="18.75" customHeight="1">
      <c r="A407" s="437"/>
      <c r="B407" s="438"/>
      <c r="C407" s="438"/>
      <c r="D407" s="438"/>
      <c r="E407" s="438"/>
      <c r="F407" s="438"/>
      <c r="G407" s="438"/>
      <c r="H407" s="108"/>
      <c r="I407" s="108"/>
      <c r="J407" s="440"/>
      <c r="K407" s="440"/>
      <c r="L407" s="440"/>
      <c r="M407" s="440"/>
      <c r="N407" s="440"/>
      <c r="O407" s="440"/>
      <c r="P407" s="440"/>
      <c r="Q407" s="440"/>
      <c r="R407" s="108"/>
      <c r="S407" s="440"/>
      <c r="T407" s="440"/>
      <c r="U407" s="440"/>
      <c r="V407" s="440"/>
      <c r="W407" s="440"/>
      <c r="X407" s="440"/>
      <c r="Y407" s="108"/>
      <c r="Z407" s="108"/>
    </row>
    <row r="408" ht="18.75" customHeight="1">
      <c r="A408" s="437"/>
      <c r="B408" s="438"/>
      <c r="C408" s="438"/>
      <c r="D408" s="438"/>
      <c r="E408" s="438"/>
      <c r="F408" s="438"/>
      <c r="G408" s="438"/>
      <c r="H408" s="108"/>
      <c r="I408" s="108"/>
      <c r="J408" s="440"/>
      <c r="K408" s="440"/>
      <c r="L408" s="440"/>
      <c r="M408" s="440"/>
      <c r="N408" s="440"/>
      <c r="O408" s="440"/>
      <c r="P408" s="440"/>
      <c r="Q408" s="440"/>
      <c r="R408" s="108"/>
      <c r="S408" s="440"/>
      <c r="T408" s="440"/>
      <c r="U408" s="440"/>
      <c r="V408" s="440"/>
      <c r="W408" s="440"/>
      <c r="X408" s="440"/>
      <c r="Y408" s="108"/>
      <c r="Z408" s="108"/>
    </row>
    <row r="409" ht="18.75" customHeight="1">
      <c r="A409" s="437"/>
      <c r="B409" s="438"/>
      <c r="C409" s="438"/>
      <c r="D409" s="438"/>
      <c r="E409" s="438"/>
      <c r="F409" s="438"/>
      <c r="G409" s="438"/>
      <c r="H409" s="108"/>
      <c r="I409" s="108"/>
      <c r="J409" s="440"/>
      <c r="K409" s="440"/>
      <c r="L409" s="440"/>
      <c r="M409" s="440"/>
      <c r="N409" s="440"/>
      <c r="O409" s="440"/>
      <c r="P409" s="440"/>
      <c r="Q409" s="440"/>
      <c r="R409" s="108"/>
      <c r="S409" s="440"/>
      <c r="T409" s="440"/>
      <c r="U409" s="440"/>
      <c r="V409" s="440"/>
      <c r="W409" s="440"/>
      <c r="X409" s="440"/>
      <c r="Y409" s="108"/>
      <c r="Z409" s="108"/>
    </row>
    <row r="410" ht="18.75" customHeight="1">
      <c r="A410" s="437"/>
      <c r="B410" s="438"/>
      <c r="C410" s="438"/>
      <c r="D410" s="438"/>
      <c r="E410" s="438"/>
      <c r="F410" s="438"/>
      <c r="G410" s="438"/>
      <c r="H410" s="108"/>
      <c r="I410" s="108"/>
      <c r="J410" s="440"/>
      <c r="K410" s="440"/>
      <c r="L410" s="440"/>
      <c r="M410" s="440"/>
      <c r="N410" s="440"/>
      <c r="O410" s="440"/>
      <c r="P410" s="440"/>
      <c r="Q410" s="440"/>
      <c r="R410" s="108"/>
      <c r="S410" s="440"/>
      <c r="T410" s="440"/>
      <c r="U410" s="440"/>
      <c r="V410" s="440"/>
      <c r="W410" s="440"/>
      <c r="X410" s="440"/>
      <c r="Y410" s="108"/>
      <c r="Z410" s="108"/>
    </row>
    <row r="411" ht="18.75" customHeight="1">
      <c r="A411" s="437"/>
      <c r="B411" s="438"/>
      <c r="C411" s="438"/>
      <c r="D411" s="438"/>
      <c r="E411" s="438"/>
      <c r="F411" s="438"/>
      <c r="G411" s="438"/>
      <c r="H411" s="108"/>
      <c r="I411" s="108"/>
      <c r="J411" s="440"/>
      <c r="K411" s="440"/>
      <c r="L411" s="440"/>
      <c r="M411" s="440"/>
      <c r="N411" s="440"/>
      <c r="O411" s="440"/>
      <c r="P411" s="440"/>
      <c r="Q411" s="440"/>
      <c r="R411" s="108"/>
      <c r="S411" s="440"/>
      <c r="T411" s="440"/>
      <c r="U411" s="440"/>
      <c r="V411" s="440"/>
      <c r="W411" s="440"/>
      <c r="X411" s="440"/>
      <c r="Y411" s="108"/>
      <c r="Z411" s="108"/>
    </row>
    <row r="412" ht="18.75" customHeight="1">
      <c r="A412" s="437"/>
      <c r="B412" s="438"/>
      <c r="C412" s="438"/>
      <c r="D412" s="438"/>
      <c r="E412" s="438"/>
      <c r="F412" s="438"/>
      <c r="G412" s="438"/>
      <c r="H412" s="108"/>
      <c r="I412" s="108"/>
      <c r="J412" s="440"/>
      <c r="K412" s="440"/>
      <c r="L412" s="440"/>
      <c r="M412" s="440"/>
      <c r="N412" s="440"/>
      <c r="O412" s="440"/>
      <c r="P412" s="440"/>
      <c r="Q412" s="440"/>
      <c r="R412" s="108"/>
      <c r="S412" s="440"/>
      <c r="T412" s="440"/>
      <c r="U412" s="440"/>
      <c r="V412" s="440"/>
      <c r="W412" s="440"/>
      <c r="X412" s="440"/>
      <c r="Y412" s="108"/>
      <c r="Z412" s="108"/>
    </row>
    <row r="413" ht="18.75" customHeight="1">
      <c r="A413" s="437"/>
      <c r="B413" s="438"/>
      <c r="C413" s="438"/>
      <c r="D413" s="438"/>
      <c r="E413" s="438"/>
      <c r="F413" s="438"/>
      <c r="G413" s="438"/>
      <c r="H413" s="108"/>
      <c r="I413" s="108"/>
      <c r="J413" s="440"/>
      <c r="K413" s="440"/>
      <c r="L413" s="440"/>
      <c r="M413" s="440"/>
      <c r="N413" s="440"/>
      <c r="O413" s="440"/>
      <c r="P413" s="440"/>
      <c r="Q413" s="440"/>
      <c r="R413" s="108"/>
      <c r="S413" s="440"/>
      <c r="T413" s="440"/>
      <c r="U413" s="440"/>
      <c r="V413" s="440"/>
      <c r="W413" s="440"/>
      <c r="X413" s="440"/>
      <c r="Y413" s="108"/>
      <c r="Z413" s="108"/>
    </row>
    <row r="414" ht="18.75" customHeight="1">
      <c r="A414" s="437"/>
      <c r="B414" s="438"/>
      <c r="C414" s="438"/>
      <c r="D414" s="438"/>
      <c r="E414" s="438"/>
      <c r="F414" s="438"/>
      <c r="G414" s="438"/>
      <c r="H414" s="108"/>
      <c r="I414" s="108"/>
      <c r="J414" s="440"/>
      <c r="K414" s="440"/>
      <c r="L414" s="440"/>
      <c r="M414" s="440"/>
      <c r="N414" s="440"/>
      <c r="O414" s="440"/>
      <c r="P414" s="440"/>
      <c r="Q414" s="440"/>
      <c r="R414" s="108"/>
      <c r="S414" s="440"/>
      <c r="T414" s="440"/>
      <c r="U414" s="440"/>
      <c r="V414" s="440"/>
      <c r="W414" s="440"/>
      <c r="X414" s="440"/>
      <c r="Y414" s="108"/>
      <c r="Z414" s="108"/>
    </row>
    <row r="415" ht="18.75" customHeight="1">
      <c r="A415" s="437"/>
      <c r="B415" s="438"/>
      <c r="C415" s="438"/>
      <c r="D415" s="438"/>
      <c r="E415" s="438"/>
      <c r="F415" s="438"/>
      <c r="G415" s="438"/>
      <c r="H415" s="108"/>
      <c r="I415" s="108"/>
      <c r="J415" s="440"/>
      <c r="K415" s="440"/>
      <c r="L415" s="440"/>
      <c r="M415" s="440"/>
      <c r="N415" s="440"/>
      <c r="O415" s="440"/>
      <c r="P415" s="440"/>
      <c r="Q415" s="440"/>
      <c r="R415" s="108"/>
      <c r="S415" s="440"/>
      <c r="T415" s="440"/>
      <c r="U415" s="440"/>
      <c r="V415" s="440"/>
      <c r="W415" s="440"/>
      <c r="X415" s="440"/>
      <c r="Y415" s="108"/>
      <c r="Z415" s="108"/>
    </row>
    <row r="416" ht="18.75" customHeight="1">
      <c r="A416" s="437"/>
      <c r="B416" s="438"/>
      <c r="C416" s="438"/>
      <c r="D416" s="438"/>
      <c r="E416" s="438"/>
      <c r="F416" s="438"/>
      <c r="G416" s="438"/>
      <c r="H416" s="108"/>
      <c r="I416" s="108"/>
      <c r="J416" s="440"/>
      <c r="K416" s="440"/>
      <c r="L416" s="440"/>
      <c r="M416" s="440"/>
      <c r="N416" s="440"/>
      <c r="O416" s="440"/>
      <c r="P416" s="440"/>
      <c r="Q416" s="440"/>
      <c r="R416" s="108"/>
      <c r="S416" s="440"/>
      <c r="T416" s="440"/>
      <c r="U416" s="440"/>
      <c r="V416" s="440"/>
      <c r="W416" s="440"/>
      <c r="X416" s="440"/>
      <c r="Y416" s="108"/>
      <c r="Z416" s="108"/>
    </row>
    <row r="417" ht="18.75" customHeight="1">
      <c r="A417" s="437"/>
      <c r="B417" s="438"/>
      <c r="C417" s="438"/>
      <c r="D417" s="438"/>
      <c r="E417" s="438"/>
      <c r="F417" s="438"/>
      <c r="G417" s="438"/>
      <c r="H417" s="108"/>
      <c r="I417" s="108"/>
      <c r="J417" s="440"/>
      <c r="K417" s="440"/>
      <c r="L417" s="440"/>
      <c r="M417" s="440"/>
      <c r="N417" s="440"/>
      <c r="O417" s="440"/>
      <c r="P417" s="440"/>
      <c r="Q417" s="440"/>
      <c r="R417" s="108"/>
      <c r="S417" s="440"/>
      <c r="T417" s="440"/>
      <c r="U417" s="440"/>
      <c r="V417" s="440"/>
      <c r="W417" s="440"/>
      <c r="X417" s="440"/>
      <c r="Y417" s="108"/>
      <c r="Z417" s="108"/>
    </row>
    <row r="418" ht="18.75" customHeight="1">
      <c r="A418" s="437"/>
      <c r="B418" s="438"/>
      <c r="C418" s="438"/>
      <c r="D418" s="438"/>
      <c r="E418" s="438"/>
      <c r="F418" s="438"/>
      <c r="G418" s="438"/>
      <c r="H418" s="108"/>
      <c r="I418" s="108"/>
      <c r="J418" s="440"/>
      <c r="K418" s="440"/>
      <c r="L418" s="440"/>
      <c r="M418" s="440"/>
      <c r="N418" s="440"/>
      <c r="O418" s="440"/>
      <c r="P418" s="440"/>
      <c r="Q418" s="440"/>
      <c r="R418" s="108"/>
      <c r="S418" s="440"/>
      <c r="T418" s="440"/>
      <c r="U418" s="440"/>
      <c r="V418" s="440"/>
      <c r="W418" s="440"/>
      <c r="X418" s="440"/>
      <c r="Y418" s="108"/>
      <c r="Z418" s="108"/>
    </row>
    <row r="419" ht="18.75" customHeight="1">
      <c r="A419" s="437"/>
      <c r="B419" s="438"/>
      <c r="C419" s="438"/>
      <c r="D419" s="438"/>
      <c r="E419" s="438"/>
      <c r="F419" s="438"/>
      <c r="G419" s="438"/>
      <c r="H419" s="108"/>
      <c r="I419" s="108"/>
      <c r="J419" s="440"/>
      <c r="K419" s="440"/>
      <c r="L419" s="440"/>
      <c r="M419" s="440"/>
      <c r="N419" s="440"/>
      <c r="O419" s="440"/>
      <c r="P419" s="440"/>
      <c r="Q419" s="440"/>
      <c r="R419" s="108"/>
      <c r="S419" s="440"/>
      <c r="T419" s="440"/>
      <c r="U419" s="440"/>
      <c r="V419" s="440"/>
      <c r="W419" s="440"/>
      <c r="X419" s="440"/>
      <c r="Y419" s="108"/>
      <c r="Z419" s="108"/>
    </row>
    <row r="420" ht="18.75" customHeight="1">
      <c r="A420" s="437"/>
      <c r="B420" s="438"/>
      <c r="C420" s="438"/>
      <c r="D420" s="438"/>
      <c r="E420" s="438"/>
      <c r="F420" s="438"/>
      <c r="G420" s="438"/>
      <c r="H420" s="108"/>
      <c r="I420" s="108"/>
      <c r="J420" s="440"/>
      <c r="K420" s="440"/>
      <c r="L420" s="440"/>
      <c r="M420" s="440"/>
      <c r="N420" s="440"/>
      <c r="O420" s="440"/>
      <c r="P420" s="440"/>
      <c r="Q420" s="440"/>
      <c r="R420" s="108"/>
      <c r="S420" s="440"/>
      <c r="T420" s="440"/>
      <c r="U420" s="440"/>
      <c r="V420" s="440"/>
      <c r="W420" s="440"/>
      <c r="X420" s="440"/>
      <c r="Y420" s="108"/>
      <c r="Z420" s="108"/>
    </row>
    <row r="421" ht="18.75" customHeight="1">
      <c r="A421" s="437"/>
      <c r="B421" s="438"/>
      <c r="C421" s="438"/>
      <c r="D421" s="438"/>
      <c r="E421" s="438"/>
      <c r="F421" s="438"/>
      <c r="G421" s="438"/>
      <c r="H421" s="108"/>
      <c r="I421" s="108"/>
      <c r="J421" s="440"/>
      <c r="K421" s="440"/>
      <c r="L421" s="440"/>
      <c r="M421" s="440"/>
      <c r="N421" s="440"/>
      <c r="O421" s="440"/>
      <c r="P421" s="440"/>
      <c r="Q421" s="440"/>
      <c r="R421" s="108"/>
      <c r="S421" s="440"/>
      <c r="T421" s="440"/>
      <c r="U421" s="440"/>
      <c r="V421" s="440"/>
      <c r="W421" s="440"/>
      <c r="X421" s="440"/>
      <c r="Y421" s="108"/>
      <c r="Z421" s="108"/>
    </row>
    <row r="422" ht="18.75" customHeight="1">
      <c r="A422" s="437"/>
      <c r="B422" s="438"/>
      <c r="C422" s="438"/>
      <c r="D422" s="438"/>
      <c r="E422" s="438"/>
      <c r="F422" s="438"/>
      <c r="G422" s="438"/>
      <c r="H422" s="108"/>
      <c r="I422" s="108"/>
      <c r="J422" s="440"/>
      <c r="K422" s="440"/>
      <c r="L422" s="440"/>
      <c r="M422" s="440"/>
      <c r="N422" s="440"/>
      <c r="O422" s="440"/>
      <c r="P422" s="440"/>
      <c r="Q422" s="440"/>
      <c r="R422" s="108"/>
      <c r="S422" s="440"/>
      <c r="T422" s="440"/>
      <c r="U422" s="440"/>
      <c r="V422" s="440"/>
      <c r="W422" s="440"/>
      <c r="X422" s="440"/>
      <c r="Y422" s="108"/>
      <c r="Z422" s="108"/>
    </row>
    <row r="423" ht="18.75" customHeight="1">
      <c r="A423" s="437"/>
      <c r="B423" s="438"/>
      <c r="C423" s="438"/>
      <c r="D423" s="438"/>
      <c r="E423" s="438"/>
      <c r="F423" s="438"/>
      <c r="G423" s="438"/>
      <c r="H423" s="108"/>
      <c r="I423" s="108"/>
      <c r="J423" s="440"/>
      <c r="K423" s="440"/>
      <c r="L423" s="440"/>
      <c r="M423" s="440"/>
      <c r="N423" s="440"/>
      <c r="O423" s="440"/>
      <c r="P423" s="440"/>
      <c r="Q423" s="440"/>
      <c r="R423" s="108"/>
      <c r="S423" s="440"/>
      <c r="T423" s="440"/>
      <c r="U423" s="440"/>
      <c r="V423" s="440"/>
      <c r="W423" s="440"/>
      <c r="X423" s="440"/>
      <c r="Y423" s="108"/>
      <c r="Z423" s="108"/>
    </row>
    <row r="424" ht="18.75" customHeight="1">
      <c r="A424" s="437"/>
      <c r="B424" s="438"/>
      <c r="C424" s="438"/>
      <c r="D424" s="438"/>
      <c r="E424" s="438"/>
      <c r="F424" s="438"/>
      <c r="G424" s="438"/>
      <c r="H424" s="108"/>
      <c r="I424" s="108"/>
      <c r="J424" s="440"/>
      <c r="K424" s="440"/>
      <c r="L424" s="440"/>
      <c r="M424" s="440"/>
      <c r="N424" s="440"/>
      <c r="O424" s="440"/>
      <c r="P424" s="440"/>
      <c r="Q424" s="440"/>
      <c r="R424" s="108"/>
      <c r="S424" s="440"/>
      <c r="T424" s="440"/>
      <c r="U424" s="440"/>
      <c r="V424" s="440"/>
      <c r="W424" s="440"/>
      <c r="X424" s="440"/>
      <c r="Y424" s="108"/>
      <c r="Z424" s="108"/>
    </row>
    <row r="425" ht="18.75" customHeight="1">
      <c r="A425" s="437"/>
      <c r="B425" s="438"/>
      <c r="C425" s="438"/>
      <c r="D425" s="438"/>
      <c r="E425" s="438"/>
      <c r="F425" s="438"/>
      <c r="G425" s="438"/>
      <c r="H425" s="108"/>
      <c r="I425" s="108"/>
      <c r="J425" s="440"/>
      <c r="K425" s="440"/>
      <c r="L425" s="440"/>
      <c r="M425" s="440"/>
      <c r="N425" s="440"/>
      <c r="O425" s="440"/>
      <c r="P425" s="440"/>
      <c r="Q425" s="440"/>
      <c r="R425" s="108"/>
      <c r="S425" s="440"/>
      <c r="T425" s="440"/>
      <c r="U425" s="440"/>
      <c r="V425" s="440"/>
      <c r="W425" s="440"/>
      <c r="X425" s="440"/>
      <c r="Y425" s="108"/>
      <c r="Z425" s="108"/>
    </row>
    <row r="426" ht="18.75" customHeight="1">
      <c r="A426" s="437"/>
      <c r="B426" s="438"/>
      <c r="C426" s="438"/>
      <c r="D426" s="438"/>
      <c r="E426" s="438"/>
      <c r="F426" s="438"/>
      <c r="G426" s="438"/>
      <c r="H426" s="108"/>
      <c r="I426" s="108"/>
      <c r="J426" s="440"/>
      <c r="K426" s="440"/>
      <c r="L426" s="440"/>
      <c r="M426" s="440"/>
      <c r="N426" s="440"/>
      <c r="O426" s="440"/>
      <c r="P426" s="440"/>
      <c r="Q426" s="440"/>
      <c r="R426" s="108"/>
      <c r="S426" s="440"/>
      <c r="T426" s="440"/>
      <c r="U426" s="440"/>
      <c r="V426" s="440"/>
      <c r="W426" s="440"/>
      <c r="X426" s="440"/>
      <c r="Y426" s="108"/>
      <c r="Z426" s="108"/>
    </row>
    <row r="427" ht="18.75" customHeight="1">
      <c r="A427" s="437"/>
      <c r="B427" s="438"/>
      <c r="C427" s="438"/>
      <c r="D427" s="438"/>
      <c r="E427" s="438"/>
      <c r="F427" s="438"/>
      <c r="G427" s="438"/>
      <c r="H427" s="108"/>
      <c r="I427" s="108"/>
      <c r="J427" s="440"/>
      <c r="K427" s="440"/>
      <c r="L427" s="440"/>
      <c r="M427" s="440"/>
      <c r="N427" s="440"/>
      <c r="O427" s="440"/>
      <c r="P427" s="440"/>
      <c r="Q427" s="440"/>
      <c r="R427" s="108"/>
      <c r="S427" s="440"/>
      <c r="T427" s="440"/>
      <c r="U427" s="440"/>
      <c r="V427" s="440"/>
      <c r="W427" s="440"/>
      <c r="X427" s="440"/>
      <c r="Y427" s="108"/>
      <c r="Z427" s="108"/>
    </row>
    <row r="428" ht="18.75" customHeight="1">
      <c r="A428" s="437"/>
      <c r="B428" s="438"/>
      <c r="C428" s="438"/>
      <c r="D428" s="438"/>
      <c r="E428" s="438"/>
      <c r="F428" s="438"/>
      <c r="G428" s="438"/>
      <c r="H428" s="108"/>
      <c r="I428" s="108"/>
      <c r="J428" s="440"/>
      <c r="K428" s="440"/>
      <c r="L428" s="440"/>
      <c r="M428" s="440"/>
      <c r="N428" s="440"/>
      <c r="O428" s="440"/>
      <c r="P428" s="440"/>
      <c r="Q428" s="440"/>
      <c r="R428" s="108"/>
      <c r="S428" s="440"/>
      <c r="T428" s="440"/>
      <c r="U428" s="440"/>
      <c r="V428" s="440"/>
      <c r="W428" s="440"/>
      <c r="X428" s="440"/>
      <c r="Y428" s="108"/>
      <c r="Z428" s="108"/>
    </row>
    <row r="429" ht="18.75" customHeight="1">
      <c r="A429" s="437"/>
      <c r="B429" s="438"/>
      <c r="C429" s="438"/>
      <c r="D429" s="438"/>
      <c r="E429" s="438"/>
      <c r="F429" s="438"/>
      <c r="G429" s="438"/>
      <c r="H429" s="108"/>
      <c r="I429" s="108"/>
      <c r="J429" s="440"/>
      <c r="K429" s="440"/>
      <c r="L429" s="440"/>
      <c r="M429" s="440"/>
      <c r="N429" s="440"/>
      <c r="O429" s="440"/>
      <c r="P429" s="440"/>
      <c r="Q429" s="440"/>
      <c r="R429" s="108"/>
      <c r="S429" s="440"/>
      <c r="T429" s="440"/>
      <c r="U429" s="440"/>
      <c r="V429" s="440"/>
      <c r="W429" s="440"/>
      <c r="X429" s="440"/>
      <c r="Y429" s="108"/>
      <c r="Z429" s="108"/>
    </row>
    <row r="430" ht="18.75" customHeight="1">
      <c r="A430" s="437"/>
      <c r="B430" s="438"/>
      <c r="C430" s="438"/>
      <c r="D430" s="438"/>
      <c r="E430" s="438"/>
      <c r="F430" s="438"/>
      <c r="G430" s="438"/>
      <c r="H430" s="108"/>
      <c r="I430" s="108"/>
      <c r="J430" s="440"/>
      <c r="K430" s="440"/>
      <c r="L430" s="440"/>
      <c r="M430" s="440"/>
      <c r="N430" s="440"/>
      <c r="O430" s="440"/>
      <c r="P430" s="440"/>
      <c r="Q430" s="440"/>
      <c r="R430" s="108"/>
      <c r="S430" s="440"/>
      <c r="T430" s="440"/>
      <c r="U430" s="440"/>
      <c r="V430" s="440"/>
      <c r="W430" s="440"/>
      <c r="X430" s="440"/>
      <c r="Y430" s="108"/>
      <c r="Z430" s="108"/>
    </row>
    <row r="431" ht="18.75" customHeight="1">
      <c r="A431" s="437"/>
      <c r="B431" s="438"/>
      <c r="C431" s="438"/>
      <c r="D431" s="438"/>
      <c r="E431" s="438"/>
      <c r="F431" s="438"/>
      <c r="G431" s="438"/>
      <c r="H431" s="108"/>
      <c r="I431" s="108"/>
      <c r="J431" s="440"/>
      <c r="K431" s="440"/>
      <c r="L431" s="440"/>
      <c r="M431" s="440"/>
      <c r="N431" s="440"/>
      <c r="O431" s="440"/>
      <c r="P431" s="440"/>
      <c r="Q431" s="440"/>
      <c r="R431" s="108"/>
      <c r="S431" s="440"/>
      <c r="T431" s="440"/>
      <c r="U431" s="440"/>
      <c r="V431" s="440"/>
      <c r="W431" s="440"/>
      <c r="X431" s="440"/>
      <c r="Y431" s="108"/>
      <c r="Z431" s="108"/>
    </row>
    <row r="432" ht="18.75" customHeight="1">
      <c r="A432" s="437"/>
      <c r="B432" s="438"/>
      <c r="C432" s="438"/>
      <c r="D432" s="438"/>
      <c r="E432" s="438"/>
      <c r="F432" s="438"/>
      <c r="G432" s="438"/>
      <c r="H432" s="108"/>
      <c r="I432" s="108"/>
      <c r="J432" s="440"/>
      <c r="K432" s="440"/>
      <c r="L432" s="440"/>
      <c r="M432" s="440"/>
      <c r="N432" s="440"/>
      <c r="O432" s="440"/>
      <c r="P432" s="440"/>
      <c r="Q432" s="440"/>
      <c r="R432" s="108"/>
      <c r="S432" s="440"/>
      <c r="T432" s="440"/>
      <c r="U432" s="440"/>
      <c r="V432" s="440"/>
      <c r="W432" s="440"/>
      <c r="X432" s="440"/>
      <c r="Y432" s="108"/>
      <c r="Z432" s="108"/>
    </row>
    <row r="433" ht="18.75" customHeight="1">
      <c r="A433" s="437"/>
      <c r="B433" s="438"/>
      <c r="C433" s="438"/>
      <c r="D433" s="438"/>
      <c r="E433" s="438"/>
      <c r="F433" s="438"/>
      <c r="G433" s="438"/>
      <c r="H433" s="108"/>
      <c r="I433" s="108"/>
      <c r="J433" s="440"/>
      <c r="K433" s="440"/>
      <c r="L433" s="440"/>
      <c r="M433" s="440"/>
      <c r="N433" s="440"/>
      <c r="O433" s="440"/>
      <c r="P433" s="440"/>
      <c r="Q433" s="440"/>
      <c r="R433" s="108"/>
      <c r="S433" s="440"/>
      <c r="T433" s="440"/>
      <c r="U433" s="440"/>
      <c r="V433" s="440"/>
      <c r="W433" s="440"/>
      <c r="X433" s="440"/>
      <c r="Y433" s="108"/>
      <c r="Z433" s="108"/>
    </row>
    <row r="434" ht="18.75" customHeight="1">
      <c r="A434" s="437"/>
      <c r="B434" s="438"/>
      <c r="C434" s="438"/>
      <c r="D434" s="438"/>
      <c r="E434" s="438"/>
      <c r="F434" s="438"/>
      <c r="G434" s="438"/>
      <c r="H434" s="108"/>
      <c r="I434" s="108"/>
      <c r="J434" s="440"/>
      <c r="K434" s="440"/>
      <c r="L434" s="440"/>
      <c r="M434" s="440"/>
      <c r="N434" s="440"/>
      <c r="O434" s="440"/>
      <c r="P434" s="440"/>
      <c r="Q434" s="440"/>
      <c r="R434" s="108"/>
      <c r="S434" s="440"/>
      <c r="T434" s="440"/>
      <c r="U434" s="440"/>
      <c r="V434" s="440"/>
      <c r="W434" s="440"/>
      <c r="X434" s="440"/>
      <c r="Y434" s="108"/>
      <c r="Z434" s="108"/>
    </row>
    <row r="435" ht="18.75" customHeight="1">
      <c r="A435" s="437"/>
      <c r="B435" s="438"/>
      <c r="C435" s="438"/>
      <c r="D435" s="438"/>
      <c r="E435" s="438"/>
      <c r="F435" s="438"/>
      <c r="G435" s="438"/>
      <c r="H435" s="108"/>
      <c r="I435" s="108"/>
      <c r="J435" s="440"/>
      <c r="K435" s="440"/>
      <c r="L435" s="440"/>
      <c r="M435" s="440"/>
      <c r="N435" s="440"/>
      <c r="O435" s="440"/>
      <c r="P435" s="440"/>
      <c r="Q435" s="440"/>
      <c r="R435" s="108"/>
      <c r="S435" s="440"/>
      <c r="T435" s="440"/>
      <c r="U435" s="440"/>
      <c r="V435" s="440"/>
      <c r="W435" s="440"/>
      <c r="X435" s="440"/>
      <c r="Y435" s="108"/>
      <c r="Z435" s="108"/>
    </row>
    <row r="436" ht="18.75" customHeight="1">
      <c r="A436" s="437"/>
      <c r="B436" s="438"/>
      <c r="C436" s="438"/>
      <c r="D436" s="438"/>
      <c r="E436" s="438"/>
      <c r="F436" s="438"/>
      <c r="G436" s="438"/>
      <c r="H436" s="108"/>
      <c r="I436" s="108"/>
      <c r="J436" s="440"/>
      <c r="K436" s="440"/>
      <c r="L436" s="440"/>
      <c r="M436" s="440"/>
      <c r="N436" s="440"/>
      <c r="O436" s="440"/>
      <c r="P436" s="440"/>
      <c r="Q436" s="440"/>
      <c r="R436" s="108"/>
      <c r="S436" s="440"/>
      <c r="T436" s="440"/>
      <c r="U436" s="440"/>
      <c r="V436" s="440"/>
      <c r="W436" s="440"/>
      <c r="X436" s="440"/>
      <c r="Y436" s="108"/>
      <c r="Z436" s="108"/>
    </row>
    <row r="437" ht="18.75" customHeight="1">
      <c r="A437" s="437"/>
      <c r="B437" s="438"/>
      <c r="C437" s="438"/>
      <c r="D437" s="438"/>
      <c r="E437" s="438"/>
      <c r="F437" s="438"/>
      <c r="G437" s="438"/>
      <c r="H437" s="108"/>
      <c r="I437" s="108"/>
      <c r="J437" s="440"/>
      <c r="K437" s="440"/>
      <c r="L437" s="440"/>
      <c r="M437" s="440"/>
      <c r="N437" s="440"/>
      <c r="O437" s="440"/>
      <c r="P437" s="440"/>
      <c r="Q437" s="440"/>
      <c r="R437" s="108"/>
      <c r="S437" s="440"/>
      <c r="T437" s="440"/>
      <c r="U437" s="440"/>
      <c r="V437" s="440"/>
      <c r="W437" s="440"/>
      <c r="X437" s="440"/>
      <c r="Y437" s="108"/>
      <c r="Z437" s="108"/>
    </row>
    <row r="438" ht="18.75" customHeight="1">
      <c r="A438" s="437"/>
      <c r="B438" s="438"/>
      <c r="C438" s="438"/>
      <c r="D438" s="438"/>
      <c r="E438" s="438"/>
      <c r="F438" s="438"/>
      <c r="G438" s="438"/>
      <c r="H438" s="108"/>
      <c r="I438" s="108"/>
      <c r="J438" s="440"/>
      <c r="K438" s="440"/>
      <c r="L438" s="440"/>
      <c r="M438" s="440"/>
      <c r="N438" s="440"/>
      <c r="O438" s="440"/>
      <c r="P438" s="440"/>
      <c r="Q438" s="440"/>
      <c r="R438" s="108"/>
      <c r="S438" s="440"/>
      <c r="T438" s="440"/>
      <c r="U438" s="440"/>
      <c r="V438" s="440"/>
      <c r="W438" s="440"/>
      <c r="X438" s="440"/>
      <c r="Y438" s="108"/>
      <c r="Z438" s="108"/>
    </row>
    <row r="439" ht="18.75" customHeight="1">
      <c r="A439" s="437"/>
      <c r="B439" s="438"/>
      <c r="C439" s="438"/>
      <c r="D439" s="438"/>
      <c r="E439" s="438"/>
      <c r="F439" s="438"/>
      <c r="G439" s="438"/>
      <c r="H439" s="108"/>
      <c r="I439" s="108"/>
      <c r="J439" s="440"/>
      <c r="K439" s="440"/>
      <c r="L439" s="440"/>
      <c r="M439" s="440"/>
      <c r="N439" s="440"/>
      <c r="O439" s="440"/>
      <c r="P439" s="440"/>
      <c r="Q439" s="440"/>
      <c r="R439" s="108"/>
      <c r="S439" s="440"/>
      <c r="T439" s="440"/>
      <c r="U439" s="440"/>
      <c r="V439" s="440"/>
      <c r="W439" s="440"/>
      <c r="X439" s="440"/>
      <c r="Y439" s="108"/>
      <c r="Z439" s="108"/>
    </row>
    <row r="440" ht="18.75" customHeight="1">
      <c r="A440" s="437"/>
      <c r="B440" s="438"/>
      <c r="C440" s="438"/>
      <c r="D440" s="438"/>
      <c r="E440" s="438"/>
      <c r="F440" s="438"/>
      <c r="G440" s="438"/>
      <c r="H440" s="108"/>
      <c r="I440" s="108"/>
      <c r="J440" s="440"/>
      <c r="K440" s="440"/>
      <c r="L440" s="440"/>
      <c r="M440" s="440"/>
      <c r="N440" s="440"/>
      <c r="O440" s="440"/>
      <c r="P440" s="440"/>
      <c r="Q440" s="440"/>
      <c r="R440" s="108"/>
      <c r="S440" s="440"/>
      <c r="T440" s="440"/>
      <c r="U440" s="440"/>
      <c r="V440" s="440"/>
      <c r="W440" s="440"/>
      <c r="X440" s="440"/>
      <c r="Y440" s="108"/>
      <c r="Z440" s="108"/>
    </row>
    <row r="441" ht="18.75" customHeight="1">
      <c r="A441" s="437"/>
      <c r="B441" s="438"/>
      <c r="C441" s="438"/>
      <c r="D441" s="438"/>
      <c r="E441" s="438"/>
      <c r="F441" s="438"/>
      <c r="G441" s="438"/>
      <c r="H441" s="108"/>
      <c r="I441" s="108"/>
      <c r="J441" s="440"/>
      <c r="K441" s="440"/>
      <c r="L441" s="440"/>
      <c r="M441" s="440"/>
      <c r="N441" s="440"/>
      <c r="O441" s="440"/>
      <c r="P441" s="440"/>
      <c r="Q441" s="440"/>
      <c r="R441" s="108"/>
      <c r="S441" s="440"/>
      <c r="T441" s="440"/>
      <c r="U441" s="440"/>
      <c r="V441" s="440"/>
      <c r="W441" s="440"/>
      <c r="X441" s="440"/>
      <c r="Y441" s="108"/>
      <c r="Z441" s="108"/>
    </row>
    <row r="442" ht="18.75" customHeight="1">
      <c r="A442" s="437"/>
      <c r="B442" s="438"/>
      <c r="C442" s="438"/>
      <c r="D442" s="438"/>
      <c r="E442" s="438"/>
      <c r="F442" s="438"/>
      <c r="G442" s="438"/>
      <c r="H442" s="108"/>
      <c r="I442" s="108"/>
      <c r="J442" s="440"/>
      <c r="K442" s="440"/>
      <c r="L442" s="440"/>
      <c r="M442" s="440"/>
      <c r="N442" s="440"/>
      <c r="O442" s="440"/>
      <c r="P442" s="440"/>
      <c r="Q442" s="440"/>
      <c r="R442" s="108"/>
      <c r="S442" s="440"/>
      <c r="T442" s="440"/>
      <c r="U442" s="440"/>
      <c r="V442" s="440"/>
      <c r="W442" s="440"/>
      <c r="X442" s="440"/>
      <c r="Y442" s="108"/>
      <c r="Z442" s="108"/>
    </row>
    <row r="443" ht="18.75" customHeight="1">
      <c r="A443" s="437"/>
      <c r="B443" s="438"/>
      <c r="C443" s="438"/>
      <c r="D443" s="438"/>
      <c r="E443" s="438"/>
      <c r="F443" s="438"/>
      <c r="G443" s="438"/>
      <c r="H443" s="108"/>
      <c r="I443" s="108"/>
      <c r="J443" s="440"/>
      <c r="K443" s="440"/>
      <c r="L443" s="440"/>
      <c r="M443" s="440"/>
      <c r="N443" s="440"/>
      <c r="O443" s="440"/>
      <c r="P443" s="440"/>
      <c r="Q443" s="440"/>
      <c r="R443" s="108"/>
      <c r="S443" s="440"/>
      <c r="T443" s="440"/>
      <c r="U443" s="440"/>
      <c r="V443" s="440"/>
      <c r="W443" s="440"/>
      <c r="X443" s="440"/>
      <c r="Y443" s="108"/>
      <c r="Z443" s="108"/>
    </row>
    <row r="444" ht="18.75" customHeight="1">
      <c r="A444" s="437"/>
      <c r="B444" s="438"/>
      <c r="C444" s="438"/>
      <c r="D444" s="438"/>
      <c r="E444" s="438"/>
      <c r="F444" s="438"/>
      <c r="G444" s="438"/>
      <c r="H444" s="108"/>
      <c r="I444" s="108"/>
      <c r="J444" s="440"/>
      <c r="K444" s="440"/>
      <c r="L444" s="440"/>
      <c r="M444" s="440"/>
      <c r="N444" s="440"/>
      <c r="O444" s="440"/>
      <c r="P444" s="440"/>
      <c r="Q444" s="440"/>
      <c r="R444" s="108"/>
      <c r="S444" s="440"/>
      <c r="T444" s="440"/>
      <c r="U444" s="440"/>
      <c r="V444" s="440"/>
      <c r="W444" s="440"/>
      <c r="X444" s="440"/>
      <c r="Y444" s="108"/>
      <c r="Z444" s="108"/>
    </row>
    <row r="445" ht="18.75" customHeight="1">
      <c r="A445" s="437"/>
      <c r="B445" s="438"/>
      <c r="C445" s="438"/>
      <c r="D445" s="438"/>
      <c r="E445" s="438"/>
      <c r="F445" s="438"/>
      <c r="G445" s="438"/>
      <c r="H445" s="108"/>
      <c r="I445" s="108"/>
      <c r="J445" s="440"/>
      <c r="K445" s="440"/>
      <c r="L445" s="440"/>
      <c r="M445" s="440"/>
      <c r="N445" s="440"/>
      <c r="O445" s="440"/>
      <c r="P445" s="440"/>
      <c r="Q445" s="440"/>
      <c r="R445" s="108"/>
      <c r="S445" s="440"/>
      <c r="T445" s="440"/>
      <c r="U445" s="440"/>
      <c r="V445" s="440"/>
      <c r="W445" s="440"/>
      <c r="X445" s="440"/>
      <c r="Y445" s="108"/>
      <c r="Z445" s="108"/>
    </row>
    <row r="446" ht="18.75" customHeight="1">
      <c r="A446" s="437"/>
      <c r="B446" s="438"/>
      <c r="C446" s="438"/>
      <c r="D446" s="438"/>
      <c r="E446" s="438"/>
      <c r="F446" s="438"/>
      <c r="G446" s="438"/>
      <c r="H446" s="108"/>
      <c r="I446" s="108"/>
      <c r="J446" s="440"/>
      <c r="K446" s="440"/>
      <c r="L446" s="440"/>
      <c r="M446" s="440"/>
      <c r="N446" s="440"/>
      <c r="O446" s="440"/>
      <c r="P446" s="440"/>
      <c r="Q446" s="440"/>
      <c r="R446" s="108"/>
      <c r="S446" s="440"/>
      <c r="T446" s="440"/>
      <c r="U446" s="440"/>
      <c r="V446" s="440"/>
      <c r="W446" s="440"/>
      <c r="X446" s="440"/>
      <c r="Y446" s="108"/>
      <c r="Z446" s="108"/>
    </row>
    <row r="447" ht="18.75" customHeight="1">
      <c r="A447" s="437"/>
      <c r="B447" s="438"/>
      <c r="C447" s="438"/>
      <c r="D447" s="438"/>
      <c r="E447" s="438"/>
      <c r="F447" s="438"/>
      <c r="G447" s="438"/>
      <c r="H447" s="108"/>
      <c r="I447" s="108"/>
      <c r="J447" s="440"/>
      <c r="K447" s="440"/>
      <c r="L447" s="440"/>
      <c r="M447" s="440"/>
      <c r="N447" s="440"/>
      <c r="O447" s="440"/>
      <c r="P447" s="440"/>
      <c r="Q447" s="440"/>
      <c r="R447" s="108"/>
      <c r="S447" s="440"/>
      <c r="T447" s="440"/>
      <c r="U447" s="440"/>
      <c r="V447" s="440"/>
      <c r="W447" s="440"/>
      <c r="X447" s="440"/>
      <c r="Y447" s="108"/>
      <c r="Z447" s="108"/>
    </row>
    <row r="448" ht="18.75" customHeight="1">
      <c r="A448" s="437"/>
      <c r="B448" s="438"/>
      <c r="C448" s="438"/>
      <c r="D448" s="438"/>
      <c r="E448" s="438"/>
      <c r="F448" s="438"/>
      <c r="G448" s="438"/>
      <c r="H448" s="108"/>
      <c r="I448" s="108"/>
      <c r="J448" s="440"/>
      <c r="K448" s="440"/>
      <c r="L448" s="440"/>
      <c r="M448" s="440"/>
      <c r="N448" s="440"/>
      <c r="O448" s="440"/>
      <c r="P448" s="440"/>
      <c r="Q448" s="440"/>
      <c r="R448" s="108"/>
      <c r="S448" s="440"/>
      <c r="T448" s="440"/>
      <c r="U448" s="440"/>
      <c r="V448" s="440"/>
      <c r="W448" s="440"/>
      <c r="X448" s="440"/>
      <c r="Y448" s="108"/>
      <c r="Z448" s="108"/>
    </row>
    <row r="449" ht="18.75" customHeight="1">
      <c r="A449" s="437"/>
      <c r="B449" s="438"/>
      <c r="C449" s="438"/>
      <c r="D449" s="438"/>
      <c r="E449" s="438"/>
      <c r="F449" s="438"/>
      <c r="G449" s="438"/>
      <c r="H449" s="108"/>
      <c r="I449" s="108"/>
      <c r="J449" s="440"/>
      <c r="K449" s="440"/>
      <c r="L449" s="440"/>
      <c r="M449" s="440"/>
      <c r="N449" s="440"/>
      <c r="O449" s="440"/>
      <c r="P449" s="440"/>
      <c r="Q449" s="440"/>
      <c r="R449" s="108"/>
      <c r="S449" s="440"/>
      <c r="T449" s="440"/>
      <c r="U449" s="440"/>
      <c r="V449" s="440"/>
      <c r="W449" s="440"/>
      <c r="X449" s="440"/>
      <c r="Y449" s="108"/>
      <c r="Z449" s="108"/>
    </row>
    <row r="450" ht="18.75" customHeight="1">
      <c r="A450" s="437"/>
      <c r="B450" s="438"/>
      <c r="C450" s="438"/>
      <c r="D450" s="438"/>
      <c r="E450" s="438"/>
      <c r="F450" s="438"/>
      <c r="G450" s="438"/>
      <c r="H450" s="108"/>
      <c r="I450" s="108"/>
      <c r="J450" s="440"/>
      <c r="K450" s="440"/>
      <c r="L450" s="440"/>
      <c r="M450" s="440"/>
      <c r="N450" s="440"/>
      <c r="O450" s="440"/>
      <c r="P450" s="440"/>
      <c r="Q450" s="440"/>
      <c r="R450" s="108"/>
      <c r="S450" s="440"/>
      <c r="T450" s="440"/>
      <c r="U450" s="440"/>
      <c r="V450" s="440"/>
      <c r="W450" s="440"/>
      <c r="X450" s="440"/>
      <c r="Y450" s="108"/>
      <c r="Z450" s="108"/>
    </row>
    <row r="451" ht="18.75" customHeight="1">
      <c r="A451" s="437"/>
      <c r="B451" s="438"/>
      <c r="C451" s="438"/>
      <c r="D451" s="438"/>
      <c r="E451" s="438"/>
      <c r="F451" s="438"/>
      <c r="G451" s="438"/>
      <c r="H451" s="108"/>
      <c r="I451" s="108"/>
      <c r="J451" s="440"/>
      <c r="K451" s="440"/>
      <c r="L451" s="440"/>
      <c r="M451" s="440"/>
      <c r="N451" s="440"/>
      <c r="O451" s="440"/>
      <c r="P451" s="440"/>
      <c r="Q451" s="440"/>
      <c r="R451" s="108"/>
      <c r="S451" s="440"/>
      <c r="T451" s="440"/>
      <c r="U451" s="440"/>
      <c r="V451" s="440"/>
      <c r="W451" s="440"/>
      <c r="X451" s="440"/>
      <c r="Y451" s="108"/>
      <c r="Z451" s="108"/>
    </row>
    <row r="452" ht="18.75" customHeight="1">
      <c r="A452" s="437"/>
      <c r="B452" s="438"/>
      <c r="C452" s="438"/>
      <c r="D452" s="438"/>
      <c r="E452" s="438"/>
      <c r="F452" s="438"/>
      <c r="G452" s="438"/>
      <c r="H452" s="108"/>
      <c r="I452" s="108"/>
      <c r="J452" s="440"/>
      <c r="K452" s="440"/>
      <c r="L452" s="440"/>
      <c r="M452" s="440"/>
      <c r="N452" s="440"/>
      <c r="O452" s="440"/>
      <c r="P452" s="440"/>
      <c r="Q452" s="440"/>
      <c r="R452" s="108"/>
      <c r="S452" s="440"/>
      <c r="T452" s="440"/>
      <c r="U452" s="440"/>
      <c r="V452" s="440"/>
      <c r="W452" s="440"/>
      <c r="X452" s="440"/>
      <c r="Y452" s="108"/>
      <c r="Z452" s="108"/>
    </row>
    <row r="453" ht="18.75" customHeight="1">
      <c r="A453" s="437"/>
      <c r="B453" s="438"/>
      <c r="C453" s="438"/>
      <c r="D453" s="438"/>
      <c r="E453" s="438"/>
      <c r="F453" s="438"/>
      <c r="G453" s="438"/>
      <c r="H453" s="108"/>
      <c r="I453" s="108"/>
      <c r="J453" s="440"/>
      <c r="K453" s="440"/>
      <c r="L453" s="440"/>
      <c r="M453" s="440"/>
      <c r="N453" s="440"/>
      <c r="O453" s="440"/>
      <c r="P453" s="440"/>
      <c r="Q453" s="440"/>
      <c r="R453" s="108"/>
      <c r="S453" s="440"/>
      <c r="T453" s="440"/>
      <c r="U453" s="440"/>
      <c r="V453" s="440"/>
      <c r="W453" s="440"/>
      <c r="X453" s="440"/>
      <c r="Y453" s="108"/>
      <c r="Z453" s="108"/>
    </row>
    <row r="454" ht="18.75" customHeight="1">
      <c r="A454" s="437"/>
      <c r="B454" s="438"/>
      <c r="C454" s="438"/>
      <c r="D454" s="438"/>
      <c r="E454" s="438"/>
      <c r="F454" s="438"/>
      <c r="G454" s="438"/>
      <c r="H454" s="108"/>
      <c r="I454" s="108"/>
      <c r="J454" s="440"/>
      <c r="K454" s="440"/>
      <c r="L454" s="440"/>
      <c r="M454" s="440"/>
      <c r="N454" s="440"/>
      <c r="O454" s="440"/>
      <c r="P454" s="440"/>
      <c r="Q454" s="440"/>
      <c r="R454" s="108"/>
      <c r="S454" s="440"/>
      <c r="T454" s="440"/>
      <c r="U454" s="440"/>
      <c r="V454" s="440"/>
      <c r="W454" s="440"/>
      <c r="X454" s="440"/>
      <c r="Y454" s="108"/>
      <c r="Z454" s="108"/>
    </row>
    <row r="455" ht="18.75" customHeight="1">
      <c r="A455" s="437"/>
      <c r="B455" s="438"/>
      <c r="C455" s="438"/>
      <c r="D455" s="438"/>
      <c r="E455" s="438"/>
      <c r="F455" s="438"/>
      <c r="G455" s="438"/>
      <c r="H455" s="108"/>
      <c r="I455" s="108"/>
      <c r="J455" s="440"/>
      <c r="K455" s="440"/>
      <c r="L455" s="440"/>
      <c r="M455" s="440"/>
      <c r="N455" s="440"/>
      <c r="O455" s="440"/>
      <c r="P455" s="440"/>
      <c r="Q455" s="440"/>
      <c r="R455" s="108"/>
      <c r="S455" s="440"/>
      <c r="T455" s="440"/>
      <c r="U455" s="440"/>
      <c r="V455" s="440"/>
      <c r="W455" s="440"/>
      <c r="X455" s="440"/>
      <c r="Y455" s="108"/>
      <c r="Z455" s="108"/>
    </row>
    <row r="456" ht="18.75" customHeight="1">
      <c r="A456" s="437"/>
      <c r="B456" s="438"/>
      <c r="C456" s="438"/>
      <c r="D456" s="438"/>
      <c r="E456" s="438"/>
      <c r="F456" s="438"/>
      <c r="G456" s="438"/>
      <c r="H456" s="108"/>
      <c r="I456" s="108"/>
      <c r="J456" s="440"/>
      <c r="K456" s="440"/>
      <c r="L456" s="440"/>
      <c r="M456" s="440"/>
      <c r="N456" s="440"/>
      <c r="O456" s="440"/>
      <c r="P456" s="440"/>
      <c r="Q456" s="440"/>
      <c r="R456" s="108"/>
      <c r="S456" s="440"/>
      <c r="T456" s="440"/>
      <c r="U456" s="440"/>
      <c r="V456" s="440"/>
      <c r="W456" s="440"/>
      <c r="X456" s="440"/>
      <c r="Y456" s="108"/>
      <c r="Z456" s="108"/>
    </row>
    <row r="457" ht="18.75" customHeight="1">
      <c r="A457" s="437"/>
      <c r="B457" s="438"/>
      <c r="C457" s="438"/>
      <c r="D457" s="438"/>
      <c r="E457" s="438"/>
      <c r="F457" s="438"/>
      <c r="G457" s="438"/>
      <c r="H457" s="108"/>
      <c r="I457" s="108"/>
      <c r="J457" s="440"/>
      <c r="K457" s="440"/>
      <c r="L457" s="440"/>
      <c r="M457" s="440"/>
      <c r="N457" s="440"/>
      <c r="O457" s="440"/>
      <c r="P457" s="440"/>
      <c r="Q457" s="440"/>
      <c r="R457" s="108"/>
      <c r="S457" s="440"/>
      <c r="T457" s="440"/>
      <c r="U457" s="440"/>
      <c r="V457" s="440"/>
      <c r="W457" s="440"/>
      <c r="X457" s="440"/>
      <c r="Y457" s="108"/>
      <c r="Z457" s="108"/>
    </row>
    <row r="458" ht="18.75" customHeight="1">
      <c r="A458" s="437"/>
      <c r="B458" s="438"/>
      <c r="C458" s="438"/>
      <c r="D458" s="438"/>
      <c r="E458" s="438"/>
      <c r="F458" s="438"/>
      <c r="G458" s="438"/>
      <c r="H458" s="108"/>
      <c r="I458" s="108"/>
      <c r="J458" s="440"/>
      <c r="K458" s="440"/>
      <c r="L458" s="440"/>
      <c r="M458" s="440"/>
      <c r="N458" s="440"/>
      <c r="O458" s="440"/>
      <c r="P458" s="440"/>
      <c r="Q458" s="440"/>
      <c r="R458" s="108"/>
      <c r="S458" s="440"/>
      <c r="T458" s="440"/>
      <c r="U458" s="440"/>
      <c r="V458" s="440"/>
      <c r="W458" s="440"/>
      <c r="X458" s="440"/>
      <c r="Y458" s="108"/>
      <c r="Z458" s="108"/>
    </row>
    <row r="459" ht="18.75" customHeight="1">
      <c r="A459" s="437"/>
      <c r="B459" s="438"/>
      <c r="C459" s="438"/>
      <c r="D459" s="438"/>
      <c r="E459" s="438"/>
      <c r="F459" s="438"/>
      <c r="G459" s="438"/>
      <c r="H459" s="108"/>
      <c r="I459" s="108"/>
      <c r="J459" s="440"/>
      <c r="K459" s="440"/>
      <c r="L459" s="440"/>
      <c r="M459" s="440"/>
      <c r="N459" s="440"/>
      <c r="O459" s="440"/>
      <c r="P459" s="440"/>
      <c r="Q459" s="440"/>
      <c r="R459" s="108"/>
      <c r="S459" s="440"/>
      <c r="T459" s="440"/>
      <c r="U459" s="440"/>
      <c r="V459" s="440"/>
      <c r="W459" s="440"/>
      <c r="X459" s="440"/>
      <c r="Y459" s="108"/>
      <c r="Z459" s="108"/>
    </row>
    <row r="460" ht="18.75" customHeight="1">
      <c r="A460" s="437"/>
      <c r="B460" s="438"/>
      <c r="C460" s="438"/>
      <c r="D460" s="438"/>
      <c r="E460" s="438"/>
      <c r="F460" s="438"/>
      <c r="G460" s="438"/>
      <c r="H460" s="108"/>
      <c r="I460" s="108"/>
      <c r="J460" s="440"/>
      <c r="K460" s="440"/>
      <c r="L460" s="440"/>
      <c r="M460" s="440"/>
      <c r="N460" s="440"/>
      <c r="O460" s="440"/>
      <c r="P460" s="440"/>
      <c r="Q460" s="440"/>
      <c r="R460" s="108"/>
      <c r="S460" s="440"/>
      <c r="T460" s="440"/>
      <c r="U460" s="440"/>
      <c r="V460" s="440"/>
      <c r="W460" s="440"/>
      <c r="X460" s="440"/>
      <c r="Y460" s="108"/>
      <c r="Z460" s="108"/>
    </row>
    <row r="461" ht="18.75" customHeight="1">
      <c r="A461" s="437"/>
      <c r="B461" s="438"/>
      <c r="C461" s="438"/>
      <c r="D461" s="438"/>
      <c r="E461" s="438"/>
      <c r="F461" s="438"/>
      <c r="G461" s="438"/>
      <c r="H461" s="108"/>
      <c r="I461" s="108"/>
      <c r="J461" s="440"/>
      <c r="K461" s="440"/>
      <c r="L461" s="440"/>
      <c r="M461" s="440"/>
      <c r="N461" s="440"/>
      <c r="O461" s="440"/>
      <c r="P461" s="440"/>
      <c r="Q461" s="440"/>
      <c r="R461" s="108"/>
      <c r="S461" s="440"/>
      <c r="T461" s="440"/>
      <c r="U461" s="440"/>
      <c r="V461" s="440"/>
      <c r="W461" s="440"/>
      <c r="X461" s="440"/>
      <c r="Y461" s="108"/>
      <c r="Z461" s="108"/>
    </row>
    <row r="462" ht="18.75" customHeight="1">
      <c r="A462" s="437"/>
      <c r="B462" s="438"/>
      <c r="C462" s="438"/>
      <c r="D462" s="438"/>
      <c r="E462" s="438"/>
      <c r="F462" s="438"/>
      <c r="G462" s="438"/>
      <c r="H462" s="108"/>
      <c r="I462" s="108"/>
      <c r="J462" s="440"/>
      <c r="K462" s="440"/>
      <c r="L462" s="440"/>
      <c r="M462" s="440"/>
      <c r="N462" s="440"/>
      <c r="O462" s="440"/>
      <c r="P462" s="440"/>
      <c r="Q462" s="440"/>
      <c r="R462" s="108"/>
      <c r="S462" s="440"/>
      <c r="T462" s="440"/>
      <c r="U462" s="440"/>
      <c r="V462" s="440"/>
      <c r="W462" s="440"/>
      <c r="X462" s="440"/>
      <c r="Y462" s="108"/>
      <c r="Z462" s="108"/>
    </row>
    <row r="463" ht="18.75" customHeight="1">
      <c r="A463" s="437"/>
      <c r="B463" s="438"/>
      <c r="C463" s="438"/>
      <c r="D463" s="438"/>
      <c r="E463" s="438"/>
      <c r="F463" s="438"/>
      <c r="G463" s="438"/>
      <c r="H463" s="108"/>
      <c r="I463" s="108"/>
      <c r="J463" s="440"/>
      <c r="K463" s="440"/>
      <c r="L463" s="440"/>
      <c r="M463" s="440"/>
      <c r="N463" s="440"/>
      <c r="O463" s="440"/>
      <c r="P463" s="440"/>
      <c r="Q463" s="440"/>
      <c r="R463" s="108"/>
      <c r="S463" s="440"/>
      <c r="T463" s="440"/>
      <c r="U463" s="440"/>
      <c r="V463" s="440"/>
      <c r="W463" s="440"/>
      <c r="X463" s="440"/>
      <c r="Y463" s="108"/>
      <c r="Z463" s="108"/>
    </row>
    <row r="464" ht="18.75" customHeight="1">
      <c r="A464" s="437"/>
      <c r="B464" s="438"/>
      <c r="C464" s="438"/>
      <c r="D464" s="438"/>
      <c r="E464" s="438"/>
      <c r="F464" s="438"/>
      <c r="G464" s="438"/>
      <c r="H464" s="108"/>
      <c r="I464" s="108"/>
      <c r="J464" s="440"/>
      <c r="K464" s="440"/>
      <c r="L464" s="440"/>
      <c r="M464" s="440"/>
      <c r="N464" s="440"/>
      <c r="O464" s="440"/>
      <c r="P464" s="440"/>
      <c r="Q464" s="440"/>
      <c r="R464" s="108"/>
      <c r="S464" s="440"/>
      <c r="T464" s="440"/>
      <c r="U464" s="440"/>
      <c r="V464" s="440"/>
      <c r="W464" s="440"/>
      <c r="X464" s="440"/>
      <c r="Y464" s="108"/>
      <c r="Z464" s="108"/>
    </row>
    <row r="465" ht="18.75" customHeight="1">
      <c r="A465" s="437"/>
      <c r="B465" s="438"/>
      <c r="C465" s="438"/>
      <c r="D465" s="438"/>
      <c r="E465" s="438"/>
      <c r="F465" s="438"/>
      <c r="G465" s="438"/>
      <c r="H465" s="108"/>
      <c r="I465" s="108"/>
      <c r="J465" s="440"/>
      <c r="K465" s="440"/>
      <c r="L465" s="440"/>
      <c r="M465" s="440"/>
      <c r="N465" s="440"/>
      <c r="O465" s="440"/>
      <c r="P465" s="440"/>
      <c r="Q465" s="440"/>
      <c r="R465" s="108"/>
      <c r="S465" s="440"/>
      <c r="T465" s="440"/>
      <c r="U465" s="440"/>
      <c r="V465" s="440"/>
      <c r="W465" s="440"/>
      <c r="X465" s="440"/>
      <c r="Y465" s="108"/>
      <c r="Z465" s="108"/>
    </row>
    <row r="466" ht="18.75" customHeight="1">
      <c r="A466" s="437"/>
      <c r="B466" s="438"/>
      <c r="C466" s="438"/>
      <c r="D466" s="438"/>
      <c r="E466" s="438"/>
      <c r="F466" s="438"/>
      <c r="G466" s="438"/>
      <c r="H466" s="108"/>
      <c r="I466" s="108"/>
      <c r="J466" s="440"/>
      <c r="K466" s="440"/>
      <c r="L466" s="440"/>
      <c r="M466" s="440"/>
      <c r="N466" s="440"/>
      <c r="O466" s="440"/>
      <c r="P466" s="440"/>
      <c r="Q466" s="440"/>
      <c r="R466" s="108"/>
      <c r="S466" s="440"/>
      <c r="T466" s="440"/>
      <c r="U466" s="440"/>
      <c r="V466" s="440"/>
      <c r="W466" s="440"/>
      <c r="X466" s="440"/>
      <c r="Y466" s="108"/>
      <c r="Z466" s="108"/>
    </row>
    <row r="467" ht="18.75" customHeight="1">
      <c r="A467" s="437"/>
      <c r="B467" s="438"/>
      <c r="C467" s="438"/>
      <c r="D467" s="438"/>
      <c r="E467" s="438"/>
      <c r="F467" s="438"/>
      <c r="G467" s="438"/>
      <c r="H467" s="108"/>
      <c r="I467" s="108"/>
      <c r="J467" s="440"/>
      <c r="K467" s="440"/>
      <c r="L467" s="440"/>
      <c r="M467" s="440"/>
      <c r="N467" s="440"/>
      <c r="O467" s="440"/>
      <c r="P467" s="440"/>
      <c r="Q467" s="440"/>
      <c r="R467" s="108"/>
      <c r="S467" s="440"/>
      <c r="T467" s="440"/>
      <c r="U467" s="440"/>
      <c r="V467" s="440"/>
      <c r="W467" s="440"/>
      <c r="X467" s="440"/>
      <c r="Y467" s="108"/>
      <c r="Z467" s="108"/>
    </row>
    <row r="468" ht="18.75" customHeight="1">
      <c r="A468" s="437"/>
      <c r="B468" s="438"/>
      <c r="C468" s="438"/>
      <c r="D468" s="438"/>
      <c r="E468" s="438"/>
      <c r="F468" s="438"/>
      <c r="G468" s="438"/>
      <c r="H468" s="108"/>
      <c r="I468" s="108"/>
      <c r="J468" s="440"/>
      <c r="K468" s="440"/>
      <c r="L468" s="440"/>
      <c r="M468" s="440"/>
      <c r="N468" s="440"/>
      <c r="O468" s="440"/>
      <c r="P468" s="440"/>
      <c r="Q468" s="440"/>
      <c r="R468" s="108"/>
      <c r="S468" s="440"/>
      <c r="T468" s="440"/>
      <c r="U468" s="440"/>
      <c r="V468" s="440"/>
      <c r="W468" s="440"/>
      <c r="X468" s="440"/>
      <c r="Y468" s="108"/>
      <c r="Z468" s="108"/>
    </row>
    <row r="469" ht="18.75" customHeight="1">
      <c r="A469" s="437"/>
      <c r="B469" s="438"/>
      <c r="C469" s="438"/>
      <c r="D469" s="438"/>
      <c r="E469" s="438"/>
      <c r="F469" s="438"/>
      <c r="G469" s="438"/>
      <c r="H469" s="108"/>
      <c r="I469" s="108"/>
      <c r="J469" s="440"/>
      <c r="K469" s="440"/>
      <c r="L469" s="440"/>
      <c r="M469" s="440"/>
      <c r="N469" s="440"/>
      <c r="O469" s="440"/>
      <c r="P469" s="440"/>
      <c r="Q469" s="440"/>
      <c r="R469" s="108"/>
      <c r="S469" s="440"/>
      <c r="T469" s="440"/>
      <c r="U469" s="440"/>
      <c r="V469" s="440"/>
      <c r="W469" s="440"/>
      <c r="X469" s="440"/>
      <c r="Y469" s="108"/>
      <c r="Z469" s="108"/>
    </row>
    <row r="470" ht="18.75" customHeight="1">
      <c r="A470" s="437"/>
      <c r="B470" s="438"/>
      <c r="C470" s="438"/>
      <c r="D470" s="438"/>
      <c r="E470" s="438"/>
      <c r="F470" s="438"/>
      <c r="G470" s="438"/>
      <c r="H470" s="108"/>
      <c r="I470" s="108"/>
      <c r="J470" s="440"/>
      <c r="K470" s="440"/>
      <c r="L470" s="440"/>
      <c r="M470" s="440"/>
      <c r="N470" s="440"/>
      <c r="O470" s="440"/>
      <c r="P470" s="440"/>
      <c r="Q470" s="440"/>
      <c r="R470" s="108"/>
      <c r="S470" s="440"/>
      <c r="T470" s="440"/>
      <c r="U470" s="440"/>
      <c r="V470" s="440"/>
      <c r="W470" s="440"/>
      <c r="X470" s="440"/>
      <c r="Y470" s="108"/>
      <c r="Z470" s="108"/>
    </row>
    <row r="471" ht="18.75" customHeight="1">
      <c r="A471" s="437"/>
      <c r="B471" s="438"/>
      <c r="C471" s="438"/>
      <c r="D471" s="438"/>
      <c r="E471" s="438"/>
      <c r="F471" s="438"/>
      <c r="G471" s="438"/>
      <c r="H471" s="108"/>
      <c r="I471" s="108"/>
      <c r="J471" s="440"/>
      <c r="K471" s="440"/>
      <c r="L471" s="440"/>
      <c r="M471" s="440"/>
      <c r="N471" s="440"/>
      <c r="O471" s="440"/>
      <c r="P471" s="440"/>
      <c r="Q471" s="440"/>
      <c r="R471" s="108"/>
      <c r="S471" s="440"/>
      <c r="T471" s="440"/>
      <c r="U471" s="440"/>
      <c r="V471" s="440"/>
      <c r="W471" s="440"/>
      <c r="X471" s="440"/>
      <c r="Y471" s="108"/>
      <c r="Z471" s="108"/>
    </row>
    <row r="472" ht="18.75" customHeight="1">
      <c r="A472" s="437"/>
      <c r="B472" s="438"/>
      <c r="C472" s="438"/>
      <c r="D472" s="438"/>
      <c r="E472" s="438"/>
      <c r="F472" s="438"/>
      <c r="G472" s="438"/>
      <c r="H472" s="108"/>
      <c r="I472" s="108"/>
      <c r="J472" s="440"/>
      <c r="K472" s="440"/>
      <c r="L472" s="440"/>
      <c r="M472" s="440"/>
      <c r="N472" s="440"/>
      <c r="O472" s="440"/>
      <c r="P472" s="440"/>
      <c r="Q472" s="440"/>
      <c r="R472" s="108"/>
      <c r="S472" s="440"/>
      <c r="T472" s="440"/>
      <c r="U472" s="440"/>
      <c r="V472" s="440"/>
      <c r="W472" s="440"/>
      <c r="X472" s="440"/>
      <c r="Y472" s="108"/>
      <c r="Z472" s="108"/>
    </row>
    <row r="473" ht="18.75" customHeight="1">
      <c r="A473" s="437"/>
      <c r="B473" s="438"/>
      <c r="C473" s="438"/>
      <c r="D473" s="438"/>
      <c r="E473" s="438"/>
      <c r="F473" s="438"/>
      <c r="G473" s="438"/>
      <c r="H473" s="108"/>
      <c r="I473" s="108"/>
      <c r="J473" s="440"/>
      <c r="K473" s="440"/>
      <c r="L473" s="440"/>
      <c r="M473" s="440"/>
      <c r="N473" s="440"/>
      <c r="O473" s="440"/>
      <c r="P473" s="440"/>
      <c r="Q473" s="440"/>
      <c r="R473" s="108"/>
      <c r="S473" s="440"/>
      <c r="T473" s="440"/>
      <c r="U473" s="440"/>
      <c r="V473" s="440"/>
      <c r="W473" s="440"/>
      <c r="X473" s="440"/>
      <c r="Y473" s="108"/>
      <c r="Z473" s="108"/>
    </row>
    <row r="474" ht="18.75" customHeight="1">
      <c r="A474" s="437"/>
      <c r="B474" s="438"/>
      <c r="C474" s="438"/>
      <c r="D474" s="438"/>
      <c r="E474" s="438"/>
      <c r="F474" s="438"/>
      <c r="G474" s="438"/>
      <c r="H474" s="108"/>
      <c r="I474" s="108"/>
      <c r="J474" s="440"/>
      <c r="K474" s="440"/>
      <c r="L474" s="440"/>
      <c r="M474" s="440"/>
      <c r="N474" s="440"/>
      <c r="O474" s="440"/>
      <c r="P474" s="440"/>
      <c r="Q474" s="440"/>
      <c r="R474" s="108"/>
      <c r="S474" s="440"/>
      <c r="T474" s="440"/>
      <c r="U474" s="440"/>
      <c r="V474" s="440"/>
      <c r="W474" s="440"/>
      <c r="X474" s="440"/>
      <c r="Y474" s="108"/>
      <c r="Z474" s="108"/>
    </row>
    <row r="475" ht="18.75" customHeight="1">
      <c r="A475" s="437"/>
      <c r="B475" s="438"/>
      <c r="C475" s="438"/>
      <c r="D475" s="438"/>
      <c r="E475" s="438"/>
      <c r="F475" s="438"/>
      <c r="G475" s="438"/>
      <c r="H475" s="108"/>
      <c r="I475" s="108"/>
      <c r="J475" s="440"/>
      <c r="K475" s="440"/>
      <c r="L475" s="440"/>
      <c r="M475" s="440"/>
      <c r="N475" s="440"/>
      <c r="O475" s="440"/>
      <c r="P475" s="440"/>
      <c r="Q475" s="440"/>
      <c r="R475" s="108"/>
      <c r="S475" s="440"/>
      <c r="T475" s="440"/>
      <c r="U475" s="440"/>
      <c r="V475" s="440"/>
      <c r="W475" s="440"/>
      <c r="X475" s="440"/>
      <c r="Y475" s="108"/>
      <c r="Z475" s="108"/>
    </row>
    <row r="476" ht="18.75" customHeight="1">
      <c r="A476" s="437"/>
      <c r="B476" s="438"/>
      <c r="C476" s="438"/>
      <c r="D476" s="438"/>
      <c r="E476" s="438"/>
      <c r="F476" s="438"/>
      <c r="G476" s="438"/>
      <c r="H476" s="108"/>
      <c r="I476" s="108"/>
      <c r="J476" s="440"/>
      <c r="K476" s="440"/>
      <c r="L476" s="440"/>
      <c r="M476" s="440"/>
      <c r="N476" s="440"/>
      <c r="O476" s="440"/>
      <c r="P476" s="440"/>
      <c r="Q476" s="440"/>
      <c r="R476" s="108"/>
      <c r="S476" s="440"/>
      <c r="T476" s="440"/>
      <c r="U476" s="440"/>
      <c r="V476" s="440"/>
      <c r="W476" s="440"/>
      <c r="X476" s="440"/>
      <c r="Y476" s="108"/>
      <c r="Z476" s="108"/>
    </row>
    <row r="477" ht="18.75" customHeight="1">
      <c r="A477" s="437"/>
      <c r="B477" s="438"/>
      <c r="C477" s="438"/>
      <c r="D477" s="438"/>
      <c r="E477" s="438"/>
      <c r="F477" s="438"/>
      <c r="G477" s="438"/>
      <c r="H477" s="108"/>
      <c r="I477" s="108"/>
      <c r="J477" s="440"/>
      <c r="K477" s="440"/>
      <c r="L477" s="440"/>
      <c r="M477" s="440"/>
      <c r="N477" s="440"/>
      <c r="O477" s="440"/>
      <c r="P477" s="440"/>
      <c r="Q477" s="440"/>
      <c r="R477" s="108"/>
      <c r="S477" s="440"/>
      <c r="T477" s="440"/>
      <c r="U477" s="440"/>
      <c r="V477" s="440"/>
      <c r="W477" s="440"/>
      <c r="X477" s="440"/>
      <c r="Y477" s="108"/>
      <c r="Z477" s="108"/>
    </row>
    <row r="478" ht="18.75" customHeight="1">
      <c r="A478" s="437"/>
      <c r="B478" s="438"/>
      <c r="C478" s="438"/>
      <c r="D478" s="438"/>
      <c r="E478" s="438"/>
      <c r="F478" s="438"/>
      <c r="G478" s="438"/>
      <c r="H478" s="108"/>
      <c r="I478" s="108"/>
      <c r="J478" s="440"/>
      <c r="K478" s="440"/>
      <c r="L478" s="440"/>
      <c r="M478" s="440"/>
      <c r="N478" s="440"/>
      <c r="O478" s="440"/>
      <c r="P478" s="440"/>
      <c r="Q478" s="440"/>
      <c r="R478" s="108"/>
      <c r="S478" s="440"/>
      <c r="T478" s="440"/>
      <c r="U478" s="440"/>
      <c r="V478" s="440"/>
      <c r="W478" s="440"/>
      <c r="X478" s="440"/>
      <c r="Y478" s="108"/>
      <c r="Z478" s="108"/>
    </row>
    <row r="479" ht="18.75" customHeight="1">
      <c r="A479" s="437"/>
      <c r="B479" s="438"/>
      <c r="C479" s="438"/>
      <c r="D479" s="438"/>
      <c r="E479" s="438"/>
      <c r="F479" s="438"/>
      <c r="G479" s="438"/>
      <c r="H479" s="108"/>
      <c r="I479" s="108"/>
      <c r="J479" s="440"/>
      <c r="K479" s="440"/>
      <c r="L479" s="440"/>
      <c r="M479" s="440"/>
      <c r="N479" s="440"/>
      <c r="O479" s="440"/>
      <c r="P479" s="440"/>
      <c r="Q479" s="440"/>
      <c r="R479" s="108"/>
      <c r="S479" s="440"/>
      <c r="T479" s="440"/>
      <c r="U479" s="440"/>
      <c r="V479" s="440"/>
      <c r="W479" s="440"/>
      <c r="X479" s="440"/>
      <c r="Y479" s="108"/>
      <c r="Z479" s="108"/>
    </row>
    <row r="480" ht="18.75" customHeight="1">
      <c r="A480" s="437"/>
      <c r="B480" s="438"/>
      <c r="C480" s="438"/>
      <c r="D480" s="438"/>
      <c r="E480" s="438"/>
      <c r="F480" s="438"/>
      <c r="G480" s="438"/>
      <c r="H480" s="108"/>
      <c r="I480" s="108"/>
      <c r="J480" s="440"/>
      <c r="K480" s="440"/>
      <c r="L480" s="440"/>
      <c r="M480" s="440"/>
      <c r="N480" s="440"/>
      <c r="O480" s="440"/>
      <c r="P480" s="440"/>
      <c r="Q480" s="440"/>
      <c r="R480" s="108"/>
      <c r="S480" s="440"/>
      <c r="T480" s="440"/>
      <c r="U480" s="440"/>
      <c r="V480" s="440"/>
      <c r="W480" s="440"/>
      <c r="X480" s="440"/>
      <c r="Y480" s="108"/>
      <c r="Z480" s="108"/>
    </row>
    <row r="481" ht="18.75" customHeight="1">
      <c r="A481" s="437"/>
      <c r="B481" s="438"/>
      <c r="C481" s="438"/>
      <c r="D481" s="438"/>
      <c r="E481" s="438"/>
      <c r="F481" s="438"/>
      <c r="G481" s="438"/>
      <c r="H481" s="108"/>
      <c r="I481" s="108"/>
      <c r="J481" s="440"/>
      <c r="K481" s="440"/>
      <c r="L481" s="440"/>
      <c r="M481" s="440"/>
      <c r="N481" s="440"/>
      <c r="O481" s="440"/>
      <c r="P481" s="440"/>
      <c r="Q481" s="440"/>
      <c r="R481" s="108"/>
      <c r="S481" s="440"/>
      <c r="T481" s="440"/>
      <c r="U481" s="440"/>
      <c r="V481" s="440"/>
      <c r="W481" s="440"/>
      <c r="X481" s="440"/>
      <c r="Y481" s="108"/>
      <c r="Z481" s="108"/>
    </row>
    <row r="482" ht="18.75" customHeight="1">
      <c r="A482" s="437"/>
      <c r="B482" s="438"/>
      <c r="C482" s="438"/>
      <c r="D482" s="438"/>
      <c r="E482" s="438"/>
      <c r="F482" s="438"/>
      <c r="G482" s="438"/>
      <c r="H482" s="108"/>
      <c r="I482" s="108"/>
      <c r="J482" s="440"/>
      <c r="K482" s="440"/>
      <c r="L482" s="440"/>
      <c r="M482" s="440"/>
      <c r="N482" s="440"/>
      <c r="O482" s="440"/>
      <c r="P482" s="440"/>
      <c r="Q482" s="440"/>
      <c r="R482" s="108"/>
      <c r="S482" s="440"/>
      <c r="T482" s="440"/>
      <c r="U482" s="440"/>
      <c r="V482" s="440"/>
      <c r="W482" s="440"/>
      <c r="X482" s="440"/>
      <c r="Y482" s="108"/>
      <c r="Z482" s="108"/>
    </row>
    <row r="483" ht="18.75" customHeight="1">
      <c r="A483" s="437"/>
      <c r="B483" s="438"/>
      <c r="C483" s="438"/>
      <c r="D483" s="438"/>
      <c r="E483" s="438"/>
      <c r="F483" s="438"/>
      <c r="G483" s="438"/>
      <c r="H483" s="108"/>
      <c r="I483" s="108"/>
      <c r="J483" s="440"/>
      <c r="K483" s="440"/>
      <c r="L483" s="440"/>
      <c r="M483" s="440"/>
      <c r="N483" s="440"/>
      <c r="O483" s="440"/>
      <c r="P483" s="440"/>
      <c r="Q483" s="440"/>
      <c r="R483" s="108"/>
      <c r="S483" s="440"/>
      <c r="T483" s="440"/>
      <c r="U483" s="440"/>
      <c r="V483" s="440"/>
      <c r="W483" s="440"/>
      <c r="X483" s="440"/>
      <c r="Y483" s="108"/>
      <c r="Z483" s="108"/>
    </row>
    <row r="484" ht="18.75" customHeight="1">
      <c r="A484" s="437"/>
      <c r="B484" s="438"/>
      <c r="C484" s="438"/>
      <c r="D484" s="438"/>
      <c r="E484" s="438"/>
      <c r="F484" s="438"/>
      <c r="G484" s="438"/>
      <c r="H484" s="108"/>
      <c r="I484" s="108"/>
      <c r="J484" s="440"/>
      <c r="K484" s="440"/>
      <c r="L484" s="440"/>
      <c r="M484" s="440"/>
      <c r="N484" s="440"/>
      <c r="O484" s="440"/>
      <c r="P484" s="440"/>
      <c r="Q484" s="440"/>
      <c r="R484" s="108"/>
      <c r="S484" s="440"/>
      <c r="T484" s="440"/>
      <c r="U484" s="440"/>
      <c r="V484" s="440"/>
      <c r="W484" s="440"/>
      <c r="X484" s="440"/>
      <c r="Y484" s="108"/>
      <c r="Z484" s="108"/>
    </row>
    <row r="485" ht="18.75" customHeight="1">
      <c r="A485" s="437"/>
      <c r="B485" s="438"/>
      <c r="C485" s="438"/>
      <c r="D485" s="438"/>
      <c r="E485" s="438"/>
      <c r="F485" s="438"/>
      <c r="G485" s="438"/>
      <c r="H485" s="108"/>
      <c r="I485" s="108"/>
      <c r="J485" s="440"/>
      <c r="K485" s="440"/>
      <c r="L485" s="440"/>
      <c r="M485" s="440"/>
      <c r="N485" s="440"/>
      <c r="O485" s="440"/>
      <c r="P485" s="440"/>
      <c r="Q485" s="440"/>
      <c r="R485" s="108"/>
      <c r="S485" s="440"/>
      <c r="T485" s="440"/>
      <c r="U485" s="440"/>
      <c r="V485" s="440"/>
      <c r="W485" s="440"/>
      <c r="X485" s="440"/>
      <c r="Y485" s="108"/>
      <c r="Z485" s="108"/>
    </row>
    <row r="486" ht="18.75" customHeight="1">
      <c r="A486" s="437"/>
      <c r="B486" s="438"/>
      <c r="C486" s="438"/>
      <c r="D486" s="438"/>
      <c r="E486" s="438"/>
      <c r="F486" s="438"/>
      <c r="G486" s="438"/>
      <c r="H486" s="108"/>
      <c r="I486" s="108"/>
      <c r="J486" s="440"/>
      <c r="K486" s="440"/>
      <c r="L486" s="440"/>
      <c r="M486" s="440"/>
      <c r="N486" s="440"/>
      <c r="O486" s="440"/>
      <c r="P486" s="440"/>
      <c r="Q486" s="440"/>
      <c r="R486" s="108"/>
      <c r="S486" s="440"/>
      <c r="T486" s="440"/>
      <c r="U486" s="440"/>
      <c r="V486" s="440"/>
      <c r="W486" s="440"/>
      <c r="X486" s="440"/>
      <c r="Y486" s="108"/>
      <c r="Z486" s="108"/>
    </row>
    <row r="487" ht="18.75" customHeight="1">
      <c r="A487" s="437"/>
      <c r="B487" s="438"/>
      <c r="C487" s="438"/>
      <c r="D487" s="438"/>
      <c r="E487" s="438"/>
      <c r="F487" s="438"/>
      <c r="G487" s="438"/>
      <c r="H487" s="108"/>
      <c r="I487" s="108"/>
      <c r="J487" s="440"/>
      <c r="K487" s="440"/>
      <c r="L487" s="440"/>
      <c r="M487" s="440"/>
      <c r="N487" s="440"/>
      <c r="O487" s="440"/>
      <c r="P487" s="440"/>
      <c r="Q487" s="440"/>
      <c r="R487" s="108"/>
      <c r="S487" s="440"/>
      <c r="T487" s="440"/>
      <c r="U487" s="440"/>
      <c r="V487" s="440"/>
      <c r="W487" s="440"/>
      <c r="X487" s="440"/>
      <c r="Y487" s="108"/>
      <c r="Z487" s="108"/>
    </row>
    <row r="488" ht="18.75" customHeight="1">
      <c r="A488" s="437"/>
      <c r="B488" s="438"/>
      <c r="C488" s="438"/>
      <c r="D488" s="438"/>
      <c r="E488" s="438"/>
      <c r="F488" s="438"/>
      <c r="G488" s="438"/>
      <c r="H488" s="108"/>
      <c r="I488" s="108"/>
      <c r="J488" s="440"/>
      <c r="K488" s="440"/>
      <c r="L488" s="440"/>
      <c r="M488" s="440"/>
      <c r="N488" s="440"/>
      <c r="O488" s="440"/>
      <c r="P488" s="440"/>
      <c r="Q488" s="440"/>
      <c r="R488" s="108"/>
      <c r="S488" s="440"/>
      <c r="T488" s="440"/>
      <c r="U488" s="440"/>
      <c r="V488" s="440"/>
      <c r="W488" s="440"/>
      <c r="X488" s="440"/>
      <c r="Y488" s="108"/>
      <c r="Z488" s="108"/>
    </row>
    <row r="489" ht="18.75" customHeight="1">
      <c r="A489" s="437"/>
      <c r="B489" s="438"/>
      <c r="C489" s="438"/>
      <c r="D489" s="438"/>
      <c r="E489" s="438"/>
      <c r="F489" s="438"/>
      <c r="G489" s="438"/>
      <c r="H489" s="108"/>
      <c r="I489" s="108"/>
      <c r="J489" s="440"/>
      <c r="K489" s="440"/>
      <c r="L489" s="440"/>
      <c r="M489" s="440"/>
      <c r="N489" s="440"/>
      <c r="O489" s="440"/>
      <c r="P489" s="440"/>
      <c r="Q489" s="440"/>
      <c r="R489" s="108"/>
      <c r="S489" s="440"/>
      <c r="T489" s="440"/>
      <c r="U489" s="440"/>
      <c r="V489" s="440"/>
      <c r="W489" s="440"/>
      <c r="X489" s="440"/>
      <c r="Y489" s="108"/>
      <c r="Z489" s="108"/>
    </row>
    <row r="490" ht="18.75" customHeight="1">
      <c r="A490" s="437"/>
      <c r="B490" s="438"/>
      <c r="C490" s="438"/>
      <c r="D490" s="438"/>
      <c r="E490" s="438"/>
      <c r="F490" s="438"/>
      <c r="G490" s="438"/>
      <c r="H490" s="108"/>
      <c r="I490" s="108"/>
      <c r="J490" s="440"/>
      <c r="K490" s="440"/>
      <c r="L490" s="440"/>
      <c r="M490" s="440"/>
      <c r="N490" s="440"/>
      <c r="O490" s="440"/>
      <c r="P490" s="440"/>
      <c r="Q490" s="440"/>
      <c r="R490" s="108"/>
      <c r="S490" s="440"/>
      <c r="T490" s="440"/>
      <c r="U490" s="440"/>
      <c r="V490" s="440"/>
      <c r="W490" s="440"/>
      <c r="X490" s="440"/>
      <c r="Y490" s="108"/>
      <c r="Z490" s="108"/>
    </row>
    <row r="491" ht="18.75" customHeight="1">
      <c r="A491" s="437"/>
      <c r="B491" s="438"/>
      <c r="C491" s="438"/>
      <c r="D491" s="438"/>
      <c r="E491" s="438"/>
      <c r="F491" s="438"/>
      <c r="G491" s="438"/>
      <c r="H491" s="108"/>
      <c r="I491" s="108"/>
      <c r="J491" s="440"/>
      <c r="K491" s="440"/>
      <c r="L491" s="440"/>
      <c r="M491" s="440"/>
      <c r="N491" s="440"/>
      <c r="O491" s="440"/>
      <c r="P491" s="440"/>
      <c r="Q491" s="440"/>
      <c r="R491" s="108"/>
      <c r="S491" s="440"/>
      <c r="T491" s="440"/>
      <c r="U491" s="440"/>
      <c r="V491" s="440"/>
      <c r="W491" s="440"/>
      <c r="X491" s="440"/>
      <c r="Y491" s="108"/>
      <c r="Z491" s="108"/>
    </row>
    <row r="492" ht="18.75" customHeight="1">
      <c r="A492" s="437"/>
      <c r="B492" s="438"/>
      <c r="C492" s="438"/>
      <c r="D492" s="438"/>
      <c r="E492" s="438"/>
      <c r="F492" s="438"/>
      <c r="G492" s="438"/>
      <c r="H492" s="108"/>
      <c r="I492" s="108"/>
      <c r="J492" s="440"/>
      <c r="K492" s="440"/>
      <c r="L492" s="440"/>
      <c r="M492" s="440"/>
      <c r="N492" s="440"/>
      <c r="O492" s="440"/>
      <c r="P492" s="440"/>
      <c r="Q492" s="440"/>
      <c r="R492" s="108"/>
      <c r="S492" s="440"/>
      <c r="T492" s="440"/>
      <c r="U492" s="440"/>
      <c r="V492" s="440"/>
      <c r="W492" s="440"/>
      <c r="X492" s="440"/>
      <c r="Y492" s="108"/>
      <c r="Z492" s="108"/>
    </row>
    <row r="493" ht="18.75" customHeight="1">
      <c r="A493" s="437"/>
      <c r="B493" s="438"/>
      <c r="C493" s="438"/>
      <c r="D493" s="438"/>
      <c r="E493" s="438"/>
      <c r="F493" s="438"/>
      <c r="G493" s="438"/>
      <c r="H493" s="108"/>
      <c r="I493" s="108"/>
      <c r="J493" s="440"/>
      <c r="K493" s="440"/>
      <c r="L493" s="440"/>
      <c r="M493" s="440"/>
      <c r="N493" s="440"/>
      <c r="O493" s="440"/>
      <c r="P493" s="440"/>
      <c r="Q493" s="440"/>
      <c r="R493" s="108"/>
      <c r="S493" s="440"/>
      <c r="T493" s="440"/>
      <c r="U493" s="440"/>
      <c r="V493" s="440"/>
      <c r="W493" s="440"/>
      <c r="X493" s="440"/>
      <c r="Y493" s="108"/>
      <c r="Z493" s="108"/>
    </row>
    <row r="494" ht="18.75" customHeight="1">
      <c r="A494" s="437"/>
      <c r="B494" s="438"/>
      <c r="C494" s="438"/>
      <c r="D494" s="438"/>
      <c r="E494" s="438"/>
      <c r="F494" s="438"/>
      <c r="G494" s="438"/>
      <c r="H494" s="108"/>
      <c r="I494" s="108"/>
      <c r="J494" s="440"/>
      <c r="K494" s="440"/>
      <c r="L494" s="440"/>
      <c r="M494" s="440"/>
      <c r="N494" s="440"/>
      <c r="O494" s="440"/>
      <c r="P494" s="440"/>
      <c r="Q494" s="440"/>
      <c r="R494" s="108"/>
      <c r="S494" s="440"/>
      <c r="T494" s="440"/>
      <c r="U494" s="440"/>
      <c r="V494" s="440"/>
      <c r="W494" s="440"/>
      <c r="X494" s="440"/>
      <c r="Y494" s="108"/>
      <c r="Z494" s="108"/>
    </row>
    <row r="495" ht="18.75" customHeight="1">
      <c r="A495" s="437"/>
      <c r="B495" s="438"/>
      <c r="C495" s="438"/>
      <c r="D495" s="438"/>
      <c r="E495" s="438"/>
      <c r="F495" s="438"/>
      <c r="G495" s="438"/>
      <c r="H495" s="108"/>
      <c r="I495" s="108"/>
      <c r="J495" s="440"/>
      <c r="K495" s="440"/>
      <c r="L495" s="440"/>
      <c r="M495" s="440"/>
      <c r="N495" s="440"/>
      <c r="O495" s="440"/>
      <c r="P495" s="440"/>
      <c r="Q495" s="440"/>
      <c r="R495" s="108"/>
      <c r="S495" s="440"/>
      <c r="T495" s="440"/>
      <c r="U495" s="440"/>
      <c r="V495" s="440"/>
      <c r="W495" s="440"/>
      <c r="X495" s="440"/>
      <c r="Y495" s="108"/>
      <c r="Z495" s="108"/>
    </row>
    <row r="496" ht="18.75" customHeight="1">
      <c r="A496" s="437"/>
      <c r="B496" s="438"/>
      <c r="C496" s="438"/>
      <c r="D496" s="438"/>
      <c r="E496" s="438"/>
      <c r="F496" s="438"/>
      <c r="G496" s="438"/>
      <c r="H496" s="108"/>
      <c r="I496" s="108"/>
      <c r="J496" s="440"/>
      <c r="K496" s="440"/>
      <c r="L496" s="440"/>
      <c r="M496" s="440"/>
      <c r="N496" s="440"/>
      <c r="O496" s="440"/>
      <c r="P496" s="440"/>
      <c r="Q496" s="440"/>
      <c r="R496" s="108"/>
      <c r="S496" s="440"/>
      <c r="T496" s="440"/>
      <c r="U496" s="440"/>
      <c r="V496" s="440"/>
      <c r="W496" s="440"/>
      <c r="X496" s="440"/>
      <c r="Y496" s="108"/>
      <c r="Z496" s="108"/>
    </row>
    <row r="497" ht="18.75" customHeight="1">
      <c r="A497" s="437"/>
      <c r="B497" s="438"/>
      <c r="C497" s="438"/>
      <c r="D497" s="438"/>
      <c r="E497" s="438"/>
      <c r="F497" s="438"/>
      <c r="G497" s="438"/>
      <c r="H497" s="108"/>
      <c r="I497" s="108"/>
      <c r="J497" s="440"/>
      <c r="K497" s="440"/>
      <c r="L497" s="440"/>
      <c r="M497" s="440"/>
      <c r="N497" s="440"/>
      <c r="O497" s="440"/>
      <c r="P497" s="440"/>
      <c r="Q497" s="440"/>
      <c r="R497" s="108"/>
      <c r="S497" s="440"/>
      <c r="T497" s="440"/>
      <c r="U497" s="440"/>
      <c r="V497" s="440"/>
      <c r="W497" s="440"/>
      <c r="X497" s="440"/>
      <c r="Y497" s="108"/>
      <c r="Z497" s="108"/>
    </row>
    <row r="498" ht="18.75" customHeight="1">
      <c r="A498" s="437"/>
      <c r="B498" s="438"/>
      <c r="C498" s="438"/>
      <c r="D498" s="438"/>
      <c r="E498" s="438"/>
      <c r="F498" s="438"/>
      <c r="G498" s="438"/>
      <c r="H498" s="108"/>
      <c r="I498" s="108"/>
      <c r="J498" s="440"/>
      <c r="K498" s="440"/>
      <c r="L498" s="440"/>
      <c r="M498" s="440"/>
      <c r="N498" s="440"/>
      <c r="O498" s="440"/>
      <c r="P498" s="440"/>
      <c r="Q498" s="440"/>
      <c r="R498" s="108"/>
      <c r="S498" s="440"/>
      <c r="T498" s="440"/>
      <c r="U498" s="440"/>
      <c r="V498" s="440"/>
      <c r="W498" s="440"/>
      <c r="X498" s="440"/>
      <c r="Y498" s="108"/>
      <c r="Z498" s="108"/>
    </row>
    <row r="499" ht="18.75" customHeight="1">
      <c r="A499" s="437"/>
      <c r="B499" s="438"/>
      <c r="C499" s="438"/>
      <c r="D499" s="438"/>
      <c r="E499" s="438"/>
      <c r="F499" s="438"/>
      <c r="G499" s="438"/>
      <c r="H499" s="108"/>
      <c r="I499" s="108"/>
      <c r="J499" s="440"/>
      <c r="K499" s="440"/>
      <c r="L499" s="440"/>
      <c r="M499" s="440"/>
      <c r="N499" s="440"/>
      <c r="O499" s="440"/>
      <c r="P499" s="440"/>
      <c r="Q499" s="440"/>
      <c r="R499" s="108"/>
      <c r="S499" s="440"/>
      <c r="T499" s="440"/>
      <c r="U499" s="440"/>
      <c r="V499" s="440"/>
      <c r="W499" s="440"/>
      <c r="X499" s="440"/>
      <c r="Y499" s="108"/>
      <c r="Z499" s="108"/>
    </row>
    <row r="500" ht="18.75" customHeight="1">
      <c r="A500" s="437"/>
      <c r="B500" s="438"/>
      <c r="C500" s="438"/>
      <c r="D500" s="438"/>
      <c r="E500" s="438"/>
      <c r="F500" s="438"/>
      <c r="G500" s="438"/>
      <c r="H500" s="108"/>
      <c r="I500" s="108"/>
      <c r="J500" s="440"/>
      <c r="K500" s="440"/>
      <c r="L500" s="440"/>
      <c r="M500" s="440"/>
      <c r="N500" s="440"/>
      <c r="O500" s="440"/>
      <c r="P500" s="440"/>
      <c r="Q500" s="440"/>
      <c r="R500" s="108"/>
      <c r="S500" s="440"/>
      <c r="T500" s="440"/>
      <c r="U500" s="440"/>
      <c r="V500" s="440"/>
      <c r="W500" s="440"/>
      <c r="X500" s="440"/>
      <c r="Y500" s="108"/>
      <c r="Z500" s="108"/>
    </row>
    <row r="501" ht="18.75" customHeight="1">
      <c r="A501" s="437"/>
      <c r="B501" s="438"/>
      <c r="C501" s="438"/>
      <c r="D501" s="438"/>
      <c r="E501" s="438"/>
      <c r="F501" s="438"/>
      <c r="G501" s="438"/>
      <c r="H501" s="108"/>
      <c r="I501" s="108"/>
      <c r="J501" s="440"/>
      <c r="K501" s="440"/>
      <c r="L501" s="440"/>
      <c r="M501" s="440"/>
      <c r="N501" s="440"/>
      <c r="O501" s="440"/>
      <c r="P501" s="440"/>
      <c r="Q501" s="440"/>
      <c r="R501" s="108"/>
      <c r="S501" s="440"/>
      <c r="T501" s="440"/>
      <c r="U501" s="440"/>
      <c r="V501" s="440"/>
      <c r="W501" s="440"/>
      <c r="X501" s="440"/>
      <c r="Y501" s="108"/>
      <c r="Z501" s="108"/>
    </row>
    <row r="502" ht="18.75" customHeight="1">
      <c r="A502" s="437"/>
      <c r="B502" s="438"/>
      <c r="C502" s="438"/>
      <c r="D502" s="438"/>
      <c r="E502" s="438"/>
      <c r="F502" s="438"/>
      <c r="G502" s="438"/>
      <c r="H502" s="108"/>
      <c r="I502" s="108"/>
      <c r="J502" s="440"/>
      <c r="K502" s="440"/>
      <c r="L502" s="440"/>
      <c r="M502" s="440"/>
      <c r="N502" s="440"/>
      <c r="O502" s="440"/>
      <c r="P502" s="440"/>
      <c r="Q502" s="440"/>
      <c r="R502" s="108"/>
      <c r="S502" s="440"/>
      <c r="T502" s="440"/>
      <c r="U502" s="440"/>
      <c r="V502" s="440"/>
      <c r="W502" s="440"/>
      <c r="X502" s="440"/>
      <c r="Y502" s="108"/>
      <c r="Z502" s="108"/>
    </row>
    <row r="503" ht="18.75" customHeight="1">
      <c r="A503" s="437"/>
      <c r="B503" s="438"/>
      <c r="C503" s="438"/>
      <c r="D503" s="438"/>
      <c r="E503" s="438"/>
      <c r="F503" s="438"/>
      <c r="G503" s="438"/>
      <c r="H503" s="108"/>
      <c r="I503" s="108"/>
      <c r="J503" s="440"/>
      <c r="K503" s="440"/>
      <c r="L503" s="440"/>
      <c r="M503" s="440"/>
      <c r="N503" s="440"/>
      <c r="O503" s="440"/>
      <c r="P503" s="440"/>
      <c r="Q503" s="440"/>
      <c r="R503" s="108"/>
      <c r="S503" s="440"/>
      <c r="T503" s="440"/>
      <c r="U503" s="440"/>
      <c r="V503" s="440"/>
      <c r="W503" s="440"/>
      <c r="X503" s="440"/>
      <c r="Y503" s="108"/>
      <c r="Z503" s="108"/>
    </row>
    <row r="504" ht="18.75" customHeight="1">
      <c r="A504" s="437"/>
      <c r="B504" s="438"/>
      <c r="C504" s="438"/>
      <c r="D504" s="438"/>
      <c r="E504" s="438"/>
      <c r="F504" s="438"/>
      <c r="G504" s="438"/>
      <c r="H504" s="108"/>
      <c r="I504" s="108"/>
      <c r="J504" s="440"/>
      <c r="K504" s="440"/>
      <c r="L504" s="440"/>
      <c r="M504" s="440"/>
      <c r="N504" s="440"/>
      <c r="O504" s="440"/>
      <c r="P504" s="440"/>
      <c r="Q504" s="440"/>
      <c r="R504" s="108"/>
      <c r="S504" s="440"/>
      <c r="T504" s="440"/>
      <c r="U504" s="440"/>
      <c r="V504" s="440"/>
      <c r="W504" s="440"/>
      <c r="X504" s="440"/>
      <c r="Y504" s="108"/>
      <c r="Z504" s="108"/>
    </row>
    <row r="505" ht="18.75" customHeight="1">
      <c r="A505" s="437"/>
      <c r="B505" s="438"/>
      <c r="C505" s="438"/>
      <c r="D505" s="438"/>
      <c r="E505" s="438"/>
      <c r="F505" s="438"/>
      <c r="G505" s="438"/>
      <c r="H505" s="108"/>
      <c r="I505" s="108"/>
      <c r="J505" s="440"/>
      <c r="K505" s="440"/>
      <c r="L505" s="440"/>
      <c r="M505" s="440"/>
      <c r="N505" s="440"/>
      <c r="O505" s="440"/>
      <c r="P505" s="440"/>
      <c r="Q505" s="440"/>
      <c r="R505" s="108"/>
      <c r="S505" s="440"/>
      <c r="T505" s="440"/>
      <c r="U505" s="440"/>
      <c r="V505" s="440"/>
      <c r="W505" s="440"/>
      <c r="X505" s="440"/>
      <c r="Y505" s="108"/>
      <c r="Z505" s="108"/>
    </row>
    <row r="506" ht="18.75" customHeight="1">
      <c r="A506" s="437"/>
      <c r="B506" s="438"/>
      <c r="C506" s="438"/>
      <c r="D506" s="438"/>
      <c r="E506" s="438"/>
      <c r="F506" s="438"/>
      <c r="G506" s="438"/>
      <c r="H506" s="108"/>
      <c r="I506" s="108"/>
      <c r="J506" s="440"/>
      <c r="K506" s="440"/>
      <c r="L506" s="440"/>
      <c r="M506" s="440"/>
      <c r="N506" s="440"/>
      <c r="O506" s="440"/>
      <c r="P506" s="440"/>
      <c r="Q506" s="440"/>
      <c r="R506" s="108"/>
      <c r="S506" s="440"/>
      <c r="T506" s="440"/>
      <c r="U506" s="440"/>
      <c r="V506" s="440"/>
      <c r="W506" s="440"/>
      <c r="X506" s="440"/>
      <c r="Y506" s="108"/>
      <c r="Z506" s="108"/>
    </row>
    <row r="507" ht="18.75" customHeight="1">
      <c r="A507" s="437"/>
      <c r="B507" s="438"/>
      <c r="C507" s="438"/>
      <c r="D507" s="438"/>
      <c r="E507" s="438"/>
      <c r="F507" s="438"/>
      <c r="G507" s="438"/>
      <c r="H507" s="108"/>
      <c r="I507" s="108"/>
      <c r="J507" s="440"/>
      <c r="K507" s="440"/>
      <c r="L507" s="440"/>
      <c r="M507" s="440"/>
      <c r="N507" s="440"/>
      <c r="O507" s="440"/>
      <c r="P507" s="440"/>
      <c r="Q507" s="440"/>
      <c r="R507" s="108"/>
      <c r="S507" s="440"/>
      <c r="T507" s="440"/>
      <c r="U507" s="440"/>
      <c r="V507" s="440"/>
      <c r="W507" s="440"/>
      <c r="X507" s="440"/>
      <c r="Y507" s="108"/>
      <c r="Z507" s="108"/>
    </row>
    <row r="508" ht="18.75" customHeight="1">
      <c r="A508" s="437"/>
      <c r="B508" s="438"/>
      <c r="C508" s="438"/>
      <c r="D508" s="438"/>
      <c r="E508" s="438"/>
      <c r="F508" s="438"/>
      <c r="G508" s="438"/>
      <c r="H508" s="108"/>
      <c r="I508" s="108"/>
      <c r="J508" s="440"/>
      <c r="K508" s="440"/>
      <c r="L508" s="440"/>
      <c r="M508" s="440"/>
      <c r="N508" s="440"/>
      <c r="O508" s="440"/>
      <c r="P508" s="440"/>
      <c r="Q508" s="440"/>
      <c r="R508" s="108"/>
      <c r="S508" s="440"/>
      <c r="T508" s="440"/>
      <c r="U508" s="440"/>
      <c r="V508" s="440"/>
      <c r="W508" s="440"/>
      <c r="X508" s="440"/>
      <c r="Y508" s="108"/>
      <c r="Z508" s="108"/>
    </row>
    <row r="509" ht="18.75" customHeight="1">
      <c r="A509" s="437"/>
      <c r="B509" s="438"/>
      <c r="C509" s="438"/>
      <c r="D509" s="438"/>
      <c r="E509" s="438"/>
      <c r="F509" s="438"/>
      <c r="G509" s="438"/>
      <c r="H509" s="108"/>
      <c r="I509" s="108"/>
      <c r="J509" s="440"/>
      <c r="K509" s="440"/>
      <c r="L509" s="440"/>
      <c r="M509" s="440"/>
      <c r="N509" s="440"/>
      <c r="O509" s="440"/>
      <c r="P509" s="440"/>
      <c r="Q509" s="440"/>
      <c r="R509" s="108"/>
      <c r="S509" s="440"/>
      <c r="T509" s="440"/>
      <c r="U509" s="440"/>
      <c r="V509" s="440"/>
      <c r="W509" s="440"/>
      <c r="X509" s="440"/>
      <c r="Y509" s="108"/>
      <c r="Z509" s="108"/>
    </row>
    <row r="510" ht="18.75" customHeight="1">
      <c r="A510" s="437"/>
      <c r="B510" s="438"/>
      <c r="C510" s="438"/>
      <c r="D510" s="438"/>
      <c r="E510" s="438"/>
      <c r="F510" s="438"/>
      <c r="G510" s="438"/>
      <c r="H510" s="108"/>
      <c r="I510" s="108"/>
      <c r="J510" s="440"/>
      <c r="K510" s="440"/>
      <c r="L510" s="440"/>
      <c r="M510" s="440"/>
      <c r="N510" s="440"/>
      <c r="O510" s="440"/>
      <c r="P510" s="440"/>
      <c r="Q510" s="440"/>
      <c r="R510" s="108"/>
      <c r="S510" s="440"/>
      <c r="T510" s="440"/>
      <c r="U510" s="440"/>
      <c r="V510" s="440"/>
      <c r="W510" s="440"/>
      <c r="X510" s="440"/>
      <c r="Y510" s="108"/>
      <c r="Z510" s="108"/>
    </row>
    <row r="511" ht="18.75" customHeight="1">
      <c r="A511" s="437"/>
      <c r="B511" s="438"/>
      <c r="C511" s="438"/>
      <c r="D511" s="438"/>
      <c r="E511" s="438"/>
      <c r="F511" s="438"/>
      <c r="G511" s="438"/>
      <c r="H511" s="108"/>
      <c r="I511" s="108"/>
      <c r="J511" s="440"/>
      <c r="K511" s="440"/>
      <c r="L511" s="440"/>
      <c r="M511" s="440"/>
      <c r="N511" s="440"/>
      <c r="O511" s="440"/>
      <c r="P511" s="440"/>
      <c r="Q511" s="440"/>
      <c r="R511" s="108"/>
      <c r="S511" s="440"/>
      <c r="T511" s="440"/>
      <c r="U511" s="440"/>
      <c r="V511" s="440"/>
      <c r="W511" s="440"/>
      <c r="X511" s="440"/>
      <c r="Y511" s="108"/>
      <c r="Z511" s="108"/>
    </row>
    <row r="512" ht="18.75" customHeight="1">
      <c r="A512" s="437"/>
      <c r="B512" s="438"/>
      <c r="C512" s="438"/>
      <c r="D512" s="438"/>
      <c r="E512" s="438"/>
      <c r="F512" s="438"/>
      <c r="G512" s="438"/>
      <c r="H512" s="108"/>
      <c r="I512" s="108"/>
      <c r="J512" s="440"/>
      <c r="K512" s="440"/>
      <c r="L512" s="440"/>
      <c r="M512" s="440"/>
      <c r="N512" s="440"/>
      <c r="O512" s="440"/>
      <c r="P512" s="440"/>
      <c r="Q512" s="440"/>
      <c r="R512" s="108"/>
      <c r="S512" s="440"/>
      <c r="T512" s="440"/>
      <c r="U512" s="440"/>
      <c r="V512" s="440"/>
      <c r="W512" s="440"/>
      <c r="X512" s="440"/>
      <c r="Y512" s="108"/>
      <c r="Z512" s="108"/>
    </row>
    <row r="513" ht="18.75" customHeight="1">
      <c r="A513" s="437"/>
      <c r="B513" s="438"/>
      <c r="C513" s="438"/>
      <c r="D513" s="438"/>
      <c r="E513" s="438"/>
      <c r="F513" s="438"/>
      <c r="G513" s="438"/>
      <c r="H513" s="108"/>
      <c r="I513" s="108"/>
      <c r="J513" s="440"/>
      <c r="K513" s="440"/>
      <c r="L513" s="440"/>
      <c r="M513" s="440"/>
      <c r="N513" s="440"/>
      <c r="O513" s="440"/>
      <c r="P513" s="440"/>
      <c r="Q513" s="440"/>
      <c r="R513" s="108"/>
      <c r="S513" s="440"/>
      <c r="T513" s="440"/>
      <c r="U513" s="440"/>
      <c r="V513" s="440"/>
      <c r="W513" s="440"/>
      <c r="X513" s="440"/>
      <c r="Y513" s="108"/>
      <c r="Z513" s="108"/>
    </row>
    <row r="514" ht="18.75" customHeight="1">
      <c r="A514" s="437"/>
      <c r="B514" s="438"/>
      <c r="C514" s="438"/>
      <c r="D514" s="438"/>
      <c r="E514" s="438"/>
      <c r="F514" s="438"/>
      <c r="G514" s="438"/>
      <c r="H514" s="108"/>
      <c r="I514" s="108"/>
      <c r="J514" s="440"/>
      <c r="K514" s="440"/>
      <c r="L514" s="440"/>
      <c r="M514" s="440"/>
      <c r="N514" s="440"/>
      <c r="O514" s="440"/>
      <c r="P514" s="440"/>
      <c r="Q514" s="440"/>
      <c r="R514" s="108"/>
      <c r="S514" s="440"/>
      <c r="T514" s="440"/>
      <c r="U514" s="440"/>
      <c r="V514" s="440"/>
      <c r="W514" s="440"/>
      <c r="X514" s="440"/>
      <c r="Y514" s="108"/>
      <c r="Z514" s="108"/>
    </row>
    <row r="515" ht="18.75" customHeight="1">
      <c r="A515" s="437"/>
      <c r="B515" s="438"/>
      <c r="C515" s="438"/>
      <c r="D515" s="438"/>
      <c r="E515" s="438"/>
      <c r="F515" s="438"/>
      <c r="G515" s="438"/>
      <c r="H515" s="108"/>
      <c r="I515" s="108"/>
      <c r="J515" s="440"/>
      <c r="K515" s="440"/>
      <c r="L515" s="440"/>
      <c r="M515" s="440"/>
      <c r="N515" s="440"/>
      <c r="O515" s="440"/>
      <c r="P515" s="440"/>
      <c r="Q515" s="440"/>
      <c r="R515" s="108"/>
      <c r="S515" s="440"/>
      <c r="T515" s="440"/>
      <c r="U515" s="440"/>
      <c r="V515" s="440"/>
      <c r="W515" s="440"/>
      <c r="X515" s="440"/>
      <c r="Y515" s="108"/>
      <c r="Z515" s="108"/>
    </row>
    <row r="516" ht="18.75" customHeight="1">
      <c r="A516" s="437"/>
      <c r="B516" s="438"/>
      <c r="C516" s="438"/>
      <c r="D516" s="438"/>
      <c r="E516" s="438"/>
      <c r="F516" s="438"/>
      <c r="G516" s="438"/>
      <c r="H516" s="108"/>
      <c r="I516" s="108"/>
      <c r="J516" s="440"/>
      <c r="K516" s="440"/>
      <c r="L516" s="440"/>
      <c r="M516" s="440"/>
      <c r="N516" s="440"/>
      <c r="O516" s="440"/>
      <c r="P516" s="440"/>
      <c r="Q516" s="440"/>
      <c r="R516" s="108"/>
      <c r="S516" s="440"/>
      <c r="T516" s="440"/>
      <c r="U516" s="440"/>
      <c r="V516" s="440"/>
      <c r="W516" s="440"/>
      <c r="X516" s="440"/>
      <c r="Y516" s="108"/>
      <c r="Z516" s="108"/>
    </row>
    <row r="517" ht="18.75" customHeight="1">
      <c r="A517" s="437"/>
      <c r="B517" s="438"/>
      <c r="C517" s="438"/>
      <c r="D517" s="438"/>
      <c r="E517" s="438"/>
      <c r="F517" s="438"/>
      <c r="G517" s="438"/>
      <c r="H517" s="108"/>
      <c r="I517" s="108"/>
      <c r="J517" s="440"/>
      <c r="K517" s="440"/>
      <c r="L517" s="440"/>
      <c r="M517" s="440"/>
      <c r="N517" s="440"/>
      <c r="O517" s="440"/>
      <c r="P517" s="440"/>
      <c r="Q517" s="440"/>
      <c r="R517" s="108"/>
      <c r="S517" s="440"/>
      <c r="T517" s="440"/>
      <c r="U517" s="440"/>
      <c r="V517" s="440"/>
      <c r="W517" s="440"/>
      <c r="X517" s="440"/>
      <c r="Y517" s="108"/>
      <c r="Z517" s="108"/>
    </row>
    <row r="518" ht="18.75" customHeight="1">
      <c r="A518" s="437"/>
      <c r="B518" s="438"/>
      <c r="C518" s="438"/>
      <c r="D518" s="438"/>
      <c r="E518" s="438"/>
      <c r="F518" s="438"/>
      <c r="G518" s="438"/>
      <c r="H518" s="108"/>
      <c r="I518" s="108"/>
      <c r="J518" s="440"/>
      <c r="K518" s="440"/>
      <c r="L518" s="440"/>
      <c r="M518" s="440"/>
      <c r="N518" s="440"/>
      <c r="O518" s="440"/>
      <c r="P518" s="440"/>
      <c r="Q518" s="440"/>
      <c r="R518" s="108"/>
      <c r="S518" s="440"/>
      <c r="T518" s="440"/>
      <c r="U518" s="440"/>
      <c r="V518" s="440"/>
      <c r="W518" s="440"/>
      <c r="X518" s="440"/>
      <c r="Y518" s="108"/>
      <c r="Z518" s="108"/>
    </row>
    <row r="519" ht="18.75" customHeight="1">
      <c r="A519" s="437"/>
      <c r="B519" s="438"/>
      <c r="C519" s="438"/>
      <c r="D519" s="438"/>
      <c r="E519" s="438"/>
      <c r="F519" s="438"/>
      <c r="G519" s="438"/>
      <c r="H519" s="108"/>
      <c r="I519" s="108"/>
      <c r="J519" s="440"/>
      <c r="K519" s="440"/>
      <c r="L519" s="440"/>
      <c r="M519" s="440"/>
      <c r="N519" s="440"/>
      <c r="O519" s="440"/>
      <c r="P519" s="440"/>
      <c r="Q519" s="440"/>
      <c r="R519" s="108"/>
      <c r="S519" s="440"/>
      <c r="T519" s="440"/>
      <c r="U519" s="440"/>
      <c r="V519" s="440"/>
      <c r="W519" s="440"/>
      <c r="X519" s="440"/>
      <c r="Y519" s="108"/>
      <c r="Z519" s="108"/>
    </row>
    <row r="520" ht="18.75" customHeight="1">
      <c r="A520" s="437"/>
      <c r="B520" s="438"/>
      <c r="C520" s="438"/>
      <c r="D520" s="438"/>
      <c r="E520" s="438"/>
      <c r="F520" s="438"/>
      <c r="G520" s="438"/>
      <c r="H520" s="108"/>
      <c r="I520" s="108"/>
      <c r="J520" s="440"/>
      <c r="K520" s="440"/>
      <c r="L520" s="440"/>
      <c r="M520" s="440"/>
      <c r="N520" s="440"/>
      <c r="O520" s="440"/>
      <c r="P520" s="440"/>
      <c r="Q520" s="440"/>
      <c r="R520" s="108"/>
      <c r="S520" s="440"/>
      <c r="T520" s="440"/>
      <c r="U520" s="440"/>
      <c r="V520" s="440"/>
      <c r="W520" s="440"/>
      <c r="X520" s="440"/>
      <c r="Y520" s="108"/>
      <c r="Z520" s="108"/>
    </row>
    <row r="521" ht="18.75" customHeight="1">
      <c r="A521" s="437"/>
      <c r="B521" s="438"/>
      <c r="C521" s="438"/>
      <c r="D521" s="438"/>
      <c r="E521" s="438"/>
      <c r="F521" s="438"/>
      <c r="G521" s="438"/>
      <c r="H521" s="108"/>
      <c r="I521" s="108"/>
      <c r="J521" s="440"/>
      <c r="K521" s="440"/>
      <c r="L521" s="440"/>
      <c r="M521" s="440"/>
      <c r="N521" s="440"/>
      <c r="O521" s="440"/>
      <c r="P521" s="440"/>
      <c r="Q521" s="440"/>
      <c r="R521" s="108"/>
      <c r="S521" s="440"/>
      <c r="T521" s="440"/>
      <c r="U521" s="440"/>
      <c r="V521" s="440"/>
      <c r="W521" s="440"/>
      <c r="X521" s="440"/>
      <c r="Y521" s="108"/>
      <c r="Z521" s="108"/>
    </row>
    <row r="522" ht="18.75" customHeight="1">
      <c r="A522" s="437"/>
      <c r="B522" s="438"/>
      <c r="C522" s="438"/>
      <c r="D522" s="438"/>
      <c r="E522" s="438"/>
      <c r="F522" s="438"/>
      <c r="G522" s="438"/>
      <c r="H522" s="108"/>
      <c r="I522" s="108"/>
      <c r="J522" s="440"/>
      <c r="K522" s="440"/>
      <c r="L522" s="440"/>
      <c r="M522" s="440"/>
      <c r="N522" s="440"/>
      <c r="O522" s="440"/>
      <c r="P522" s="440"/>
      <c r="Q522" s="440"/>
      <c r="R522" s="108"/>
      <c r="S522" s="440"/>
      <c r="T522" s="440"/>
      <c r="U522" s="440"/>
      <c r="V522" s="440"/>
      <c r="W522" s="440"/>
      <c r="X522" s="440"/>
      <c r="Y522" s="108"/>
      <c r="Z522" s="108"/>
    </row>
    <row r="523" ht="18.75" customHeight="1">
      <c r="A523" s="437"/>
      <c r="B523" s="438"/>
      <c r="C523" s="438"/>
      <c r="D523" s="438"/>
      <c r="E523" s="438"/>
      <c r="F523" s="438"/>
      <c r="G523" s="438"/>
      <c r="H523" s="108"/>
      <c r="I523" s="108"/>
      <c r="J523" s="440"/>
      <c r="K523" s="440"/>
      <c r="L523" s="440"/>
      <c r="M523" s="440"/>
      <c r="N523" s="440"/>
      <c r="O523" s="440"/>
      <c r="P523" s="440"/>
      <c r="Q523" s="440"/>
      <c r="R523" s="108"/>
      <c r="S523" s="440"/>
      <c r="T523" s="440"/>
      <c r="U523" s="440"/>
      <c r="V523" s="440"/>
      <c r="W523" s="440"/>
      <c r="X523" s="440"/>
      <c r="Y523" s="108"/>
      <c r="Z523" s="108"/>
    </row>
    <row r="524" ht="18.75" customHeight="1">
      <c r="A524" s="437"/>
      <c r="B524" s="438"/>
      <c r="C524" s="438"/>
      <c r="D524" s="438"/>
      <c r="E524" s="438"/>
      <c r="F524" s="438"/>
      <c r="G524" s="438"/>
      <c r="H524" s="108"/>
      <c r="I524" s="108"/>
      <c r="J524" s="440"/>
      <c r="K524" s="440"/>
      <c r="L524" s="440"/>
      <c r="M524" s="440"/>
      <c r="N524" s="440"/>
      <c r="O524" s="440"/>
      <c r="P524" s="440"/>
      <c r="Q524" s="440"/>
      <c r="R524" s="108"/>
      <c r="S524" s="440"/>
      <c r="T524" s="440"/>
      <c r="U524" s="440"/>
      <c r="V524" s="440"/>
      <c r="W524" s="440"/>
      <c r="X524" s="440"/>
      <c r="Y524" s="108"/>
      <c r="Z524" s="108"/>
    </row>
    <row r="525" ht="18.75" customHeight="1">
      <c r="A525" s="437"/>
      <c r="B525" s="438"/>
      <c r="C525" s="438"/>
      <c r="D525" s="438"/>
      <c r="E525" s="438"/>
      <c r="F525" s="438"/>
      <c r="G525" s="438"/>
      <c r="H525" s="108"/>
      <c r="I525" s="108"/>
      <c r="J525" s="440"/>
      <c r="K525" s="440"/>
      <c r="L525" s="440"/>
      <c r="M525" s="440"/>
      <c r="N525" s="440"/>
      <c r="O525" s="440"/>
      <c r="P525" s="440"/>
      <c r="Q525" s="440"/>
      <c r="R525" s="108"/>
      <c r="S525" s="440"/>
      <c r="T525" s="440"/>
      <c r="U525" s="440"/>
      <c r="V525" s="440"/>
      <c r="W525" s="440"/>
      <c r="X525" s="440"/>
      <c r="Y525" s="108"/>
      <c r="Z525" s="108"/>
    </row>
    <row r="526" ht="18.75" customHeight="1">
      <c r="A526" s="437"/>
      <c r="B526" s="438"/>
      <c r="C526" s="438"/>
      <c r="D526" s="438"/>
      <c r="E526" s="438"/>
      <c r="F526" s="438"/>
      <c r="G526" s="438"/>
      <c r="H526" s="108"/>
      <c r="I526" s="108"/>
      <c r="J526" s="440"/>
      <c r="K526" s="440"/>
      <c r="L526" s="440"/>
      <c r="M526" s="440"/>
      <c r="N526" s="440"/>
      <c r="O526" s="440"/>
      <c r="P526" s="440"/>
      <c r="Q526" s="440"/>
      <c r="R526" s="108"/>
      <c r="S526" s="440"/>
      <c r="T526" s="440"/>
      <c r="U526" s="440"/>
      <c r="V526" s="440"/>
      <c r="W526" s="440"/>
      <c r="X526" s="440"/>
      <c r="Y526" s="108"/>
      <c r="Z526" s="108"/>
    </row>
    <row r="527" ht="18.75" customHeight="1">
      <c r="A527" s="437"/>
      <c r="B527" s="438"/>
      <c r="C527" s="438"/>
      <c r="D527" s="438"/>
      <c r="E527" s="438"/>
      <c r="F527" s="438"/>
      <c r="G527" s="438"/>
      <c r="H527" s="108"/>
      <c r="I527" s="108"/>
      <c r="J527" s="440"/>
      <c r="K527" s="440"/>
      <c r="L527" s="440"/>
      <c r="M527" s="440"/>
      <c r="N527" s="440"/>
      <c r="O527" s="440"/>
      <c r="P527" s="440"/>
      <c r="Q527" s="440"/>
      <c r="R527" s="108"/>
      <c r="S527" s="440"/>
      <c r="T527" s="440"/>
      <c r="U527" s="440"/>
      <c r="V527" s="440"/>
      <c r="W527" s="440"/>
      <c r="X527" s="440"/>
      <c r="Y527" s="108"/>
      <c r="Z527" s="108"/>
    </row>
    <row r="528" ht="18.75" customHeight="1">
      <c r="A528" s="437"/>
      <c r="B528" s="438"/>
      <c r="C528" s="438"/>
      <c r="D528" s="438"/>
      <c r="E528" s="438"/>
      <c r="F528" s="438"/>
      <c r="G528" s="438"/>
      <c r="H528" s="108"/>
      <c r="I528" s="108"/>
      <c r="J528" s="440"/>
      <c r="K528" s="440"/>
      <c r="L528" s="440"/>
      <c r="M528" s="440"/>
      <c r="N528" s="440"/>
      <c r="O528" s="440"/>
      <c r="P528" s="440"/>
      <c r="Q528" s="440"/>
      <c r="R528" s="108"/>
      <c r="S528" s="440"/>
      <c r="T528" s="440"/>
      <c r="U528" s="440"/>
      <c r="V528" s="440"/>
      <c r="W528" s="440"/>
      <c r="X528" s="440"/>
      <c r="Y528" s="108"/>
      <c r="Z528" s="108"/>
    </row>
    <row r="529" ht="18.75" customHeight="1">
      <c r="A529" s="437"/>
      <c r="B529" s="438"/>
      <c r="C529" s="438"/>
      <c r="D529" s="438"/>
      <c r="E529" s="438"/>
      <c r="F529" s="438"/>
      <c r="G529" s="438"/>
      <c r="H529" s="108"/>
      <c r="I529" s="108"/>
      <c r="J529" s="440"/>
      <c r="K529" s="440"/>
      <c r="L529" s="440"/>
      <c r="M529" s="440"/>
      <c r="N529" s="440"/>
      <c r="O529" s="440"/>
      <c r="P529" s="440"/>
      <c r="Q529" s="440"/>
      <c r="R529" s="108"/>
      <c r="S529" s="440"/>
      <c r="T529" s="440"/>
      <c r="U529" s="440"/>
      <c r="V529" s="440"/>
      <c r="W529" s="440"/>
      <c r="X529" s="440"/>
      <c r="Y529" s="108"/>
      <c r="Z529" s="108"/>
    </row>
    <row r="530" ht="18.75" customHeight="1">
      <c r="A530" s="437"/>
      <c r="B530" s="438"/>
      <c r="C530" s="438"/>
      <c r="D530" s="438"/>
      <c r="E530" s="438"/>
      <c r="F530" s="438"/>
      <c r="G530" s="438"/>
      <c r="H530" s="108"/>
      <c r="I530" s="108"/>
      <c r="J530" s="440"/>
      <c r="K530" s="440"/>
      <c r="L530" s="440"/>
      <c r="M530" s="440"/>
      <c r="N530" s="440"/>
      <c r="O530" s="440"/>
      <c r="P530" s="440"/>
      <c r="Q530" s="440"/>
      <c r="R530" s="108"/>
      <c r="S530" s="440"/>
      <c r="T530" s="440"/>
      <c r="U530" s="440"/>
      <c r="V530" s="440"/>
      <c r="W530" s="440"/>
      <c r="X530" s="440"/>
      <c r="Y530" s="108"/>
      <c r="Z530" s="108"/>
    </row>
    <row r="531" ht="18.75" customHeight="1">
      <c r="A531" s="437"/>
      <c r="B531" s="438"/>
      <c r="C531" s="438"/>
      <c r="D531" s="438"/>
      <c r="E531" s="438"/>
      <c r="F531" s="438"/>
      <c r="G531" s="438"/>
      <c r="H531" s="108"/>
      <c r="I531" s="108"/>
      <c r="J531" s="440"/>
      <c r="K531" s="440"/>
      <c r="L531" s="440"/>
      <c r="M531" s="440"/>
      <c r="N531" s="440"/>
      <c r="O531" s="440"/>
      <c r="P531" s="440"/>
      <c r="Q531" s="440"/>
      <c r="R531" s="108"/>
      <c r="S531" s="440"/>
      <c r="T531" s="440"/>
      <c r="U531" s="440"/>
      <c r="V531" s="440"/>
      <c r="W531" s="440"/>
      <c r="X531" s="440"/>
      <c r="Y531" s="108"/>
      <c r="Z531" s="108"/>
    </row>
    <row r="532" ht="18.75" customHeight="1">
      <c r="A532" s="437"/>
      <c r="B532" s="438"/>
      <c r="C532" s="438"/>
      <c r="D532" s="438"/>
      <c r="E532" s="438"/>
      <c r="F532" s="438"/>
      <c r="G532" s="438"/>
      <c r="H532" s="108"/>
      <c r="I532" s="108"/>
      <c r="J532" s="440"/>
      <c r="K532" s="440"/>
      <c r="L532" s="440"/>
      <c r="M532" s="440"/>
      <c r="N532" s="440"/>
      <c r="O532" s="440"/>
      <c r="P532" s="440"/>
      <c r="Q532" s="440"/>
      <c r="R532" s="108"/>
      <c r="S532" s="440"/>
      <c r="T532" s="440"/>
      <c r="U532" s="440"/>
      <c r="V532" s="440"/>
      <c r="W532" s="440"/>
      <c r="X532" s="440"/>
      <c r="Y532" s="108"/>
      <c r="Z532" s="108"/>
    </row>
    <row r="533" ht="18.75" customHeight="1">
      <c r="A533" s="437"/>
      <c r="B533" s="438"/>
      <c r="C533" s="438"/>
      <c r="D533" s="438"/>
      <c r="E533" s="438"/>
      <c r="F533" s="438"/>
      <c r="G533" s="438"/>
      <c r="H533" s="108"/>
      <c r="I533" s="108"/>
      <c r="J533" s="440"/>
      <c r="K533" s="440"/>
      <c r="L533" s="440"/>
      <c r="M533" s="440"/>
      <c r="N533" s="440"/>
      <c r="O533" s="440"/>
      <c r="P533" s="440"/>
      <c r="Q533" s="440"/>
      <c r="R533" s="108"/>
      <c r="S533" s="440"/>
      <c r="T533" s="440"/>
      <c r="U533" s="440"/>
      <c r="V533" s="440"/>
      <c r="W533" s="440"/>
      <c r="X533" s="440"/>
      <c r="Y533" s="108"/>
      <c r="Z533" s="108"/>
    </row>
    <row r="534" ht="18.75" customHeight="1">
      <c r="A534" s="437"/>
      <c r="B534" s="438"/>
      <c r="C534" s="438"/>
      <c r="D534" s="438"/>
      <c r="E534" s="438"/>
      <c r="F534" s="438"/>
      <c r="G534" s="438"/>
      <c r="H534" s="108"/>
      <c r="I534" s="108"/>
      <c r="J534" s="440"/>
      <c r="K534" s="440"/>
      <c r="L534" s="440"/>
      <c r="M534" s="440"/>
      <c r="N534" s="440"/>
      <c r="O534" s="440"/>
      <c r="P534" s="440"/>
      <c r="Q534" s="440"/>
      <c r="R534" s="108"/>
      <c r="S534" s="440"/>
      <c r="T534" s="440"/>
      <c r="U534" s="440"/>
      <c r="V534" s="440"/>
      <c r="W534" s="440"/>
      <c r="X534" s="440"/>
      <c r="Y534" s="108"/>
      <c r="Z534" s="108"/>
    </row>
    <row r="535" ht="18.75" customHeight="1">
      <c r="A535" s="437"/>
      <c r="B535" s="438"/>
      <c r="C535" s="438"/>
      <c r="D535" s="438"/>
      <c r="E535" s="438"/>
      <c r="F535" s="438"/>
      <c r="G535" s="438"/>
      <c r="H535" s="108"/>
      <c r="I535" s="108"/>
      <c r="J535" s="440"/>
      <c r="K535" s="440"/>
      <c r="L535" s="440"/>
      <c r="M535" s="440"/>
      <c r="N535" s="440"/>
      <c r="O535" s="440"/>
      <c r="P535" s="440"/>
      <c r="Q535" s="440"/>
      <c r="R535" s="108"/>
      <c r="S535" s="440"/>
      <c r="T535" s="440"/>
      <c r="U535" s="440"/>
      <c r="V535" s="440"/>
      <c r="W535" s="440"/>
      <c r="X535" s="440"/>
      <c r="Y535" s="108"/>
      <c r="Z535" s="108"/>
    </row>
    <row r="536" ht="18.75" customHeight="1">
      <c r="A536" s="437"/>
      <c r="B536" s="438"/>
      <c r="C536" s="438"/>
      <c r="D536" s="438"/>
      <c r="E536" s="438"/>
      <c r="F536" s="438"/>
      <c r="G536" s="438"/>
      <c r="H536" s="108"/>
      <c r="I536" s="108"/>
      <c r="J536" s="440"/>
      <c r="K536" s="440"/>
      <c r="L536" s="440"/>
      <c r="M536" s="440"/>
      <c r="N536" s="440"/>
      <c r="O536" s="440"/>
      <c r="P536" s="440"/>
      <c r="Q536" s="440"/>
      <c r="R536" s="108"/>
      <c r="S536" s="440"/>
      <c r="T536" s="440"/>
      <c r="U536" s="440"/>
      <c r="V536" s="440"/>
      <c r="W536" s="440"/>
      <c r="X536" s="440"/>
      <c r="Y536" s="108"/>
      <c r="Z536" s="108"/>
    </row>
    <row r="537" ht="18.75" customHeight="1">
      <c r="A537" s="437"/>
      <c r="B537" s="438"/>
      <c r="C537" s="438"/>
      <c r="D537" s="438"/>
      <c r="E537" s="438"/>
      <c r="F537" s="438"/>
      <c r="G537" s="438"/>
      <c r="H537" s="108"/>
      <c r="I537" s="108"/>
      <c r="J537" s="440"/>
      <c r="K537" s="440"/>
      <c r="L537" s="440"/>
      <c r="M537" s="440"/>
      <c r="N537" s="440"/>
      <c r="O537" s="440"/>
      <c r="P537" s="440"/>
      <c r="Q537" s="440"/>
      <c r="R537" s="108"/>
      <c r="S537" s="440"/>
      <c r="T537" s="440"/>
      <c r="U537" s="440"/>
      <c r="V537" s="440"/>
      <c r="W537" s="440"/>
      <c r="X537" s="440"/>
      <c r="Y537" s="108"/>
      <c r="Z537" s="108"/>
    </row>
    <row r="538" ht="18.75" customHeight="1">
      <c r="A538" s="437"/>
      <c r="B538" s="438"/>
      <c r="C538" s="438"/>
      <c r="D538" s="438"/>
      <c r="E538" s="438"/>
      <c r="F538" s="438"/>
      <c r="G538" s="438"/>
      <c r="H538" s="108"/>
      <c r="I538" s="108"/>
      <c r="J538" s="440"/>
      <c r="K538" s="440"/>
      <c r="L538" s="440"/>
      <c r="M538" s="440"/>
      <c r="N538" s="440"/>
      <c r="O538" s="440"/>
      <c r="P538" s="440"/>
      <c r="Q538" s="440"/>
      <c r="R538" s="108"/>
      <c r="S538" s="440"/>
      <c r="T538" s="440"/>
      <c r="U538" s="440"/>
      <c r="V538" s="440"/>
      <c r="W538" s="440"/>
      <c r="X538" s="440"/>
      <c r="Y538" s="108"/>
      <c r="Z538" s="108"/>
    </row>
    <row r="539" ht="18.75" customHeight="1">
      <c r="A539" s="437"/>
      <c r="B539" s="438"/>
      <c r="C539" s="438"/>
      <c r="D539" s="438"/>
      <c r="E539" s="438"/>
      <c r="F539" s="438"/>
      <c r="G539" s="438"/>
      <c r="H539" s="108"/>
      <c r="I539" s="108"/>
      <c r="J539" s="440"/>
      <c r="K539" s="440"/>
      <c r="L539" s="440"/>
      <c r="M539" s="440"/>
      <c r="N539" s="440"/>
      <c r="O539" s="440"/>
      <c r="P539" s="440"/>
      <c r="Q539" s="440"/>
      <c r="R539" s="108"/>
      <c r="S539" s="440"/>
      <c r="T539" s="440"/>
      <c r="U539" s="440"/>
      <c r="V539" s="440"/>
      <c r="W539" s="440"/>
      <c r="X539" s="440"/>
      <c r="Y539" s="108"/>
      <c r="Z539" s="108"/>
    </row>
    <row r="540" ht="18.75" customHeight="1">
      <c r="A540" s="437"/>
      <c r="B540" s="438"/>
      <c r="C540" s="438"/>
      <c r="D540" s="438"/>
      <c r="E540" s="438"/>
      <c r="F540" s="438"/>
      <c r="G540" s="438"/>
      <c r="H540" s="108"/>
      <c r="I540" s="108"/>
      <c r="J540" s="440"/>
      <c r="K540" s="440"/>
      <c r="L540" s="440"/>
      <c r="M540" s="440"/>
      <c r="N540" s="440"/>
      <c r="O540" s="440"/>
      <c r="P540" s="440"/>
      <c r="Q540" s="440"/>
      <c r="R540" s="108"/>
      <c r="S540" s="440"/>
      <c r="T540" s="440"/>
      <c r="U540" s="440"/>
      <c r="V540" s="440"/>
      <c r="W540" s="440"/>
      <c r="X540" s="440"/>
      <c r="Y540" s="108"/>
      <c r="Z540" s="108"/>
    </row>
    <row r="541" ht="18.75" customHeight="1">
      <c r="A541" s="437"/>
      <c r="B541" s="438"/>
      <c r="C541" s="438"/>
      <c r="D541" s="438"/>
      <c r="E541" s="438"/>
      <c r="F541" s="438"/>
      <c r="G541" s="438"/>
      <c r="H541" s="108"/>
      <c r="I541" s="108"/>
      <c r="J541" s="440"/>
      <c r="K541" s="440"/>
      <c r="L541" s="440"/>
      <c r="M541" s="440"/>
      <c r="N541" s="440"/>
      <c r="O541" s="440"/>
      <c r="P541" s="440"/>
      <c r="Q541" s="440"/>
      <c r="R541" s="108"/>
      <c r="S541" s="440"/>
      <c r="T541" s="440"/>
      <c r="U541" s="440"/>
      <c r="V541" s="440"/>
      <c r="W541" s="440"/>
      <c r="X541" s="440"/>
      <c r="Y541" s="108"/>
      <c r="Z541" s="108"/>
    </row>
    <row r="542" ht="18.75" customHeight="1">
      <c r="A542" s="437"/>
      <c r="B542" s="438"/>
      <c r="C542" s="438"/>
      <c r="D542" s="438"/>
      <c r="E542" s="438"/>
      <c r="F542" s="438"/>
      <c r="G542" s="438"/>
      <c r="H542" s="108"/>
      <c r="I542" s="108"/>
      <c r="J542" s="440"/>
      <c r="K542" s="440"/>
      <c r="L542" s="440"/>
      <c r="M542" s="440"/>
      <c r="N542" s="440"/>
      <c r="O542" s="440"/>
      <c r="P542" s="440"/>
      <c r="Q542" s="440"/>
      <c r="R542" s="108"/>
      <c r="S542" s="440"/>
      <c r="T542" s="440"/>
      <c r="U542" s="440"/>
      <c r="V542" s="440"/>
      <c r="W542" s="440"/>
      <c r="X542" s="440"/>
      <c r="Y542" s="108"/>
      <c r="Z542" s="108"/>
    </row>
    <row r="543" ht="18.75" customHeight="1">
      <c r="A543" s="437"/>
      <c r="B543" s="438"/>
      <c r="C543" s="438"/>
      <c r="D543" s="438"/>
      <c r="E543" s="438"/>
      <c r="F543" s="438"/>
      <c r="G543" s="438"/>
      <c r="H543" s="108"/>
      <c r="I543" s="108"/>
      <c r="J543" s="440"/>
      <c r="K543" s="440"/>
      <c r="L543" s="440"/>
      <c r="M543" s="440"/>
      <c r="N543" s="440"/>
      <c r="O543" s="440"/>
      <c r="P543" s="440"/>
      <c r="Q543" s="440"/>
      <c r="R543" s="108"/>
      <c r="S543" s="440"/>
      <c r="T543" s="440"/>
      <c r="U543" s="440"/>
      <c r="V543" s="440"/>
      <c r="W543" s="440"/>
      <c r="X543" s="440"/>
      <c r="Y543" s="108"/>
      <c r="Z543" s="108"/>
    </row>
    <row r="544" ht="18.75" customHeight="1">
      <c r="A544" s="437"/>
      <c r="B544" s="438"/>
      <c r="C544" s="438"/>
      <c r="D544" s="438"/>
      <c r="E544" s="438"/>
      <c r="F544" s="438"/>
      <c r="G544" s="438"/>
      <c r="H544" s="108"/>
      <c r="I544" s="108"/>
      <c r="J544" s="440"/>
      <c r="K544" s="440"/>
      <c r="L544" s="440"/>
      <c r="M544" s="440"/>
      <c r="N544" s="440"/>
      <c r="O544" s="440"/>
      <c r="P544" s="440"/>
      <c r="Q544" s="440"/>
      <c r="R544" s="108"/>
      <c r="S544" s="440"/>
      <c r="T544" s="440"/>
      <c r="U544" s="440"/>
      <c r="V544" s="440"/>
      <c r="W544" s="440"/>
      <c r="X544" s="440"/>
      <c r="Y544" s="108"/>
      <c r="Z544" s="108"/>
    </row>
    <row r="545" ht="18.75" customHeight="1">
      <c r="A545" s="437"/>
      <c r="B545" s="438"/>
      <c r="C545" s="438"/>
      <c r="D545" s="438"/>
      <c r="E545" s="438"/>
      <c r="F545" s="438"/>
      <c r="G545" s="438"/>
      <c r="H545" s="108"/>
      <c r="I545" s="108"/>
      <c r="J545" s="440"/>
      <c r="K545" s="440"/>
      <c r="L545" s="440"/>
      <c r="M545" s="440"/>
      <c r="N545" s="440"/>
      <c r="O545" s="440"/>
      <c r="P545" s="440"/>
      <c r="Q545" s="440"/>
      <c r="R545" s="108"/>
      <c r="S545" s="440"/>
      <c r="T545" s="440"/>
      <c r="U545" s="440"/>
      <c r="V545" s="440"/>
      <c r="W545" s="440"/>
      <c r="X545" s="440"/>
      <c r="Y545" s="108"/>
      <c r="Z545" s="108"/>
    </row>
    <row r="546" ht="18.75" customHeight="1">
      <c r="A546" s="437"/>
      <c r="B546" s="438"/>
      <c r="C546" s="438"/>
      <c r="D546" s="438"/>
      <c r="E546" s="438"/>
      <c r="F546" s="438"/>
      <c r="G546" s="438"/>
      <c r="H546" s="108"/>
      <c r="I546" s="108"/>
      <c r="J546" s="440"/>
      <c r="K546" s="440"/>
      <c r="L546" s="440"/>
      <c r="M546" s="440"/>
      <c r="N546" s="440"/>
      <c r="O546" s="440"/>
      <c r="P546" s="440"/>
      <c r="Q546" s="440"/>
      <c r="R546" s="108"/>
      <c r="S546" s="440"/>
      <c r="T546" s="440"/>
      <c r="U546" s="440"/>
      <c r="V546" s="440"/>
      <c r="W546" s="440"/>
      <c r="X546" s="440"/>
      <c r="Y546" s="108"/>
      <c r="Z546" s="108"/>
    </row>
    <row r="547" ht="18.75" customHeight="1">
      <c r="A547" s="437"/>
      <c r="B547" s="438"/>
      <c r="C547" s="438"/>
      <c r="D547" s="438"/>
      <c r="E547" s="438"/>
      <c r="F547" s="438"/>
      <c r="G547" s="438"/>
      <c r="H547" s="108"/>
      <c r="I547" s="108"/>
      <c r="J547" s="440"/>
      <c r="K547" s="440"/>
      <c r="L547" s="440"/>
      <c r="M547" s="440"/>
      <c r="N547" s="440"/>
      <c r="O547" s="440"/>
      <c r="P547" s="440"/>
      <c r="Q547" s="440"/>
      <c r="R547" s="108"/>
      <c r="S547" s="440"/>
      <c r="T547" s="440"/>
      <c r="U547" s="440"/>
      <c r="V547" s="440"/>
      <c r="W547" s="440"/>
      <c r="X547" s="440"/>
      <c r="Y547" s="108"/>
      <c r="Z547" s="108"/>
    </row>
    <row r="548" ht="18.75" customHeight="1">
      <c r="A548" s="437"/>
      <c r="B548" s="438"/>
      <c r="C548" s="438"/>
      <c r="D548" s="438"/>
      <c r="E548" s="438"/>
      <c r="F548" s="438"/>
      <c r="G548" s="438"/>
      <c r="H548" s="108"/>
      <c r="I548" s="108"/>
      <c r="J548" s="440"/>
      <c r="K548" s="440"/>
      <c r="L548" s="440"/>
      <c r="M548" s="440"/>
      <c r="N548" s="440"/>
      <c r="O548" s="440"/>
      <c r="P548" s="440"/>
      <c r="Q548" s="440"/>
      <c r="R548" s="108"/>
      <c r="S548" s="440"/>
      <c r="T548" s="440"/>
      <c r="U548" s="440"/>
      <c r="V548" s="440"/>
      <c r="W548" s="440"/>
      <c r="X548" s="440"/>
      <c r="Y548" s="108"/>
      <c r="Z548" s="108"/>
    </row>
    <row r="549" ht="18.75" customHeight="1">
      <c r="A549" s="437"/>
      <c r="B549" s="438"/>
      <c r="C549" s="438"/>
      <c r="D549" s="438"/>
      <c r="E549" s="438"/>
      <c r="F549" s="438"/>
      <c r="G549" s="438"/>
      <c r="H549" s="108"/>
      <c r="I549" s="108"/>
      <c r="J549" s="440"/>
      <c r="K549" s="440"/>
      <c r="L549" s="440"/>
      <c r="M549" s="440"/>
      <c r="N549" s="440"/>
      <c r="O549" s="440"/>
      <c r="P549" s="440"/>
      <c r="Q549" s="440"/>
      <c r="R549" s="108"/>
      <c r="S549" s="440"/>
      <c r="T549" s="440"/>
      <c r="U549" s="440"/>
      <c r="V549" s="440"/>
      <c r="W549" s="440"/>
      <c r="X549" s="440"/>
      <c r="Y549" s="108"/>
      <c r="Z549" s="108"/>
    </row>
    <row r="550" ht="18.75" customHeight="1">
      <c r="A550" s="437"/>
      <c r="B550" s="438"/>
      <c r="C550" s="438"/>
      <c r="D550" s="438"/>
      <c r="E550" s="438"/>
      <c r="F550" s="438"/>
      <c r="G550" s="438"/>
      <c r="H550" s="108"/>
      <c r="I550" s="108"/>
      <c r="J550" s="440"/>
      <c r="K550" s="440"/>
      <c r="L550" s="440"/>
      <c r="M550" s="440"/>
      <c r="N550" s="440"/>
      <c r="O550" s="440"/>
      <c r="P550" s="440"/>
      <c r="Q550" s="440"/>
      <c r="R550" s="108"/>
      <c r="S550" s="440"/>
      <c r="T550" s="440"/>
      <c r="U550" s="440"/>
      <c r="V550" s="440"/>
      <c r="W550" s="440"/>
      <c r="X550" s="440"/>
      <c r="Y550" s="108"/>
      <c r="Z550" s="108"/>
    </row>
    <row r="551" ht="18.75" customHeight="1">
      <c r="A551" s="437"/>
      <c r="B551" s="438"/>
      <c r="C551" s="438"/>
      <c r="D551" s="438"/>
      <c r="E551" s="438"/>
      <c r="F551" s="438"/>
      <c r="G551" s="438"/>
      <c r="H551" s="108"/>
      <c r="I551" s="108"/>
      <c r="J551" s="440"/>
      <c r="K551" s="440"/>
      <c r="L551" s="440"/>
      <c r="M551" s="440"/>
      <c r="N551" s="440"/>
      <c r="O551" s="440"/>
      <c r="P551" s="440"/>
      <c r="Q551" s="440"/>
      <c r="R551" s="108"/>
      <c r="S551" s="440"/>
      <c r="T551" s="440"/>
      <c r="U551" s="440"/>
      <c r="V551" s="440"/>
      <c r="W551" s="440"/>
      <c r="X551" s="440"/>
      <c r="Y551" s="108"/>
      <c r="Z551" s="108"/>
    </row>
    <row r="552" ht="18.75" customHeight="1">
      <c r="A552" s="437"/>
      <c r="B552" s="438"/>
      <c r="C552" s="438"/>
      <c r="D552" s="438"/>
      <c r="E552" s="438"/>
      <c r="F552" s="438"/>
      <c r="G552" s="438"/>
      <c r="H552" s="108"/>
      <c r="I552" s="108"/>
      <c r="J552" s="440"/>
      <c r="K552" s="440"/>
      <c r="L552" s="440"/>
      <c r="M552" s="440"/>
      <c r="N552" s="440"/>
      <c r="O552" s="440"/>
      <c r="P552" s="440"/>
      <c r="Q552" s="440"/>
      <c r="R552" s="108"/>
      <c r="S552" s="440"/>
      <c r="T552" s="440"/>
      <c r="U552" s="440"/>
      <c r="V552" s="440"/>
      <c r="W552" s="440"/>
      <c r="X552" s="440"/>
      <c r="Y552" s="108"/>
      <c r="Z552" s="108"/>
    </row>
    <row r="553" ht="18.75" customHeight="1">
      <c r="A553" s="437"/>
      <c r="B553" s="438"/>
      <c r="C553" s="438"/>
      <c r="D553" s="438"/>
      <c r="E553" s="438"/>
      <c r="F553" s="438"/>
      <c r="G553" s="438"/>
      <c r="H553" s="108"/>
      <c r="I553" s="108"/>
      <c r="J553" s="440"/>
      <c r="K553" s="440"/>
      <c r="L553" s="440"/>
      <c r="M553" s="440"/>
      <c r="N553" s="440"/>
      <c r="O553" s="440"/>
      <c r="P553" s="440"/>
      <c r="Q553" s="440"/>
      <c r="R553" s="108"/>
      <c r="S553" s="440"/>
      <c r="T553" s="440"/>
      <c r="U553" s="440"/>
      <c r="V553" s="440"/>
      <c r="W553" s="440"/>
      <c r="X553" s="440"/>
      <c r="Y553" s="108"/>
      <c r="Z553" s="108"/>
    </row>
    <row r="554" ht="18.75" customHeight="1">
      <c r="A554" s="437"/>
      <c r="B554" s="438"/>
      <c r="C554" s="438"/>
      <c r="D554" s="438"/>
      <c r="E554" s="438"/>
      <c r="F554" s="438"/>
      <c r="G554" s="438"/>
      <c r="H554" s="108"/>
      <c r="I554" s="108"/>
      <c r="J554" s="440"/>
      <c r="K554" s="440"/>
      <c r="L554" s="440"/>
      <c r="M554" s="440"/>
      <c r="N554" s="440"/>
      <c r="O554" s="440"/>
      <c r="P554" s="440"/>
      <c r="Q554" s="440"/>
      <c r="R554" s="108"/>
      <c r="S554" s="440"/>
      <c r="T554" s="440"/>
      <c r="U554" s="440"/>
      <c r="V554" s="440"/>
      <c r="W554" s="440"/>
      <c r="X554" s="440"/>
      <c r="Y554" s="108"/>
      <c r="Z554" s="108"/>
    </row>
    <row r="555" ht="18.75" customHeight="1">
      <c r="A555" s="437"/>
      <c r="B555" s="438"/>
      <c r="C555" s="438"/>
      <c r="D555" s="438"/>
      <c r="E555" s="438"/>
      <c r="F555" s="438"/>
      <c r="G555" s="438"/>
      <c r="H555" s="108"/>
      <c r="I555" s="108"/>
      <c r="J555" s="440"/>
      <c r="K555" s="440"/>
      <c r="L555" s="440"/>
      <c r="M555" s="440"/>
      <c r="N555" s="440"/>
      <c r="O555" s="440"/>
      <c r="P555" s="440"/>
      <c r="Q555" s="440"/>
      <c r="R555" s="108"/>
      <c r="S555" s="440"/>
      <c r="T555" s="440"/>
      <c r="U555" s="440"/>
      <c r="V555" s="440"/>
      <c r="W555" s="440"/>
      <c r="X555" s="440"/>
      <c r="Y555" s="108"/>
      <c r="Z555" s="108"/>
    </row>
    <row r="556" ht="18.75" customHeight="1">
      <c r="A556" s="437"/>
      <c r="B556" s="438"/>
      <c r="C556" s="438"/>
      <c r="D556" s="438"/>
      <c r="E556" s="438"/>
      <c r="F556" s="438"/>
      <c r="G556" s="438"/>
      <c r="H556" s="108"/>
      <c r="I556" s="108"/>
      <c r="J556" s="440"/>
      <c r="K556" s="440"/>
      <c r="L556" s="440"/>
      <c r="M556" s="440"/>
      <c r="N556" s="440"/>
      <c r="O556" s="440"/>
      <c r="P556" s="440"/>
      <c r="Q556" s="440"/>
      <c r="R556" s="108"/>
      <c r="S556" s="440"/>
      <c r="T556" s="440"/>
      <c r="U556" s="440"/>
      <c r="V556" s="440"/>
      <c r="W556" s="440"/>
      <c r="X556" s="440"/>
      <c r="Y556" s="108"/>
      <c r="Z556" s="108"/>
    </row>
    <row r="557" ht="18.75" customHeight="1">
      <c r="A557" s="437"/>
      <c r="B557" s="438"/>
      <c r="C557" s="438"/>
      <c r="D557" s="438"/>
      <c r="E557" s="438"/>
      <c r="F557" s="438"/>
      <c r="G557" s="438"/>
      <c r="H557" s="108"/>
      <c r="I557" s="108"/>
      <c r="J557" s="440"/>
      <c r="K557" s="440"/>
      <c r="L557" s="440"/>
      <c r="M557" s="440"/>
      <c r="N557" s="440"/>
      <c r="O557" s="440"/>
      <c r="P557" s="440"/>
      <c r="Q557" s="440"/>
      <c r="R557" s="108"/>
      <c r="S557" s="440"/>
      <c r="T557" s="440"/>
      <c r="U557" s="440"/>
      <c r="V557" s="440"/>
      <c r="W557" s="440"/>
      <c r="X557" s="440"/>
      <c r="Y557" s="108"/>
      <c r="Z557" s="108"/>
    </row>
    <row r="558" ht="18.75" customHeight="1">
      <c r="A558" s="437"/>
      <c r="B558" s="438"/>
      <c r="C558" s="438"/>
      <c r="D558" s="438"/>
      <c r="E558" s="438"/>
      <c r="F558" s="438"/>
      <c r="G558" s="438"/>
      <c r="H558" s="108"/>
      <c r="I558" s="108"/>
      <c r="J558" s="440"/>
      <c r="K558" s="440"/>
      <c r="L558" s="440"/>
      <c r="M558" s="440"/>
      <c r="N558" s="440"/>
      <c r="O558" s="440"/>
      <c r="P558" s="440"/>
      <c r="Q558" s="440"/>
      <c r="R558" s="108"/>
      <c r="S558" s="440"/>
      <c r="T558" s="440"/>
      <c r="U558" s="440"/>
      <c r="V558" s="440"/>
      <c r="W558" s="440"/>
      <c r="X558" s="440"/>
      <c r="Y558" s="108"/>
      <c r="Z558" s="108"/>
    </row>
    <row r="559" ht="18.75" customHeight="1">
      <c r="A559" s="437"/>
      <c r="B559" s="438"/>
      <c r="C559" s="438"/>
      <c r="D559" s="438"/>
      <c r="E559" s="438"/>
      <c r="F559" s="438"/>
      <c r="G559" s="438"/>
      <c r="H559" s="108"/>
      <c r="I559" s="108"/>
      <c r="J559" s="440"/>
      <c r="K559" s="440"/>
      <c r="L559" s="440"/>
      <c r="M559" s="440"/>
      <c r="N559" s="440"/>
      <c r="O559" s="440"/>
      <c r="P559" s="440"/>
      <c r="Q559" s="440"/>
      <c r="R559" s="108"/>
      <c r="S559" s="440"/>
      <c r="T559" s="440"/>
      <c r="U559" s="440"/>
      <c r="V559" s="440"/>
      <c r="W559" s="440"/>
      <c r="X559" s="440"/>
      <c r="Y559" s="108"/>
      <c r="Z559" s="108"/>
    </row>
    <row r="560" ht="18.75" customHeight="1">
      <c r="A560" s="437"/>
      <c r="B560" s="438"/>
      <c r="C560" s="438"/>
      <c r="D560" s="438"/>
      <c r="E560" s="438"/>
      <c r="F560" s="438"/>
      <c r="G560" s="438"/>
      <c r="H560" s="108"/>
      <c r="I560" s="108"/>
      <c r="J560" s="440"/>
      <c r="K560" s="440"/>
      <c r="L560" s="440"/>
      <c r="M560" s="440"/>
      <c r="N560" s="440"/>
      <c r="O560" s="440"/>
      <c r="P560" s="440"/>
      <c r="Q560" s="440"/>
      <c r="R560" s="108"/>
      <c r="S560" s="440"/>
      <c r="T560" s="440"/>
      <c r="U560" s="440"/>
      <c r="V560" s="440"/>
      <c r="W560" s="440"/>
      <c r="X560" s="440"/>
      <c r="Y560" s="108"/>
      <c r="Z560" s="108"/>
    </row>
    <row r="561" ht="18.75" customHeight="1">
      <c r="A561" s="437"/>
      <c r="B561" s="438"/>
      <c r="C561" s="438"/>
      <c r="D561" s="438"/>
      <c r="E561" s="438"/>
      <c r="F561" s="438"/>
      <c r="G561" s="438"/>
      <c r="H561" s="108"/>
      <c r="I561" s="108"/>
      <c r="J561" s="440"/>
      <c r="K561" s="440"/>
      <c r="L561" s="440"/>
      <c r="M561" s="440"/>
      <c r="N561" s="440"/>
      <c r="O561" s="440"/>
      <c r="P561" s="440"/>
      <c r="Q561" s="440"/>
      <c r="R561" s="108"/>
      <c r="S561" s="440"/>
      <c r="T561" s="440"/>
      <c r="U561" s="440"/>
      <c r="V561" s="440"/>
      <c r="W561" s="440"/>
      <c r="X561" s="440"/>
      <c r="Y561" s="108"/>
      <c r="Z561" s="108"/>
    </row>
    <row r="562" ht="18.75" customHeight="1">
      <c r="A562" s="437"/>
      <c r="B562" s="438"/>
      <c r="C562" s="438"/>
      <c r="D562" s="438"/>
      <c r="E562" s="438"/>
      <c r="F562" s="438"/>
      <c r="G562" s="438"/>
      <c r="H562" s="108"/>
      <c r="I562" s="108"/>
      <c r="J562" s="440"/>
      <c r="K562" s="440"/>
      <c r="L562" s="440"/>
      <c r="M562" s="440"/>
      <c r="N562" s="440"/>
      <c r="O562" s="440"/>
      <c r="P562" s="440"/>
      <c r="Q562" s="440"/>
      <c r="R562" s="108"/>
      <c r="S562" s="440"/>
      <c r="T562" s="440"/>
      <c r="U562" s="440"/>
      <c r="V562" s="440"/>
      <c r="W562" s="440"/>
      <c r="X562" s="440"/>
      <c r="Y562" s="108"/>
      <c r="Z562" s="108"/>
    </row>
    <row r="563" ht="18.75" customHeight="1">
      <c r="A563" s="437"/>
      <c r="B563" s="438"/>
      <c r="C563" s="438"/>
      <c r="D563" s="438"/>
      <c r="E563" s="438"/>
      <c r="F563" s="438"/>
      <c r="G563" s="438"/>
      <c r="H563" s="108"/>
      <c r="I563" s="108"/>
      <c r="J563" s="440"/>
      <c r="K563" s="440"/>
      <c r="L563" s="440"/>
      <c r="M563" s="440"/>
      <c r="N563" s="440"/>
      <c r="O563" s="440"/>
      <c r="P563" s="440"/>
      <c r="Q563" s="440"/>
      <c r="R563" s="108"/>
      <c r="S563" s="440"/>
      <c r="T563" s="440"/>
      <c r="U563" s="440"/>
      <c r="V563" s="440"/>
      <c r="W563" s="440"/>
      <c r="X563" s="440"/>
      <c r="Y563" s="108"/>
      <c r="Z563" s="108"/>
    </row>
    <row r="564" ht="18.75" customHeight="1">
      <c r="A564" s="437"/>
      <c r="B564" s="438"/>
      <c r="C564" s="438"/>
      <c r="D564" s="438"/>
      <c r="E564" s="438"/>
      <c r="F564" s="438"/>
      <c r="G564" s="438"/>
      <c r="H564" s="108"/>
      <c r="I564" s="108"/>
      <c r="J564" s="440"/>
      <c r="K564" s="440"/>
      <c r="L564" s="440"/>
      <c r="M564" s="440"/>
      <c r="N564" s="440"/>
      <c r="O564" s="440"/>
      <c r="P564" s="440"/>
      <c r="Q564" s="440"/>
      <c r="R564" s="108"/>
      <c r="S564" s="440"/>
      <c r="T564" s="440"/>
      <c r="U564" s="440"/>
      <c r="V564" s="440"/>
      <c r="W564" s="440"/>
      <c r="X564" s="440"/>
      <c r="Y564" s="108"/>
      <c r="Z564" s="108"/>
    </row>
    <row r="565" ht="18.75" customHeight="1">
      <c r="A565" s="437"/>
      <c r="B565" s="438"/>
      <c r="C565" s="438"/>
      <c r="D565" s="438"/>
      <c r="E565" s="438"/>
      <c r="F565" s="438"/>
      <c r="G565" s="438"/>
      <c r="H565" s="108"/>
      <c r="I565" s="108"/>
      <c r="J565" s="440"/>
      <c r="K565" s="440"/>
      <c r="L565" s="440"/>
      <c r="M565" s="440"/>
      <c r="N565" s="440"/>
      <c r="O565" s="440"/>
      <c r="P565" s="440"/>
      <c r="Q565" s="440"/>
      <c r="R565" s="108"/>
      <c r="S565" s="440"/>
      <c r="T565" s="440"/>
      <c r="U565" s="440"/>
      <c r="V565" s="440"/>
      <c r="W565" s="440"/>
      <c r="X565" s="440"/>
      <c r="Y565" s="108"/>
      <c r="Z565" s="108"/>
    </row>
    <row r="566" ht="18.75" customHeight="1">
      <c r="A566" s="437"/>
      <c r="B566" s="438"/>
      <c r="C566" s="438"/>
      <c r="D566" s="438"/>
      <c r="E566" s="438"/>
      <c r="F566" s="438"/>
      <c r="G566" s="438"/>
      <c r="H566" s="108"/>
      <c r="I566" s="108"/>
      <c r="J566" s="440"/>
      <c r="K566" s="440"/>
      <c r="L566" s="440"/>
      <c r="M566" s="440"/>
      <c r="N566" s="440"/>
      <c r="O566" s="440"/>
      <c r="P566" s="440"/>
      <c r="Q566" s="440"/>
      <c r="R566" s="108"/>
      <c r="S566" s="440"/>
      <c r="T566" s="440"/>
      <c r="U566" s="440"/>
      <c r="V566" s="440"/>
      <c r="W566" s="440"/>
      <c r="X566" s="440"/>
      <c r="Y566" s="108"/>
      <c r="Z566" s="108"/>
    </row>
    <row r="567" ht="18.75" customHeight="1">
      <c r="A567" s="437"/>
      <c r="B567" s="438"/>
      <c r="C567" s="438"/>
      <c r="D567" s="438"/>
      <c r="E567" s="438"/>
      <c r="F567" s="438"/>
      <c r="G567" s="438"/>
      <c r="H567" s="108"/>
      <c r="I567" s="108"/>
      <c r="J567" s="440"/>
      <c r="K567" s="440"/>
      <c r="L567" s="440"/>
      <c r="M567" s="440"/>
      <c r="N567" s="440"/>
      <c r="O567" s="440"/>
      <c r="P567" s="440"/>
      <c r="Q567" s="440"/>
      <c r="R567" s="108"/>
      <c r="S567" s="440"/>
      <c r="T567" s="440"/>
      <c r="U567" s="440"/>
      <c r="V567" s="440"/>
      <c r="W567" s="440"/>
      <c r="X567" s="440"/>
      <c r="Y567" s="108"/>
      <c r="Z567" s="108"/>
    </row>
    <row r="568" ht="18.75" customHeight="1">
      <c r="A568" s="437"/>
      <c r="B568" s="438"/>
      <c r="C568" s="438"/>
      <c r="D568" s="438"/>
      <c r="E568" s="438"/>
      <c r="F568" s="438"/>
      <c r="G568" s="438"/>
      <c r="H568" s="108"/>
      <c r="I568" s="108"/>
      <c r="J568" s="440"/>
      <c r="K568" s="440"/>
      <c r="L568" s="440"/>
      <c r="M568" s="440"/>
      <c r="N568" s="440"/>
      <c r="O568" s="440"/>
      <c r="P568" s="440"/>
      <c r="Q568" s="440"/>
      <c r="R568" s="108"/>
      <c r="S568" s="440"/>
      <c r="T568" s="440"/>
      <c r="U568" s="440"/>
      <c r="V568" s="440"/>
      <c r="W568" s="440"/>
      <c r="X568" s="440"/>
      <c r="Y568" s="108"/>
      <c r="Z568" s="108"/>
    </row>
    <row r="569" ht="18.75" customHeight="1">
      <c r="A569" s="437"/>
      <c r="B569" s="438"/>
      <c r="C569" s="438"/>
      <c r="D569" s="438"/>
      <c r="E569" s="438"/>
      <c r="F569" s="438"/>
      <c r="G569" s="438"/>
      <c r="H569" s="108"/>
      <c r="I569" s="108"/>
      <c r="J569" s="440"/>
      <c r="K569" s="440"/>
      <c r="L569" s="440"/>
      <c r="M569" s="440"/>
      <c r="N569" s="440"/>
      <c r="O569" s="440"/>
      <c r="P569" s="440"/>
      <c r="Q569" s="440"/>
      <c r="R569" s="108"/>
      <c r="S569" s="440"/>
      <c r="T569" s="440"/>
      <c r="U569" s="440"/>
      <c r="V569" s="440"/>
      <c r="W569" s="440"/>
      <c r="X569" s="440"/>
      <c r="Y569" s="108"/>
      <c r="Z569" s="108"/>
    </row>
    <row r="570" ht="18.75" customHeight="1">
      <c r="A570" s="437"/>
      <c r="B570" s="438"/>
      <c r="C570" s="438"/>
      <c r="D570" s="438"/>
      <c r="E570" s="438"/>
      <c r="F570" s="438"/>
      <c r="G570" s="438"/>
      <c r="H570" s="108"/>
      <c r="I570" s="108"/>
      <c r="J570" s="440"/>
      <c r="K570" s="440"/>
      <c r="L570" s="440"/>
      <c r="M570" s="440"/>
      <c r="N570" s="440"/>
      <c r="O570" s="440"/>
      <c r="P570" s="440"/>
      <c r="Q570" s="440"/>
      <c r="R570" s="108"/>
      <c r="S570" s="440"/>
      <c r="T570" s="440"/>
      <c r="U570" s="440"/>
      <c r="V570" s="440"/>
      <c r="W570" s="440"/>
      <c r="X570" s="440"/>
      <c r="Y570" s="108"/>
      <c r="Z570" s="108"/>
    </row>
    <row r="571" ht="18.75" customHeight="1">
      <c r="A571" s="437"/>
      <c r="B571" s="438"/>
      <c r="C571" s="438"/>
      <c r="D571" s="438"/>
      <c r="E571" s="438"/>
      <c r="F571" s="438"/>
      <c r="G571" s="438"/>
      <c r="H571" s="108"/>
      <c r="I571" s="108"/>
      <c r="J571" s="440"/>
      <c r="K571" s="440"/>
      <c r="L571" s="440"/>
      <c r="M571" s="440"/>
      <c r="N571" s="440"/>
      <c r="O571" s="440"/>
      <c r="P571" s="440"/>
      <c r="Q571" s="440"/>
      <c r="R571" s="108"/>
      <c r="S571" s="440"/>
      <c r="T571" s="440"/>
      <c r="U571" s="440"/>
      <c r="V571" s="440"/>
      <c r="W571" s="440"/>
      <c r="X571" s="440"/>
      <c r="Y571" s="108"/>
      <c r="Z571" s="108"/>
    </row>
    <row r="572" ht="18.75" customHeight="1">
      <c r="A572" s="437"/>
      <c r="B572" s="438"/>
      <c r="C572" s="438"/>
      <c r="D572" s="438"/>
      <c r="E572" s="438"/>
      <c r="F572" s="438"/>
      <c r="G572" s="438"/>
      <c r="H572" s="108"/>
      <c r="I572" s="108"/>
      <c r="J572" s="440"/>
      <c r="K572" s="440"/>
      <c r="L572" s="440"/>
      <c r="M572" s="440"/>
      <c r="N572" s="440"/>
      <c r="O572" s="440"/>
      <c r="P572" s="440"/>
      <c r="Q572" s="440"/>
      <c r="R572" s="108"/>
      <c r="S572" s="440"/>
      <c r="T572" s="440"/>
      <c r="U572" s="440"/>
      <c r="V572" s="440"/>
      <c r="W572" s="440"/>
      <c r="X572" s="440"/>
      <c r="Y572" s="108"/>
      <c r="Z572" s="108"/>
    </row>
    <row r="573" ht="18.75" customHeight="1">
      <c r="A573" s="437"/>
      <c r="B573" s="438"/>
      <c r="C573" s="438"/>
      <c r="D573" s="438"/>
      <c r="E573" s="438"/>
      <c r="F573" s="438"/>
      <c r="G573" s="438"/>
      <c r="H573" s="108"/>
      <c r="I573" s="108"/>
      <c r="J573" s="440"/>
      <c r="K573" s="440"/>
      <c r="L573" s="440"/>
      <c r="M573" s="440"/>
      <c r="N573" s="440"/>
      <c r="O573" s="440"/>
      <c r="P573" s="440"/>
      <c r="Q573" s="440"/>
      <c r="R573" s="108"/>
      <c r="S573" s="440"/>
      <c r="T573" s="440"/>
      <c r="U573" s="440"/>
      <c r="V573" s="440"/>
      <c r="W573" s="440"/>
      <c r="X573" s="440"/>
      <c r="Y573" s="108"/>
      <c r="Z573" s="108"/>
    </row>
    <row r="574" ht="18.75" customHeight="1">
      <c r="A574" s="437"/>
      <c r="B574" s="438"/>
      <c r="C574" s="438"/>
      <c r="D574" s="438"/>
      <c r="E574" s="438"/>
      <c r="F574" s="438"/>
      <c r="G574" s="438"/>
      <c r="H574" s="108"/>
      <c r="I574" s="108"/>
      <c r="J574" s="440"/>
      <c r="K574" s="440"/>
      <c r="L574" s="440"/>
      <c r="M574" s="440"/>
      <c r="N574" s="440"/>
      <c r="O574" s="440"/>
      <c r="P574" s="440"/>
      <c r="Q574" s="440"/>
      <c r="R574" s="108"/>
      <c r="S574" s="440"/>
      <c r="T574" s="440"/>
      <c r="U574" s="440"/>
      <c r="V574" s="440"/>
      <c r="W574" s="440"/>
      <c r="X574" s="440"/>
      <c r="Y574" s="108"/>
      <c r="Z574" s="108"/>
    </row>
    <row r="575" ht="18.75" customHeight="1">
      <c r="A575" s="437"/>
      <c r="B575" s="438"/>
      <c r="C575" s="438"/>
      <c r="D575" s="438"/>
      <c r="E575" s="438"/>
      <c r="F575" s="438"/>
      <c r="G575" s="438"/>
      <c r="H575" s="108"/>
      <c r="I575" s="108"/>
      <c r="J575" s="440"/>
      <c r="K575" s="440"/>
      <c r="L575" s="440"/>
      <c r="M575" s="440"/>
      <c r="N575" s="440"/>
      <c r="O575" s="440"/>
      <c r="P575" s="440"/>
      <c r="Q575" s="440"/>
      <c r="R575" s="108"/>
      <c r="S575" s="440"/>
      <c r="T575" s="440"/>
      <c r="U575" s="440"/>
      <c r="V575" s="440"/>
      <c r="W575" s="440"/>
      <c r="X575" s="440"/>
      <c r="Y575" s="108"/>
      <c r="Z575" s="108"/>
    </row>
    <row r="576" ht="18.75" customHeight="1">
      <c r="A576" s="437"/>
      <c r="B576" s="438"/>
      <c r="C576" s="438"/>
      <c r="D576" s="438"/>
      <c r="E576" s="438"/>
      <c r="F576" s="438"/>
      <c r="G576" s="438"/>
      <c r="H576" s="108"/>
      <c r="I576" s="108"/>
      <c r="J576" s="440"/>
      <c r="K576" s="440"/>
      <c r="L576" s="440"/>
      <c r="M576" s="440"/>
      <c r="N576" s="440"/>
      <c r="O576" s="440"/>
      <c r="P576" s="440"/>
      <c r="Q576" s="440"/>
      <c r="R576" s="108"/>
      <c r="S576" s="440"/>
      <c r="T576" s="440"/>
      <c r="U576" s="440"/>
      <c r="V576" s="440"/>
      <c r="W576" s="440"/>
      <c r="X576" s="440"/>
      <c r="Y576" s="108"/>
      <c r="Z576" s="108"/>
    </row>
    <row r="577" ht="18.75" customHeight="1">
      <c r="A577" s="437"/>
      <c r="B577" s="438"/>
      <c r="C577" s="438"/>
      <c r="D577" s="438"/>
      <c r="E577" s="438"/>
      <c r="F577" s="438"/>
      <c r="G577" s="438"/>
      <c r="H577" s="108"/>
      <c r="I577" s="108"/>
      <c r="J577" s="440"/>
      <c r="K577" s="440"/>
      <c r="L577" s="440"/>
      <c r="M577" s="440"/>
      <c r="N577" s="440"/>
      <c r="O577" s="440"/>
      <c r="P577" s="440"/>
      <c r="Q577" s="440"/>
      <c r="R577" s="108"/>
      <c r="S577" s="440"/>
      <c r="T577" s="440"/>
      <c r="U577" s="440"/>
      <c r="V577" s="440"/>
      <c r="W577" s="440"/>
      <c r="X577" s="440"/>
      <c r="Y577" s="108"/>
      <c r="Z577" s="108"/>
    </row>
    <row r="578" ht="18.75" customHeight="1">
      <c r="A578" s="437"/>
      <c r="B578" s="438"/>
      <c r="C578" s="438"/>
      <c r="D578" s="438"/>
      <c r="E578" s="438"/>
      <c r="F578" s="438"/>
      <c r="G578" s="438"/>
      <c r="H578" s="108"/>
      <c r="I578" s="108"/>
      <c r="J578" s="440"/>
      <c r="K578" s="440"/>
      <c r="L578" s="440"/>
      <c r="M578" s="440"/>
      <c r="N578" s="440"/>
      <c r="O578" s="440"/>
      <c r="P578" s="440"/>
      <c r="Q578" s="440"/>
      <c r="R578" s="108"/>
      <c r="S578" s="440"/>
      <c r="T578" s="440"/>
      <c r="U578" s="440"/>
      <c r="V578" s="440"/>
      <c r="W578" s="440"/>
      <c r="X578" s="440"/>
      <c r="Y578" s="108"/>
      <c r="Z578" s="108"/>
    </row>
    <row r="579" ht="18.75" customHeight="1">
      <c r="A579" s="437"/>
      <c r="B579" s="438"/>
      <c r="C579" s="438"/>
      <c r="D579" s="438"/>
      <c r="E579" s="438"/>
      <c r="F579" s="438"/>
      <c r="G579" s="438"/>
      <c r="H579" s="108"/>
      <c r="I579" s="108"/>
      <c r="J579" s="440"/>
      <c r="K579" s="440"/>
      <c r="L579" s="440"/>
      <c r="M579" s="440"/>
      <c r="N579" s="440"/>
      <c r="O579" s="440"/>
      <c r="P579" s="440"/>
      <c r="Q579" s="440"/>
      <c r="R579" s="108"/>
      <c r="S579" s="440"/>
      <c r="T579" s="440"/>
      <c r="U579" s="440"/>
      <c r="V579" s="440"/>
      <c r="W579" s="440"/>
      <c r="X579" s="440"/>
      <c r="Y579" s="108"/>
      <c r="Z579" s="108"/>
    </row>
    <row r="580" ht="18.75" customHeight="1">
      <c r="A580" s="437"/>
      <c r="B580" s="438"/>
      <c r="C580" s="438"/>
      <c r="D580" s="438"/>
      <c r="E580" s="438"/>
      <c r="F580" s="438"/>
      <c r="G580" s="438"/>
      <c r="H580" s="108"/>
      <c r="I580" s="108"/>
      <c r="J580" s="440"/>
      <c r="K580" s="440"/>
      <c r="L580" s="440"/>
      <c r="M580" s="440"/>
      <c r="N580" s="440"/>
      <c r="O580" s="440"/>
      <c r="P580" s="440"/>
      <c r="Q580" s="440"/>
      <c r="R580" s="108"/>
      <c r="S580" s="440"/>
      <c r="T580" s="440"/>
      <c r="U580" s="440"/>
      <c r="V580" s="440"/>
      <c r="W580" s="440"/>
      <c r="X580" s="440"/>
      <c r="Y580" s="108"/>
      <c r="Z580" s="108"/>
    </row>
    <row r="581" ht="18.75" customHeight="1">
      <c r="A581" s="437"/>
      <c r="B581" s="438"/>
      <c r="C581" s="438"/>
      <c r="D581" s="438"/>
      <c r="E581" s="438"/>
      <c r="F581" s="438"/>
      <c r="G581" s="438"/>
      <c r="H581" s="108"/>
      <c r="I581" s="108"/>
      <c r="J581" s="440"/>
      <c r="K581" s="440"/>
      <c r="L581" s="440"/>
      <c r="M581" s="440"/>
      <c r="N581" s="440"/>
      <c r="O581" s="440"/>
      <c r="P581" s="440"/>
      <c r="Q581" s="440"/>
      <c r="R581" s="108"/>
      <c r="S581" s="440"/>
      <c r="T581" s="440"/>
      <c r="U581" s="440"/>
      <c r="V581" s="440"/>
      <c r="W581" s="440"/>
      <c r="X581" s="440"/>
      <c r="Y581" s="108"/>
      <c r="Z581" s="108"/>
    </row>
    <row r="582" ht="18.75" customHeight="1">
      <c r="A582" s="437"/>
      <c r="B582" s="438"/>
      <c r="C582" s="438"/>
      <c r="D582" s="438"/>
      <c r="E582" s="438"/>
      <c r="F582" s="438"/>
      <c r="G582" s="438"/>
      <c r="H582" s="108"/>
      <c r="I582" s="108"/>
      <c r="J582" s="440"/>
      <c r="K582" s="440"/>
      <c r="L582" s="440"/>
      <c r="M582" s="440"/>
      <c r="N582" s="440"/>
      <c r="O582" s="440"/>
      <c r="P582" s="440"/>
      <c r="Q582" s="440"/>
      <c r="R582" s="108"/>
      <c r="S582" s="440"/>
      <c r="T582" s="440"/>
      <c r="U582" s="440"/>
      <c r="V582" s="440"/>
      <c r="W582" s="440"/>
      <c r="X582" s="440"/>
      <c r="Y582" s="108"/>
      <c r="Z582" s="108"/>
    </row>
    <row r="583" ht="18.75" customHeight="1">
      <c r="A583" s="437"/>
      <c r="B583" s="438"/>
      <c r="C583" s="438"/>
      <c r="D583" s="438"/>
      <c r="E583" s="438"/>
      <c r="F583" s="438"/>
      <c r="G583" s="438"/>
      <c r="H583" s="108"/>
      <c r="I583" s="108"/>
      <c r="J583" s="440"/>
      <c r="K583" s="440"/>
      <c r="L583" s="440"/>
      <c r="M583" s="440"/>
      <c r="N583" s="440"/>
      <c r="O583" s="440"/>
      <c r="P583" s="440"/>
      <c r="Q583" s="440"/>
      <c r="R583" s="108"/>
      <c r="S583" s="440"/>
      <c r="T583" s="440"/>
      <c r="U583" s="440"/>
      <c r="V583" s="440"/>
      <c r="W583" s="440"/>
      <c r="X583" s="440"/>
      <c r="Y583" s="108"/>
      <c r="Z583" s="108"/>
    </row>
    <row r="584" ht="18.75" customHeight="1">
      <c r="A584" s="437"/>
      <c r="B584" s="438"/>
      <c r="C584" s="438"/>
      <c r="D584" s="438"/>
      <c r="E584" s="438"/>
      <c r="F584" s="438"/>
      <c r="G584" s="438"/>
      <c r="H584" s="108"/>
      <c r="I584" s="108"/>
      <c r="J584" s="440"/>
      <c r="K584" s="440"/>
      <c r="L584" s="440"/>
      <c r="M584" s="440"/>
      <c r="N584" s="440"/>
      <c r="O584" s="440"/>
      <c r="P584" s="440"/>
      <c r="Q584" s="440"/>
      <c r="R584" s="108"/>
      <c r="S584" s="440"/>
      <c r="T584" s="440"/>
      <c r="U584" s="440"/>
      <c r="V584" s="440"/>
      <c r="W584" s="440"/>
      <c r="X584" s="440"/>
      <c r="Y584" s="108"/>
      <c r="Z584" s="108"/>
    </row>
    <row r="585" ht="18.75" customHeight="1">
      <c r="A585" s="437"/>
      <c r="B585" s="438"/>
      <c r="C585" s="438"/>
      <c r="D585" s="438"/>
      <c r="E585" s="438"/>
      <c r="F585" s="438"/>
      <c r="G585" s="438"/>
      <c r="H585" s="108"/>
      <c r="I585" s="108"/>
      <c r="J585" s="440"/>
      <c r="K585" s="440"/>
      <c r="L585" s="440"/>
      <c r="M585" s="440"/>
      <c r="N585" s="440"/>
      <c r="O585" s="440"/>
      <c r="P585" s="440"/>
      <c r="Q585" s="440"/>
      <c r="R585" s="108"/>
      <c r="S585" s="440"/>
      <c r="T585" s="440"/>
      <c r="U585" s="440"/>
      <c r="V585" s="440"/>
      <c r="W585" s="440"/>
      <c r="X585" s="440"/>
      <c r="Y585" s="108"/>
      <c r="Z585" s="108"/>
    </row>
    <row r="586" ht="18.75" customHeight="1">
      <c r="A586" s="437"/>
      <c r="B586" s="438"/>
      <c r="C586" s="438"/>
      <c r="D586" s="438"/>
      <c r="E586" s="438"/>
      <c r="F586" s="438"/>
      <c r="G586" s="438"/>
      <c r="H586" s="108"/>
      <c r="I586" s="108"/>
      <c r="J586" s="440"/>
      <c r="K586" s="440"/>
      <c r="L586" s="440"/>
      <c r="M586" s="440"/>
      <c r="N586" s="440"/>
      <c r="O586" s="440"/>
      <c r="P586" s="440"/>
      <c r="Q586" s="440"/>
      <c r="R586" s="108"/>
      <c r="S586" s="440"/>
      <c r="T586" s="440"/>
      <c r="U586" s="440"/>
      <c r="V586" s="440"/>
      <c r="W586" s="440"/>
      <c r="X586" s="440"/>
      <c r="Y586" s="108"/>
      <c r="Z586" s="108"/>
    </row>
    <row r="587" ht="18.75" customHeight="1">
      <c r="A587" s="437"/>
      <c r="B587" s="438"/>
      <c r="C587" s="438"/>
      <c r="D587" s="438"/>
      <c r="E587" s="438"/>
      <c r="F587" s="438"/>
      <c r="G587" s="438"/>
      <c r="H587" s="108"/>
      <c r="I587" s="108"/>
      <c r="J587" s="440"/>
      <c r="K587" s="440"/>
      <c r="L587" s="440"/>
      <c r="M587" s="440"/>
      <c r="N587" s="440"/>
      <c r="O587" s="440"/>
      <c r="P587" s="440"/>
      <c r="Q587" s="440"/>
      <c r="R587" s="108"/>
      <c r="S587" s="440"/>
      <c r="T587" s="440"/>
      <c r="U587" s="440"/>
      <c r="V587" s="440"/>
      <c r="W587" s="440"/>
      <c r="X587" s="440"/>
      <c r="Y587" s="108"/>
      <c r="Z587" s="108"/>
    </row>
    <row r="588" ht="18.75" customHeight="1">
      <c r="A588" s="437"/>
      <c r="B588" s="438"/>
      <c r="C588" s="438"/>
      <c r="D588" s="438"/>
      <c r="E588" s="438"/>
      <c r="F588" s="438"/>
      <c r="G588" s="438"/>
      <c r="H588" s="108"/>
      <c r="I588" s="108"/>
      <c r="J588" s="440"/>
      <c r="K588" s="440"/>
      <c r="L588" s="440"/>
      <c r="M588" s="440"/>
      <c r="N588" s="440"/>
      <c r="O588" s="440"/>
      <c r="P588" s="440"/>
      <c r="Q588" s="440"/>
      <c r="R588" s="108"/>
      <c r="S588" s="440"/>
      <c r="T588" s="440"/>
      <c r="U588" s="440"/>
      <c r="V588" s="440"/>
      <c r="W588" s="440"/>
      <c r="X588" s="440"/>
      <c r="Y588" s="108"/>
      <c r="Z588" s="108"/>
    </row>
    <row r="589" ht="18.75" customHeight="1">
      <c r="A589" s="437"/>
      <c r="B589" s="438"/>
      <c r="C589" s="438"/>
      <c r="D589" s="438"/>
      <c r="E589" s="438"/>
      <c r="F589" s="438"/>
      <c r="G589" s="438"/>
      <c r="H589" s="108"/>
      <c r="I589" s="108"/>
      <c r="J589" s="440"/>
      <c r="K589" s="440"/>
      <c r="L589" s="440"/>
      <c r="M589" s="440"/>
      <c r="N589" s="440"/>
      <c r="O589" s="440"/>
      <c r="P589" s="440"/>
      <c r="Q589" s="440"/>
      <c r="R589" s="108"/>
      <c r="S589" s="440"/>
      <c r="T589" s="440"/>
      <c r="U589" s="440"/>
      <c r="V589" s="440"/>
      <c r="W589" s="440"/>
      <c r="X589" s="440"/>
      <c r="Y589" s="108"/>
      <c r="Z589" s="108"/>
    </row>
    <row r="590" ht="18.75" customHeight="1">
      <c r="A590" s="437"/>
      <c r="B590" s="438"/>
      <c r="C590" s="438"/>
      <c r="D590" s="438"/>
      <c r="E590" s="438"/>
      <c r="F590" s="438"/>
      <c r="G590" s="438"/>
      <c r="H590" s="108"/>
      <c r="I590" s="108"/>
      <c r="J590" s="440"/>
      <c r="K590" s="440"/>
      <c r="L590" s="440"/>
      <c r="M590" s="440"/>
      <c r="N590" s="440"/>
      <c r="O590" s="440"/>
      <c r="P590" s="440"/>
      <c r="Q590" s="440"/>
      <c r="R590" s="108"/>
      <c r="S590" s="440"/>
      <c r="T590" s="440"/>
      <c r="U590" s="440"/>
      <c r="V590" s="440"/>
      <c r="W590" s="440"/>
      <c r="X590" s="440"/>
      <c r="Y590" s="108"/>
      <c r="Z590" s="108"/>
    </row>
    <row r="591" ht="18.75" customHeight="1">
      <c r="A591" s="437"/>
      <c r="B591" s="438"/>
      <c r="C591" s="438"/>
      <c r="D591" s="438"/>
      <c r="E591" s="438"/>
      <c r="F591" s="438"/>
      <c r="G591" s="438"/>
      <c r="H591" s="108"/>
      <c r="I591" s="108"/>
      <c r="J591" s="440"/>
      <c r="K591" s="440"/>
      <c r="L591" s="440"/>
      <c r="M591" s="440"/>
      <c r="N591" s="440"/>
      <c r="O591" s="440"/>
      <c r="P591" s="440"/>
      <c r="Q591" s="440"/>
      <c r="R591" s="108"/>
      <c r="S591" s="440"/>
      <c r="T591" s="440"/>
      <c r="U591" s="440"/>
      <c r="V591" s="440"/>
      <c r="W591" s="440"/>
      <c r="X591" s="440"/>
      <c r="Y591" s="108"/>
      <c r="Z591" s="108"/>
    </row>
    <row r="592" ht="18.75" customHeight="1">
      <c r="A592" s="437"/>
      <c r="B592" s="438"/>
      <c r="C592" s="438"/>
      <c r="D592" s="438"/>
      <c r="E592" s="438"/>
      <c r="F592" s="438"/>
      <c r="G592" s="438"/>
      <c r="H592" s="108"/>
      <c r="I592" s="108"/>
      <c r="J592" s="440"/>
      <c r="K592" s="440"/>
      <c r="L592" s="440"/>
      <c r="M592" s="440"/>
      <c r="N592" s="440"/>
      <c r="O592" s="440"/>
      <c r="P592" s="440"/>
      <c r="Q592" s="440"/>
      <c r="R592" s="108"/>
      <c r="S592" s="440"/>
      <c r="T592" s="440"/>
      <c r="U592" s="440"/>
      <c r="V592" s="440"/>
      <c r="W592" s="440"/>
      <c r="X592" s="440"/>
      <c r="Y592" s="108"/>
      <c r="Z592" s="108"/>
    </row>
    <row r="593" ht="18.75" customHeight="1">
      <c r="A593" s="437"/>
      <c r="B593" s="438"/>
      <c r="C593" s="438"/>
      <c r="D593" s="438"/>
      <c r="E593" s="438"/>
      <c r="F593" s="438"/>
      <c r="G593" s="438"/>
      <c r="H593" s="108"/>
      <c r="I593" s="108"/>
      <c r="J593" s="440"/>
      <c r="K593" s="440"/>
      <c r="L593" s="440"/>
      <c r="M593" s="440"/>
      <c r="N593" s="440"/>
      <c r="O593" s="440"/>
      <c r="P593" s="440"/>
      <c r="Q593" s="440"/>
      <c r="R593" s="108"/>
      <c r="S593" s="440"/>
      <c r="T593" s="440"/>
      <c r="U593" s="440"/>
      <c r="V593" s="440"/>
      <c r="W593" s="440"/>
      <c r="X593" s="440"/>
      <c r="Y593" s="108"/>
      <c r="Z593" s="108"/>
    </row>
    <row r="594" ht="18.75" customHeight="1">
      <c r="A594" s="437"/>
      <c r="B594" s="438"/>
      <c r="C594" s="438"/>
      <c r="D594" s="438"/>
      <c r="E594" s="438"/>
      <c r="F594" s="438"/>
      <c r="G594" s="438"/>
      <c r="H594" s="108"/>
      <c r="I594" s="108"/>
      <c r="J594" s="440"/>
      <c r="K594" s="440"/>
      <c r="L594" s="440"/>
      <c r="M594" s="440"/>
      <c r="N594" s="440"/>
      <c r="O594" s="440"/>
      <c r="P594" s="440"/>
      <c r="Q594" s="440"/>
      <c r="R594" s="108"/>
      <c r="S594" s="440"/>
      <c r="T594" s="440"/>
      <c r="U594" s="440"/>
      <c r="V594" s="440"/>
      <c r="W594" s="440"/>
      <c r="X594" s="440"/>
      <c r="Y594" s="108"/>
      <c r="Z594" s="108"/>
    </row>
    <row r="595" ht="18.75" customHeight="1">
      <c r="A595" s="437"/>
      <c r="B595" s="438"/>
      <c r="C595" s="438"/>
      <c r="D595" s="438"/>
      <c r="E595" s="438"/>
      <c r="F595" s="438"/>
      <c r="G595" s="438"/>
      <c r="H595" s="108"/>
      <c r="I595" s="108"/>
      <c r="J595" s="440"/>
      <c r="K595" s="440"/>
      <c r="L595" s="440"/>
      <c r="M595" s="440"/>
      <c r="N595" s="440"/>
      <c r="O595" s="440"/>
      <c r="P595" s="440"/>
      <c r="Q595" s="440"/>
      <c r="R595" s="108"/>
      <c r="S595" s="440"/>
      <c r="T595" s="440"/>
      <c r="U595" s="440"/>
      <c r="V595" s="440"/>
      <c r="W595" s="440"/>
      <c r="X595" s="440"/>
      <c r="Y595" s="108"/>
      <c r="Z595" s="108"/>
    </row>
    <row r="596" ht="18.75" customHeight="1">
      <c r="A596" s="437"/>
      <c r="B596" s="438"/>
      <c r="C596" s="438"/>
      <c r="D596" s="438"/>
      <c r="E596" s="438"/>
      <c r="F596" s="438"/>
      <c r="G596" s="438"/>
      <c r="H596" s="108"/>
      <c r="I596" s="108"/>
      <c r="J596" s="440"/>
      <c r="K596" s="440"/>
      <c r="L596" s="440"/>
      <c r="M596" s="440"/>
      <c r="N596" s="440"/>
      <c r="O596" s="440"/>
      <c r="P596" s="440"/>
      <c r="Q596" s="440"/>
      <c r="R596" s="108"/>
      <c r="S596" s="440"/>
      <c r="T596" s="440"/>
      <c r="U596" s="440"/>
      <c r="V596" s="440"/>
      <c r="W596" s="440"/>
      <c r="X596" s="440"/>
      <c r="Y596" s="108"/>
      <c r="Z596" s="108"/>
    </row>
    <row r="597" ht="18.75" customHeight="1">
      <c r="A597" s="437"/>
      <c r="B597" s="438"/>
      <c r="C597" s="438"/>
      <c r="D597" s="438"/>
      <c r="E597" s="438"/>
      <c r="F597" s="438"/>
      <c r="G597" s="438"/>
      <c r="H597" s="108"/>
      <c r="I597" s="108"/>
      <c r="J597" s="440"/>
      <c r="K597" s="440"/>
      <c r="L597" s="440"/>
      <c r="M597" s="440"/>
      <c r="N597" s="440"/>
      <c r="O597" s="440"/>
      <c r="P597" s="440"/>
      <c r="Q597" s="440"/>
      <c r="R597" s="108"/>
      <c r="S597" s="440"/>
      <c r="T597" s="440"/>
      <c r="U597" s="440"/>
      <c r="V597" s="440"/>
      <c r="W597" s="440"/>
      <c r="X597" s="440"/>
      <c r="Y597" s="108"/>
      <c r="Z597" s="108"/>
    </row>
    <row r="598" ht="18.75" customHeight="1">
      <c r="A598" s="437"/>
      <c r="B598" s="438"/>
      <c r="C598" s="438"/>
      <c r="D598" s="438"/>
      <c r="E598" s="438"/>
      <c r="F598" s="438"/>
      <c r="G598" s="438"/>
      <c r="H598" s="108"/>
      <c r="I598" s="108"/>
      <c r="J598" s="440"/>
      <c r="K598" s="440"/>
      <c r="L598" s="440"/>
      <c r="M598" s="440"/>
      <c r="N598" s="440"/>
      <c r="O598" s="440"/>
      <c r="P598" s="440"/>
      <c r="Q598" s="440"/>
      <c r="R598" s="108"/>
      <c r="S598" s="440"/>
      <c r="T598" s="440"/>
      <c r="U598" s="440"/>
      <c r="V598" s="440"/>
      <c r="W598" s="440"/>
      <c r="X598" s="440"/>
      <c r="Y598" s="108"/>
      <c r="Z598" s="108"/>
    </row>
    <row r="599" ht="18.75" customHeight="1">
      <c r="A599" s="437"/>
      <c r="B599" s="438"/>
      <c r="C599" s="438"/>
      <c r="D599" s="438"/>
      <c r="E599" s="438"/>
      <c r="F599" s="438"/>
      <c r="G599" s="438"/>
      <c r="H599" s="108"/>
      <c r="I599" s="108"/>
      <c r="J599" s="440"/>
      <c r="K599" s="440"/>
      <c r="L599" s="440"/>
      <c r="M599" s="440"/>
      <c r="N599" s="440"/>
      <c r="O599" s="440"/>
      <c r="P599" s="440"/>
      <c r="Q599" s="440"/>
      <c r="R599" s="108"/>
      <c r="S599" s="440"/>
      <c r="T599" s="440"/>
      <c r="U599" s="440"/>
      <c r="V599" s="440"/>
      <c r="W599" s="440"/>
      <c r="X599" s="440"/>
      <c r="Y599" s="108"/>
      <c r="Z599" s="108"/>
    </row>
    <row r="600" ht="18.75" customHeight="1">
      <c r="A600" s="437"/>
      <c r="B600" s="438"/>
      <c r="C600" s="438"/>
      <c r="D600" s="438"/>
      <c r="E600" s="438"/>
      <c r="F600" s="438"/>
      <c r="G600" s="438"/>
      <c r="H600" s="108"/>
      <c r="I600" s="108"/>
      <c r="J600" s="440"/>
      <c r="K600" s="440"/>
      <c r="L600" s="440"/>
      <c r="M600" s="440"/>
      <c r="N600" s="440"/>
      <c r="O600" s="440"/>
      <c r="P600" s="440"/>
      <c r="Q600" s="440"/>
      <c r="R600" s="108"/>
      <c r="S600" s="440"/>
      <c r="T600" s="440"/>
      <c r="U600" s="440"/>
      <c r="V600" s="440"/>
      <c r="W600" s="440"/>
      <c r="X600" s="440"/>
      <c r="Y600" s="108"/>
      <c r="Z600" s="108"/>
    </row>
    <row r="601" ht="18.75" customHeight="1">
      <c r="A601" s="437"/>
      <c r="B601" s="438"/>
      <c r="C601" s="438"/>
      <c r="D601" s="438"/>
      <c r="E601" s="438"/>
      <c r="F601" s="438"/>
      <c r="G601" s="438"/>
      <c r="H601" s="108"/>
      <c r="I601" s="108"/>
      <c r="J601" s="440"/>
      <c r="K601" s="440"/>
      <c r="L601" s="440"/>
      <c r="M601" s="440"/>
      <c r="N601" s="440"/>
      <c r="O601" s="440"/>
      <c r="P601" s="440"/>
      <c r="Q601" s="440"/>
      <c r="R601" s="108"/>
      <c r="S601" s="440"/>
      <c r="T601" s="440"/>
      <c r="U601" s="440"/>
      <c r="V601" s="440"/>
      <c r="W601" s="440"/>
      <c r="X601" s="440"/>
      <c r="Y601" s="108"/>
      <c r="Z601" s="108"/>
    </row>
    <row r="602" ht="18.75" customHeight="1">
      <c r="A602" s="437"/>
      <c r="B602" s="438"/>
      <c r="C602" s="438"/>
      <c r="D602" s="438"/>
      <c r="E602" s="438"/>
      <c r="F602" s="438"/>
      <c r="G602" s="438"/>
      <c r="H602" s="108"/>
      <c r="I602" s="108"/>
      <c r="J602" s="440"/>
      <c r="K602" s="440"/>
      <c r="L602" s="440"/>
      <c r="M602" s="440"/>
      <c r="N602" s="440"/>
      <c r="O602" s="440"/>
      <c r="P602" s="440"/>
      <c r="Q602" s="440"/>
      <c r="R602" s="108"/>
      <c r="S602" s="440"/>
      <c r="T602" s="440"/>
      <c r="U602" s="440"/>
      <c r="V602" s="440"/>
      <c r="W602" s="440"/>
      <c r="X602" s="440"/>
      <c r="Y602" s="108"/>
      <c r="Z602" s="108"/>
    </row>
    <row r="603" ht="18.75" customHeight="1">
      <c r="A603" s="437"/>
      <c r="B603" s="438"/>
      <c r="C603" s="438"/>
      <c r="D603" s="438"/>
      <c r="E603" s="438"/>
      <c r="F603" s="438"/>
      <c r="G603" s="438"/>
      <c r="H603" s="108"/>
      <c r="I603" s="108"/>
      <c r="J603" s="440"/>
      <c r="K603" s="440"/>
      <c r="L603" s="440"/>
      <c r="M603" s="440"/>
      <c r="N603" s="440"/>
      <c r="O603" s="440"/>
      <c r="P603" s="440"/>
      <c r="Q603" s="440"/>
      <c r="R603" s="108"/>
      <c r="S603" s="440"/>
      <c r="T603" s="440"/>
      <c r="U603" s="440"/>
      <c r="V603" s="440"/>
      <c r="W603" s="440"/>
      <c r="X603" s="440"/>
      <c r="Y603" s="108"/>
      <c r="Z603" s="108"/>
    </row>
    <row r="604" ht="18.75" customHeight="1">
      <c r="A604" s="437"/>
      <c r="B604" s="438"/>
      <c r="C604" s="438"/>
      <c r="D604" s="438"/>
      <c r="E604" s="438"/>
      <c r="F604" s="438"/>
      <c r="G604" s="438"/>
      <c r="H604" s="108"/>
      <c r="I604" s="108"/>
      <c r="J604" s="440"/>
      <c r="K604" s="440"/>
      <c r="L604" s="440"/>
      <c r="M604" s="440"/>
      <c r="N604" s="440"/>
      <c r="O604" s="440"/>
      <c r="P604" s="440"/>
      <c r="Q604" s="440"/>
      <c r="R604" s="108"/>
      <c r="S604" s="440"/>
      <c r="T604" s="440"/>
      <c r="U604" s="440"/>
      <c r="V604" s="440"/>
      <c r="W604" s="440"/>
      <c r="X604" s="440"/>
      <c r="Y604" s="108"/>
      <c r="Z604" s="108"/>
    </row>
    <row r="605" ht="18.75" customHeight="1">
      <c r="A605" s="437"/>
      <c r="B605" s="438"/>
      <c r="C605" s="438"/>
      <c r="D605" s="438"/>
      <c r="E605" s="438"/>
      <c r="F605" s="438"/>
      <c r="G605" s="438"/>
      <c r="H605" s="108"/>
      <c r="I605" s="108"/>
      <c r="J605" s="440"/>
      <c r="K605" s="440"/>
      <c r="L605" s="440"/>
      <c r="M605" s="440"/>
      <c r="N605" s="440"/>
      <c r="O605" s="440"/>
      <c r="P605" s="440"/>
      <c r="Q605" s="440"/>
      <c r="R605" s="108"/>
      <c r="S605" s="440"/>
      <c r="T605" s="440"/>
      <c r="U605" s="440"/>
      <c r="V605" s="440"/>
      <c r="W605" s="440"/>
      <c r="X605" s="440"/>
      <c r="Y605" s="108"/>
      <c r="Z605" s="108"/>
    </row>
    <row r="606" ht="18.75" customHeight="1">
      <c r="A606" s="437"/>
      <c r="B606" s="438"/>
      <c r="C606" s="438"/>
      <c r="D606" s="438"/>
      <c r="E606" s="438"/>
      <c r="F606" s="438"/>
      <c r="G606" s="438"/>
      <c r="H606" s="108"/>
      <c r="I606" s="108"/>
      <c r="J606" s="440"/>
      <c r="K606" s="440"/>
      <c r="L606" s="440"/>
      <c r="M606" s="440"/>
      <c r="N606" s="440"/>
      <c r="O606" s="440"/>
      <c r="P606" s="440"/>
      <c r="Q606" s="440"/>
      <c r="R606" s="108"/>
      <c r="S606" s="440"/>
      <c r="T606" s="440"/>
      <c r="U606" s="440"/>
      <c r="V606" s="440"/>
      <c r="W606" s="440"/>
      <c r="X606" s="440"/>
      <c r="Y606" s="108"/>
      <c r="Z606" s="108"/>
    </row>
    <row r="607" ht="18.75" customHeight="1">
      <c r="A607" s="437"/>
      <c r="B607" s="438"/>
      <c r="C607" s="438"/>
      <c r="D607" s="438"/>
      <c r="E607" s="438"/>
      <c r="F607" s="438"/>
      <c r="G607" s="438"/>
      <c r="H607" s="108"/>
      <c r="I607" s="108"/>
      <c r="J607" s="440"/>
      <c r="K607" s="440"/>
      <c r="L607" s="440"/>
      <c r="M607" s="440"/>
      <c r="N607" s="440"/>
      <c r="O607" s="440"/>
      <c r="P607" s="440"/>
      <c r="Q607" s="440"/>
      <c r="R607" s="108"/>
      <c r="S607" s="440"/>
      <c r="T607" s="440"/>
      <c r="U607" s="440"/>
      <c r="V607" s="440"/>
      <c r="W607" s="440"/>
      <c r="X607" s="440"/>
      <c r="Y607" s="108"/>
      <c r="Z607" s="108"/>
    </row>
    <row r="608" ht="18.75" customHeight="1">
      <c r="A608" s="437"/>
      <c r="B608" s="438"/>
      <c r="C608" s="438"/>
      <c r="D608" s="438"/>
      <c r="E608" s="438"/>
      <c r="F608" s="438"/>
      <c r="G608" s="438"/>
      <c r="H608" s="108"/>
      <c r="I608" s="108"/>
      <c r="J608" s="440"/>
      <c r="K608" s="440"/>
      <c r="L608" s="440"/>
      <c r="M608" s="440"/>
      <c r="N608" s="440"/>
      <c r="O608" s="440"/>
      <c r="P608" s="440"/>
      <c r="Q608" s="440"/>
      <c r="R608" s="108"/>
      <c r="S608" s="440"/>
      <c r="T608" s="440"/>
      <c r="U608" s="440"/>
      <c r="V608" s="440"/>
      <c r="W608" s="440"/>
      <c r="X608" s="440"/>
      <c r="Y608" s="108"/>
      <c r="Z608" s="108"/>
    </row>
    <row r="609" ht="18.75" customHeight="1">
      <c r="A609" s="437"/>
      <c r="B609" s="438"/>
      <c r="C609" s="438"/>
      <c r="D609" s="438"/>
      <c r="E609" s="438"/>
      <c r="F609" s="438"/>
      <c r="G609" s="438"/>
      <c r="H609" s="108"/>
      <c r="I609" s="108"/>
      <c r="J609" s="440"/>
      <c r="K609" s="440"/>
      <c r="L609" s="440"/>
      <c r="M609" s="440"/>
      <c r="N609" s="440"/>
      <c r="O609" s="440"/>
      <c r="P609" s="440"/>
      <c r="Q609" s="440"/>
      <c r="R609" s="108"/>
      <c r="S609" s="440"/>
      <c r="T609" s="440"/>
      <c r="U609" s="440"/>
      <c r="V609" s="440"/>
      <c r="W609" s="440"/>
      <c r="X609" s="440"/>
      <c r="Y609" s="108"/>
      <c r="Z609" s="108"/>
    </row>
    <row r="610" ht="18.75" customHeight="1">
      <c r="A610" s="437"/>
      <c r="B610" s="438"/>
      <c r="C610" s="438"/>
      <c r="D610" s="438"/>
      <c r="E610" s="438"/>
      <c r="F610" s="438"/>
      <c r="G610" s="438"/>
      <c r="H610" s="108"/>
      <c r="I610" s="108"/>
      <c r="J610" s="440"/>
      <c r="K610" s="440"/>
      <c r="L610" s="440"/>
      <c r="M610" s="440"/>
      <c r="N610" s="440"/>
      <c r="O610" s="440"/>
      <c r="P610" s="440"/>
      <c r="Q610" s="440"/>
      <c r="R610" s="108"/>
      <c r="S610" s="440"/>
      <c r="T610" s="440"/>
      <c r="U610" s="440"/>
      <c r="V610" s="440"/>
      <c r="W610" s="440"/>
      <c r="X610" s="440"/>
      <c r="Y610" s="108"/>
      <c r="Z610" s="108"/>
    </row>
    <row r="611" ht="18.75" customHeight="1">
      <c r="A611" s="437"/>
      <c r="B611" s="438"/>
      <c r="C611" s="438"/>
      <c r="D611" s="438"/>
      <c r="E611" s="438"/>
      <c r="F611" s="438"/>
      <c r="G611" s="438"/>
      <c r="H611" s="108"/>
      <c r="I611" s="108"/>
      <c r="J611" s="440"/>
      <c r="K611" s="440"/>
      <c r="L611" s="440"/>
      <c r="M611" s="440"/>
      <c r="N611" s="440"/>
      <c r="O611" s="440"/>
      <c r="P611" s="440"/>
      <c r="Q611" s="440"/>
      <c r="R611" s="108"/>
      <c r="S611" s="440"/>
      <c r="T611" s="440"/>
      <c r="U611" s="440"/>
      <c r="V611" s="440"/>
      <c r="W611" s="440"/>
      <c r="X611" s="440"/>
      <c r="Y611" s="108"/>
      <c r="Z611" s="108"/>
    </row>
    <row r="612" ht="18.75" customHeight="1">
      <c r="A612" s="437"/>
      <c r="B612" s="438"/>
      <c r="C612" s="438"/>
      <c r="D612" s="438"/>
      <c r="E612" s="438"/>
      <c r="F612" s="438"/>
      <c r="G612" s="438"/>
      <c r="H612" s="108"/>
      <c r="I612" s="108"/>
      <c r="J612" s="440"/>
      <c r="K612" s="440"/>
      <c r="L612" s="440"/>
      <c r="M612" s="440"/>
      <c r="N612" s="440"/>
      <c r="O612" s="440"/>
      <c r="P612" s="440"/>
      <c r="Q612" s="440"/>
      <c r="R612" s="108"/>
      <c r="S612" s="440"/>
      <c r="T612" s="440"/>
      <c r="U612" s="440"/>
      <c r="V612" s="440"/>
      <c r="W612" s="440"/>
      <c r="X612" s="440"/>
      <c r="Y612" s="108"/>
      <c r="Z612" s="108"/>
    </row>
    <row r="613" ht="18.75" customHeight="1">
      <c r="A613" s="437"/>
      <c r="B613" s="438"/>
      <c r="C613" s="438"/>
      <c r="D613" s="438"/>
      <c r="E613" s="438"/>
      <c r="F613" s="438"/>
      <c r="G613" s="438"/>
      <c r="H613" s="108"/>
      <c r="I613" s="108"/>
      <c r="J613" s="440"/>
      <c r="K613" s="440"/>
      <c r="L613" s="440"/>
      <c r="M613" s="440"/>
      <c r="N613" s="440"/>
      <c r="O613" s="440"/>
      <c r="P613" s="440"/>
      <c r="Q613" s="440"/>
      <c r="R613" s="108"/>
      <c r="S613" s="440"/>
      <c r="T613" s="440"/>
      <c r="U613" s="440"/>
      <c r="V613" s="440"/>
      <c r="W613" s="440"/>
      <c r="X613" s="440"/>
      <c r="Y613" s="108"/>
      <c r="Z613" s="108"/>
    </row>
    <row r="614" ht="18.75" customHeight="1">
      <c r="A614" s="437"/>
      <c r="B614" s="438"/>
      <c r="C614" s="438"/>
      <c r="D614" s="438"/>
      <c r="E614" s="438"/>
      <c r="F614" s="438"/>
      <c r="G614" s="438"/>
      <c r="H614" s="108"/>
      <c r="I614" s="108"/>
      <c r="J614" s="440"/>
      <c r="K614" s="440"/>
      <c r="L614" s="440"/>
      <c r="M614" s="440"/>
      <c r="N614" s="440"/>
      <c r="O614" s="440"/>
      <c r="P614" s="440"/>
      <c r="Q614" s="440"/>
      <c r="R614" s="108"/>
      <c r="S614" s="440"/>
      <c r="T614" s="440"/>
      <c r="U614" s="440"/>
      <c r="V614" s="440"/>
      <c r="W614" s="440"/>
      <c r="X614" s="440"/>
      <c r="Y614" s="108"/>
      <c r="Z614" s="108"/>
    </row>
    <row r="615" ht="18.75" customHeight="1">
      <c r="A615" s="437"/>
      <c r="B615" s="438"/>
      <c r="C615" s="438"/>
      <c r="D615" s="438"/>
      <c r="E615" s="438"/>
      <c r="F615" s="438"/>
      <c r="G615" s="438"/>
      <c r="H615" s="108"/>
      <c r="I615" s="108"/>
      <c r="J615" s="440"/>
      <c r="K615" s="440"/>
      <c r="L615" s="440"/>
      <c r="M615" s="440"/>
      <c r="N615" s="440"/>
      <c r="O615" s="440"/>
      <c r="P615" s="440"/>
      <c r="Q615" s="440"/>
      <c r="R615" s="108"/>
      <c r="S615" s="440"/>
      <c r="T615" s="440"/>
      <c r="U615" s="440"/>
      <c r="V615" s="440"/>
      <c r="W615" s="440"/>
      <c r="X615" s="440"/>
      <c r="Y615" s="108"/>
      <c r="Z615" s="108"/>
    </row>
    <row r="616" ht="18.75" customHeight="1">
      <c r="A616" s="437"/>
      <c r="B616" s="438"/>
      <c r="C616" s="438"/>
      <c r="D616" s="438"/>
      <c r="E616" s="438"/>
      <c r="F616" s="438"/>
      <c r="G616" s="438"/>
      <c r="H616" s="108"/>
      <c r="I616" s="108"/>
      <c r="J616" s="440"/>
      <c r="K616" s="440"/>
      <c r="L616" s="440"/>
      <c r="M616" s="440"/>
      <c r="N616" s="440"/>
      <c r="O616" s="440"/>
      <c r="P616" s="440"/>
      <c r="Q616" s="440"/>
      <c r="R616" s="108"/>
      <c r="S616" s="440"/>
      <c r="T616" s="440"/>
      <c r="U616" s="440"/>
      <c r="V616" s="440"/>
      <c r="W616" s="440"/>
      <c r="X616" s="440"/>
      <c r="Y616" s="108"/>
      <c r="Z616" s="108"/>
    </row>
    <row r="617" ht="18.75" customHeight="1">
      <c r="A617" s="437"/>
      <c r="B617" s="438"/>
      <c r="C617" s="438"/>
      <c r="D617" s="438"/>
      <c r="E617" s="438"/>
      <c r="F617" s="438"/>
      <c r="G617" s="438"/>
      <c r="H617" s="108"/>
      <c r="I617" s="108"/>
      <c r="J617" s="440"/>
      <c r="K617" s="440"/>
      <c r="L617" s="440"/>
      <c r="M617" s="440"/>
      <c r="N617" s="440"/>
      <c r="O617" s="440"/>
      <c r="P617" s="440"/>
      <c r="Q617" s="440"/>
      <c r="R617" s="108"/>
      <c r="S617" s="440"/>
      <c r="T617" s="440"/>
      <c r="U617" s="440"/>
      <c r="V617" s="440"/>
      <c r="W617" s="440"/>
      <c r="X617" s="440"/>
      <c r="Y617" s="108"/>
      <c r="Z617" s="108"/>
    </row>
    <row r="618" ht="18.75" customHeight="1">
      <c r="A618" s="437"/>
      <c r="B618" s="438"/>
      <c r="C618" s="438"/>
      <c r="D618" s="438"/>
      <c r="E618" s="438"/>
      <c r="F618" s="438"/>
      <c r="G618" s="438"/>
      <c r="H618" s="108"/>
      <c r="I618" s="108"/>
      <c r="J618" s="440"/>
      <c r="K618" s="440"/>
      <c r="L618" s="440"/>
      <c r="M618" s="440"/>
      <c r="N618" s="440"/>
      <c r="O618" s="440"/>
      <c r="P618" s="440"/>
      <c r="Q618" s="440"/>
      <c r="R618" s="108"/>
      <c r="S618" s="440"/>
      <c r="T618" s="440"/>
      <c r="U618" s="440"/>
      <c r="V618" s="440"/>
      <c r="W618" s="440"/>
      <c r="X618" s="440"/>
      <c r="Y618" s="108"/>
      <c r="Z618" s="108"/>
    </row>
    <row r="619" ht="18.75" customHeight="1">
      <c r="A619" s="437"/>
      <c r="B619" s="438"/>
      <c r="C619" s="438"/>
      <c r="D619" s="438"/>
      <c r="E619" s="438"/>
      <c r="F619" s="438"/>
      <c r="G619" s="438"/>
      <c r="H619" s="108"/>
      <c r="I619" s="108"/>
      <c r="J619" s="440"/>
      <c r="K619" s="440"/>
      <c r="L619" s="440"/>
      <c r="M619" s="440"/>
      <c r="N619" s="440"/>
      <c r="O619" s="440"/>
      <c r="P619" s="440"/>
      <c r="Q619" s="440"/>
      <c r="R619" s="108"/>
      <c r="S619" s="440"/>
      <c r="T619" s="440"/>
      <c r="U619" s="440"/>
      <c r="V619" s="440"/>
      <c r="W619" s="440"/>
      <c r="X619" s="440"/>
      <c r="Y619" s="108"/>
      <c r="Z619" s="108"/>
    </row>
    <row r="620" ht="18.75" customHeight="1">
      <c r="A620" s="437"/>
      <c r="B620" s="438"/>
      <c r="C620" s="438"/>
      <c r="D620" s="438"/>
      <c r="E620" s="438"/>
      <c r="F620" s="438"/>
      <c r="G620" s="438"/>
      <c r="H620" s="108"/>
      <c r="I620" s="108"/>
      <c r="J620" s="440"/>
      <c r="K620" s="440"/>
      <c r="L620" s="440"/>
      <c r="M620" s="440"/>
      <c r="N620" s="440"/>
      <c r="O620" s="440"/>
      <c r="P620" s="440"/>
      <c r="Q620" s="440"/>
      <c r="R620" s="108"/>
      <c r="S620" s="440"/>
      <c r="T620" s="440"/>
      <c r="U620" s="440"/>
      <c r="V620" s="440"/>
      <c r="W620" s="440"/>
      <c r="X620" s="440"/>
      <c r="Y620" s="108"/>
      <c r="Z620" s="108"/>
    </row>
    <row r="621" ht="18.75" customHeight="1">
      <c r="A621" s="437"/>
      <c r="B621" s="438"/>
      <c r="C621" s="438"/>
      <c r="D621" s="438"/>
      <c r="E621" s="438"/>
      <c r="F621" s="438"/>
      <c r="G621" s="438"/>
      <c r="H621" s="108"/>
      <c r="I621" s="108"/>
      <c r="J621" s="440"/>
      <c r="K621" s="440"/>
      <c r="L621" s="440"/>
      <c r="M621" s="440"/>
      <c r="N621" s="440"/>
      <c r="O621" s="440"/>
      <c r="P621" s="440"/>
      <c r="Q621" s="440"/>
      <c r="R621" s="108"/>
      <c r="S621" s="440"/>
      <c r="T621" s="440"/>
      <c r="U621" s="440"/>
      <c r="V621" s="440"/>
      <c r="W621" s="440"/>
      <c r="X621" s="440"/>
      <c r="Y621" s="108"/>
      <c r="Z621" s="108"/>
    </row>
    <row r="622" ht="18.75" customHeight="1">
      <c r="A622" s="437"/>
      <c r="B622" s="438"/>
      <c r="C622" s="438"/>
      <c r="D622" s="438"/>
      <c r="E622" s="438"/>
      <c r="F622" s="438"/>
      <c r="G622" s="438"/>
      <c r="H622" s="108"/>
      <c r="I622" s="108"/>
      <c r="J622" s="440"/>
      <c r="K622" s="440"/>
      <c r="L622" s="440"/>
      <c r="M622" s="440"/>
      <c r="N622" s="440"/>
      <c r="O622" s="440"/>
      <c r="P622" s="440"/>
      <c r="Q622" s="440"/>
      <c r="R622" s="108"/>
      <c r="S622" s="440"/>
      <c r="T622" s="440"/>
      <c r="U622" s="440"/>
      <c r="V622" s="440"/>
      <c r="W622" s="440"/>
      <c r="X622" s="440"/>
      <c r="Y622" s="108"/>
      <c r="Z622" s="108"/>
    </row>
    <row r="623" ht="18.75" customHeight="1">
      <c r="A623" s="437"/>
      <c r="B623" s="438"/>
      <c r="C623" s="438"/>
      <c r="D623" s="438"/>
      <c r="E623" s="438"/>
      <c r="F623" s="438"/>
      <c r="G623" s="438"/>
      <c r="H623" s="108"/>
      <c r="I623" s="108"/>
      <c r="J623" s="440"/>
      <c r="K623" s="440"/>
      <c r="L623" s="440"/>
      <c r="M623" s="440"/>
      <c r="N623" s="440"/>
      <c r="O623" s="440"/>
      <c r="P623" s="440"/>
      <c r="Q623" s="440"/>
      <c r="R623" s="108"/>
      <c r="S623" s="440"/>
      <c r="T623" s="440"/>
      <c r="U623" s="440"/>
      <c r="V623" s="440"/>
      <c r="W623" s="440"/>
      <c r="X623" s="440"/>
      <c r="Y623" s="108"/>
      <c r="Z623" s="108"/>
    </row>
    <row r="624" ht="18.75" customHeight="1">
      <c r="A624" s="437"/>
      <c r="B624" s="438"/>
      <c r="C624" s="438"/>
      <c r="D624" s="438"/>
      <c r="E624" s="438"/>
      <c r="F624" s="438"/>
      <c r="G624" s="438"/>
      <c r="H624" s="108"/>
      <c r="I624" s="108"/>
      <c r="J624" s="440"/>
      <c r="K624" s="440"/>
      <c r="L624" s="440"/>
      <c r="M624" s="440"/>
      <c r="N624" s="440"/>
      <c r="O624" s="440"/>
      <c r="P624" s="440"/>
      <c r="Q624" s="440"/>
      <c r="R624" s="108"/>
      <c r="S624" s="440"/>
      <c r="T624" s="440"/>
      <c r="U624" s="440"/>
      <c r="V624" s="440"/>
      <c r="W624" s="440"/>
      <c r="X624" s="440"/>
      <c r="Y624" s="108"/>
      <c r="Z624" s="108"/>
    </row>
    <row r="625" ht="18.75" customHeight="1">
      <c r="A625" s="437"/>
      <c r="B625" s="438"/>
      <c r="C625" s="438"/>
      <c r="D625" s="438"/>
      <c r="E625" s="438"/>
      <c r="F625" s="438"/>
      <c r="G625" s="438"/>
      <c r="H625" s="108"/>
      <c r="I625" s="108"/>
      <c r="J625" s="440"/>
      <c r="K625" s="440"/>
      <c r="L625" s="440"/>
      <c r="M625" s="440"/>
      <c r="N625" s="440"/>
      <c r="O625" s="440"/>
      <c r="P625" s="440"/>
      <c r="Q625" s="440"/>
      <c r="R625" s="108"/>
      <c r="S625" s="440"/>
      <c r="T625" s="440"/>
      <c r="U625" s="440"/>
      <c r="V625" s="440"/>
      <c r="W625" s="440"/>
      <c r="X625" s="440"/>
      <c r="Y625" s="108"/>
      <c r="Z625" s="108"/>
    </row>
    <row r="626" ht="18.75" customHeight="1">
      <c r="A626" s="437"/>
      <c r="B626" s="438"/>
      <c r="C626" s="438"/>
      <c r="D626" s="438"/>
      <c r="E626" s="438"/>
      <c r="F626" s="438"/>
      <c r="G626" s="438"/>
      <c r="H626" s="108"/>
      <c r="I626" s="108"/>
      <c r="J626" s="440"/>
      <c r="K626" s="440"/>
      <c r="L626" s="440"/>
      <c r="M626" s="440"/>
      <c r="N626" s="440"/>
      <c r="O626" s="440"/>
      <c r="P626" s="440"/>
      <c r="Q626" s="440"/>
      <c r="R626" s="108"/>
      <c r="S626" s="440"/>
      <c r="T626" s="440"/>
      <c r="U626" s="440"/>
      <c r="V626" s="440"/>
      <c r="W626" s="440"/>
      <c r="X626" s="440"/>
      <c r="Y626" s="108"/>
      <c r="Z626" s="108"/>
    </row>
    <row r="627" ht="18.75" customHeight="1">
      <c r="A627" s="437"/>
      <c r="B627" s="438"/>
      <c r="C627" s="438"/>
      <c r="D627" s="438"/>
      <c r="E627" s="438"/>
      <c r="F627" s="438"/>
      <c r="G627" s="438"/>
      <c r="H627" s="108"/>
      <c r="I627" s="108"/>
      <c r="J627" s="440"/>
      <c r="K627" s="440"/>
      <c r="L627" s="440"/>
      <c r="M627" s="440"/>
      <c r="N627" s="440"/>
      <c r="O627" s="440"/>
      <c r="P627" s="440"/>
      <c r="Q627" s="440"/>
      <c r="R627" s="108"/>
      <c r="S627" s="440"/>
      <c r="T627" s="440"/>
      <c r="U627" s="440"/>
      <c r="V627" s="440"/>
      <c r="W627" s="440"/>
      <c r="X627" s="440"/>
      <c r="Y627" s="108"/>
      <c r="Z627" s="108"/>
    </row>
    <row r="628" ht="18.75" customHeight="1">
      <c r="A628" s="437"/>
      <c r="B628" s="438"/>
      <c r="C628" s="438"/>
      <c r="D628" s="438"/>
      <c r="E628" s="438"/>
      <c r="F628" s="438"/>
      <c r="G628" s="438"/>
      <c r="H628" s="108"/>
      <c r="I628" s="108"/>
      <c r="J628" s="440"/>
      <c r="K628" s="440"/>
      <c r="L628" s="440"/>
      <c r="M628" s="440"/>
      <c r="N628" s="440"/>
      <c r="O628" s="440"/>
      <c r="P628" s="440"/>
      <c r="Q628" s="440"/>
      <c r="R628" s="108"/>
      <c r="S628" s="440"/>
      <c r="T628" s="440"/>
      <c r="U628" s="440"/>
      <c r="V628" s="440"/>
      <c r="W628" s="440"/>
      <c r="X628" s="440"/>
      <c r="Y628" s="108"/>
      <c r="Z628" s="108"/>
    </row>
    <row r="629" ht="18.75" customHeight="1">
      <c r="A629" s="437"/>
      <c r="B629" s="438"/>
      <c r="C629" s="438"/>
      <c r="D629" s="438"/>
      <c r="E629" s="438"/>
      <c r="F629" s="438"/>
      <c r="G629" s="438"/>
      <c r="H629" s="108"/>
      <c r="I629" s="108"/>
      <c r="J629" s="440"/>
      <c r="K629" s="440"/>
      <c r="L629" s="440"/>
      <c r="M629" s="440"/>
      <c r="N629" s="440"/>
      <c r="O629" s="440"/>
      <c r="P629" s="440"/>
      <c r="Q629" s="440"/>
      <c r="R629" s="108"/>
      <c r="S629" s="440"/>
      <c r="T629" s="440"/>
      <c r="U629" s="440"/>
      <c r="V629" s="440"/>
      <c r="W629" s="440"/>
      <c r="X629" s="440"/>
      <c r="Y629" s="108"/>
      <c r="Z629" s="108"/>
    </row>
    <row r="630" ht="18.75" customHeight="1">
      <c r="A630" s="437"/>
      <c r="B630" s="438"/>
      <c r="C630" s="438"/>
      <c r="D630" s="438"/>
      <c r="E630" s="438"/>
      <c r="F630" s="438"/>
      <c r="G630" s="438"/>
      <c r="H630" s="108"/>
      <c r="I630" s="108"/>
      <c r="J630" s="440"/>
      <c r="K630" s="440"/>
      <c r="L630" s="440"/>
      <c r="M630" s="440"/>
      <c r="N630" s="440"/>
      <c r="O630" s="440"/>
      <c r="P630" s="440"/>
      <c r="Q630" s="440"/>
      <c r="R630" s="108"/>
      <c r="S630" s="440"/>
      <c r="T630" s="440"/>
      <c r="U630" s="440"/>
      <c r="V630" s="440"/>
      <c r="W630" s="440"/>
      <c r="X630" s="440"/>
      <c r="Y630" s="108"/>
      <c r="Z630" s="108"/>
    </row>
    <row r="631" ht="18.75" customHeight="1">
      <c r="A631" s="437"/>
      <c r="B631" s="438"/>
      <c r="C631" s="438"/>
      <c r="D631" s="438"/>
      <c r="E631" s="438"/>
      <c r="F631" s="438"/>
      <c r="G631" s="438"/>
      <c r="H631" s="108"/>
      <c r="I631" s="108"/>
      <c r="J631" s="440"/>
      <c r="K631" s="440"/>
      <c r="L631" s="440"/>
      <c r="M631" s="440"/>
      <c r="N631" s="440"/>
      <c r="O631" s="440"/>
      <c r="P631" s="440"/>
      <c r="Q631" s="440"/>
      <c r="R631" s="108"/>
      <c r="S631" s="440"/>
      <c r="T631" s="440"/>
      <c r="U631" s="440"/>
      <c r="V631" s="440"/>
      <c r="W631" s="440"/>
      <c r="X631" s="440"/>
      <c r="Y631" s="108"/>
      <c r="Z631" s="108"/>
    </row>
    <row r="632" ht="18.75" customHeight="1">
      <c r="A632" s="437"/>
      <c r="B632" s="438"/>
      <c r="C632" s="438"/>
      <c r="D632" s="438"/>
      <c r="E632" s="438"/>
      <c r="F632" s="438"/>
      <c r="G632" s="438"/>
      <c r="H632" s="108"/>
      <c r="I632" s="108"/>
      <c r="J632" s="440"/>
      <c r="K632" s="440"/>
      <c r="L632" s="440"/>
      <c r="M632" s="440"/>
      <c r="N632" s="440"/>
      <c r="O632" s="440"/>
      <c r="P632" s="440"/>
      <c r="Q632" s="440"/>
      <c r="R632" s="108"/>
      <c r="S632" s="440"/>
      <c r="T632" s="440"/>
      <c r="U632" s="440"/>
      <c r="V632" s="440"/>
      <c r="W632" s="440"/>
      <c r="X632" s="440"/>
      <c r="Y632" s="108"/>
      <c r="Z632" s="108"/>
    </row>
    <row r="633" ht="18.75" customHeight="1">
      <c r="A633" s="437"/>
      <c r="B633" s="438"/>
      <c r="C633" s="438"/>
      <c r="D633" s="438"/>
      <c r="E633" s="438"/>
      <c r="F633" s="438"/>
      <c r="G633" s="438"/>
      <c r="H633" s="108"/>
      <c r="I633" s="108"/>
      <c r="J633" s="440"/>
      <c r="K633" s="440"/>
      <c r="L633" s="440"/>
      <c r="M633" s="440"/>
      <c r="N633" s="440"/>
      <c r="O633" s="440"/>
      <c r="P633" s="440"/>
      <c r="Q633" s="440"/>
      <c r="R633" s="108"/>
      <c r="S633" s="440"/>
      <c r="T633" s="440"/>
      <c r="U633" s="440"/>
      <c r="V633" s="440"/>
      <c r="W633" s="440"/>
      <c r="X633" s="440"/>
      <c r="Y633" s="108"/>
      <c r="Z633" s="108"/>
    </row>
    <row r="634" ht="18.75" customHeight="1">
      <c r="A634" s="437"/>
      <c r="B634" s="438"/>
      <c r="C634" s="438"/>
      <c r="D634" s="438"/>
      <c r="E634" s="438"/>
      <c r="F634" s="438"/>
      <c r="G634" s="438"/>
      <c r="H634" s="108"/>
      <c r="I634" s="108"/>
      <c r="J634" s="440"/>
      <c r="K634" s="440"/>
      <c r="L634" s="440"/>
      <c r="M634" s="440"/>
      <c r="N634" s="440"/>
      <c r="O634" s="440"/>
      <c r="P634" s="440"/>
      <c r="Q634" s="440"/>
      <c r="R634" s="108"/>
      <c r="S634" s="440"/>
      <c r="T634" s="440"/>
      <c r="U634" s="440"/>
      <c r="V634" s="440"/>
      <c r="W634" s="440"/>
      <c r="X634" s="440"/>
      <c r="Y634" s="108"/>
      <c r="Z634" s="108"/>
    </row>
    <row r="635" ht="18.75" customHeight="1">
      <c r="A635" s="437"/>
      <c r="B635" s="438"/>
      <c r="C635" s="438"/>
      <c r="D635" s="438"/>
      <c r="E635" s="438"/>
      <c r="F635" s="438"/>
      <c r="G635" s="438"/>
      <c r="H635" s="108"/>
      <c r="I635" s="108"/>
      <c r="J635" s="440"/>
      <c r="K635" s="440"/>
      <c r="L635" s="440"/>
      <c r="M635" s="440"/>
      <c r="N635" s="440"/>
      <c r="O635" s="440"/>
      <c r="P635" s="440"/>
      <c r="Q635" s="440"/>
      <c r="R635" s="108"/>
      <c r="S635" s="440"/>
      <c r="T635" s="440"/>
      <c r="U635" s="440"/>
      <c r="V635" s="440"/>
      <c r="W635" s="440"/>
      <c r="X635" s="440"/>
      <c r="Y635" s="108"/>
      <c r="Z635" s="108"/>
    </row>
    <row r="636" ht="18.75" customHeight="1">
      <c r="A636" s="437"/>
      <c r="B636" s="438"/>
      <c r="C636" s="438"/>
      <c r="D636" s="438"/>
      <c r="E636" s="438"/>
      <c r="F636" s="438"/>
      <c r="G636" s="438"/>
      <c r="H636" s="108"/>
      <c r="I636" s="108"/>
      <c r="J636" s="440"/>
      <c r="K636" s="440"/>
      <c r="L636" s="440"/>
      <c r="M636" s="440"/>
      <c r="N636" s="440"/>
      <c r="O636" s="440"/>
      <c r="P636" s="440"/>
      <c r="Q636" s="440"/>
      <c r="R636" s="108"/>
      <c r="S636" s="440"/>
      <c r="T636" s="440"/>
      <c r="U636" s="440"/>
      <c r="V636" s="440"/>
      <c r="W636" s="440"/>
      <c r="X636" s="440"/>
      <c r="Y636" s="108"/>
      <c r="Z636" s="108"/>
    </row>
    <row r="637" ht="18.75" customHeight="1">
      <c r="A637" s="437"/>
      <c r="B637" s="438"/>
      <c r="C637" s="438"/>
      <c r="D637" s="438"/>
      <c r="E637" s="438"/>
      <c r="F637" s="438"/>
      <c r="G637" s="438"/>
      <c r="H637" s="108"/>
      <c r="I637" s="108"/>
      <c r="J637" s="440"/>
      <c r="K637" s="440"/>
      <c r="L637" s="440"/>
      <c r="M637" s="440"/>
      <c r="N637" s="440"/>
      <c r="O637" s="440"/>
      <c r="P637" s="440"/>
      <c r="Q637" s="440"/>
      <c r="R637" s="108"/>
      <c r="S637" s="440"/>
      <c r="T637" s="440"/>
      <c r="U637" s="440"/>
      <c r="V637" s="440"/>
      <c r="W637" s="440"/>
      <c r="X637" s="440"/>
      <c r="Y637" s="108"/>
      <c r="Z637" s="108"/>
    </row>
    <row r="638" ht="18.75" customHeight="1">
      <c r="A638" s="437"/>
      <c r="B638" s="438"/>
      <c r="C638" s="438"/>
      <c r="D638" s="438"/>
      <c r="E638" s="438"/>
      <c r="F638" s="438"/>
      <c r="G638" s="438"/>
      <c r="H638" s="108"/>
      <c r="I638" s="108"/>
      <c r="J638" s="440"/>
      <c r="K638" s="440"/>
      <c r="L638" s="440"/>
      <c r="M638" s="440"/>
      <c r="N638" s="440"/>
      <c r="O638" s="440"/>
      <c r="P638" s="440"/>
      <c r="Q638" s="440"/>
      <c r="R638" s="108"/>
      <c r="S638" s="440"/>
      <c r="T638" s="440"/>
      <c r="U638" s="440"/>
      <c r="V638" s="440"/>
      <c r="W638" s="440"/>
      <c r="X638" s="440"/>
      <c r="Y638" s="108"/>
      <c r="Z638" s="108"/>
    </row>
    <row r="639" ht="18.75" customHeight="1">
      <c r="A639" s="437"/>
      <c r="B639" s="438"/>
      <c r="C639" s="438"/>
      <c r="D639" s="438"/>
      <c r="E639" s="438"/>
      <c r="F639" s="438"/>
      <c r="G639" s="438"/>
      <c r="H639" s="108"/>
      <c r="I639" s="108"/>
      <c r="J639" s="440"/>
      <c r="K639" s="440"/>
      <c r="L639" s="440"/>
      <c r="M639" s="440"/>
      <c r="N639" s="440"/>
      <c r="O639" s="440"/>
      <c r="P639" s="440"/>
      <c r="Q639" s="440"/>
      <c r="R639" s="108"/>
      <c r="S639" s="440"/>
      <c r="T639" s="440"/>
      <c r="U639" s="440"/>
      <c r="V639" s="440"/>
      <c r="W639" s="440"/>
      <c r="X639" s="440"/>
      <c r="Y639" s="108"/>
      <c r="Z639" s="108"/>
    </row>
    <row r="640" ht="18.75" customHeight="1">
      <c r="A640" s="437"/>
      <c r="B640" s="438"/>
      <c r="C640" s="438"/>
      <c r="D640" s="438"/>
      <c r="E640" s="438"/>
      <c r="F640" s="438"/>
      <c r="G640" s="438"/>
      <c r="H640" s="108"/>
      <c r="I640" s="108"/>
      <c r="J640" s="440"/>
      <c r="K640" s="440"/>
      <c r="L640" s="440"/>
      <c r="M640" s="440"/>
      <c r="N640" s="440"/>
      <c r="O640" s="440"/>
      <c r="P640" s="440"/>
      <c r="Q640" s="440"/>
      <c r="R640" s="108"/>
      <c r="S640" s="440"/>
      <c r="T640" s="440"/>
      <c r="U640" s="440"/>
      <c r="V640" s="440"/>
      <c r="W640" s="440"/>
      <c r="X640" s="440"/>
      <c r="Y640" s="108"/>
      <c r="Z640" s="108"/>
    </row>
    <row r="641" ht="18.75" customHeight="1">
      <c r="A641" s="437"/>
      <c r="B641" s="438"/>
      <c r="C641" s="438"/>
      <c r="D641" s="438"/>
      <c r="E641" s="438"/>
      <c r="F641" s="438"/>
      <c r="G641" s="438"/>
      <c r="H641" s="108"/>
      <c r="I641" s="108"/>
      <c r="J641" s="440"/>
      <c r="K641" s="440"/>
      <c r="L641" s="440"/>
      <c r="M641" s="440"/>
      <c r="N641" s="440"/>
      <c r="O641" s="440"/>
      <c r="P641" s="440"/>
      <c r="Q641" s="440"/>
      <c r="R641" s="108"/>
      <c r="S641" s="440"/>
      <c r="T641" s="440"/>
      <c r="U641" s="440"/>
      <c r="V641" s="440"/>
      <c r="W641" s="440"/>
      <c r="X641" s="440"/>
      <c r="Y641" s="108"/>
      <c r="Z641" s="108"/>
    </row>
    <row r="642" ht="18.75" customHeight="1">
      <c r="A642" s="437"/>
      <c r="B642" s="438"/>
      <c r="C642" s="438"/>
      <c r="D642" s="438"/>
      <c r="E642" s="438"/>
      <c r="F642" s="438"/>
      <c r="G642" s="438"/>
      <c r="H642" s="108"/>
      <c r="I642" s="108"/>
      <c r="J642" s="440"/>
      <c r="K642" s="440"/>
      <c r="L642" s="440"/>
      <c r="M642" s="440"/>
      <c r="N642" s="440"/>
      <c r="O642" s="440"/>
      <c r="P642" s="440"/>
      <c r="Q642" s="440"/>
      <c r="R642" s="108"/>
      <c r="S642" s="440"/>
      <c r="T642" s="440"/>
      <c r="U642" s="440"/>
      <c r="V642" s="440"/>
      <c r="W642" s="440"/>
      <c r="X642" s="440"/>
      <c r="Y642" s="108"/>
      <c r="Z642" s="108"/>
    </row>
    <row r="643" ht="18.75" customHeight="1">
      <c r="A643" s="437"/>
      <c r="B643" s="438"/>
      <c r="C643" s="438"/>
      <c r="D643" s="438"/>
      <c r="E643" s="438"/>
      <c r="F643" s="438"/>
      <c r="G643" s="438"/>
      <c r="H643" s="108"/>
      <c r="I643" s="108"/>
      <c r="J643" s="440"/>
      <c r="K643" s="440"/>
      <c r="L643" s="440"/>
      <c r="M643" s="440"/>
      <c r="N643" s="440"/>
      <c r="O643" s="440"/>
      <c r="P643" s="440"/>
      <c r="Q643" s="440"/>
      <c r="R643" s="108"/>
      <c r="S643" s="440"/>
      <c r="T643" s="440"/>
      <c r="U643" s="440"/>
      <c r="V643" s="440"/>
      <c r="W643" s="440"/>
      <c r="X643" s="440"/>
      <c r="Y643" s="108"/>
      <c r="Z643" s="108"/>
    </row>
    <row r="644" ht="18.75" customHeight="1">
      <c r="A644" s="437"/>
      <c r="B644" s="438"/>
      <c r="C644" s="438"/>
      <c r="D644" s="438"/>
      <c r="E644" s="438"/>
      <c r="F644" s="438"/>
      <c r="G644" s="438"/>
      <c r="H644" s="108"/>
      <c r="I644" s="108"/>
      <c r="J644" s="440"/>
      <c r="K644" s="440"/>
      <c r="L644" s="440"/>
      <c r="M644" s="440"/>
      <c r="N644" s="440"/>
      <c r="O644" s="440"/>
      <c r="P644" s="440"/>
      <c r="Q644" s="440"/>
      <c r="R644" s="108"/>
      <c r="S644" s="440"/>
      <c r="T644" s="440"/>
      <c r="U644" s="440"/>
      <c r="V644" s="440"/>
      <c r="W644" s="440"/>
      <c r="X644" s="440"/>
      <c r="Y644" s="108"/>
      <c r="Z644" s="108"/>
    </row>
    <row r="645" ht="18.75" customHeight="1">
      <c r="A645" s="437"/>
      <c r="B645" s="438"/>
      <c r="C645" s="438"/>
      <c r="D645" s="438"/>
      <c r="E645" s="438"/>
      <c r="F645" s="438"/>
      <c r="G645" s="438"/>
      <c r="H645" s="108"/>
      <c r="I645" s="108"/>
      <c r="J645" s="440"/>
      <c r="K645" s="440"/>
      <c r="L645" s="440"/>
      <c r="M645" s="440"/>
      <c r="N645" s="440"/>
      <c r="O645" s="440"/>
      <c r="P645" s="440"/>
      <c r="Q645" s="440"/>
      <c r="R645" s="108"/>
      <c r="S645" s="440"/>
      <c r="T645" s="440"/>
      <c r="U645" s="440"/>
      <c r="V645" s="440"/>
      <c r="W645" s="440"/>
      <c r="X645" s="440"/>
      <c r="Y645" s="108"/>
      <c r="Z645" s="108"/>
    </row>
    <row r="646" ht="18.75" customHeight="1">
      <c r="A646" s="437"/>
      <c r="B646" s="438"/>
      <c r="C646" s="438"/>
      <c r="D646" s="438"/>
      <c r="E646" s="438"/>
      <c r="F646" s="438"/>
      <c r="G646" s="438"/>
      <c r="H646" s="108"/>
      <c r="I646" s="108"/>
      <c r="J646" s="440"/>
      <c r="K646" s="440"/>
      <c r="L646" s="440"/>
      <c r="M646" s="440"/>
      <c r="N646" s="440"/>
      <c r="O646" s="440"/>
      <c r="P646" s="440"/>
      <c r="Q646" s="440"/>
      <c r="R646" s="108"/>
      <c r="S646" s="440"/>
      <c r="T646" s="440"/>
      <c r="U646" s="440"/>
      <c r="V646" s="440"/>
      <c r="W646" s="440"/>
      <c r="X646" s="440"/>
      <c r="Y646" s="108"/>
      <c r="Z646" s="108"/>
    </row>
    <row r="647" ht="18.75" customHeight="1">
      <c r="A647" s="437"/>
      <c r="B647" s="438"/>
      <c r="C647" s="438"/>
      <c r="D647" s="438"/>
      <c r="E647" s="438"/>
      <c r="F647" s="438"/>
      <c r="G647" s="438"/>
      <c r="H647" s="108"/>
      <c r="I647" s="108"/>
      <c r="J647" s="440"/>
      <c r="K647" s="440"/>
      <c r="L647" s="440"/>
      <c r="M647" s="440"/>
      <c r="N647" s="440"/>
      <c r="O647" s="440"/>
      <c r="P647" s="440"/>
      <c r="Q647" s="440"/>
      <c r="R647" s="108"/>
      <c r="S647" s="440"/>
      <c r="T647" s="440"/>
      <c r="U647" s="440"/>
      <c r="V647" s="440"/>
      <c r="W647" s="440"/>
      <c r="X647" s="440"/>
      <c r="Y647" s="108"/>
      <c r="Z647" s="108"/>
    </row>
    <row r="648" ht="18.75" customHeight="1">
      <c r="A648" s="437"/>
      <c r="B648" s="438"/>
      <c r="C648" s="438"/>
      <c r="D648" s="438"/>
      <c r="E648" s="438"/>
      <c r="F648" s="438"/>
      <c r="G648" s="438"/>
      <c r="H648" s="108"/>
      <c r="I648" s="108"/>
      <c r="J648" s="440"/>
      <c r="K648" s="440"/>
      <c r="L648" s="440"/>
      <c r="M648" s="440"/>
      <c r="N648" s="440"/>
      <c r="O648" s="440"/>
      <c r="P648" s="440"/>
      <c r="Q648" s="440"/>
      <c r="R648" s="108"/>
      <c r="S648" s="440"/>
      <c r="T648" s="440"/>
      <c r="U648" s="440"/>
      <c r="V648" s="440"/>
      <c r="W648" s="440"/>
      <c r="X648" s="440"/>
      <c r="Y648" s="108"/>
      <c r="Z648" s="108"/>
    </row>
    <row r="649" ht="18.75" customHeight="1">
      <c r="A649" s="437"/>
      <c r="B649" s="438"/>
      <c r="C649" s="438"/>
      <c r="D649" s="438"/>
      <c r="E649" s="438"/>
      <c r="F649" s="438"/>
      <c r="G649" s="438"/>
      <c r="H649" s="108"/>
      <c r="I649" s="108"/>
      <c r="J649" s="440"/>
      <c r="K649" s="440"/>
      <c r="L649" s="440"/>
      <c r="M649" s="440"/>
      <c r="N649" s="440"/>
      <c r="O649" s="440"/>
      <c r="P649" s="440"/>
      <c r="Q649" s="440"/>
      <c r="R649" s="108"/>
      <c r="S649" s="440"/>
      <c r="T649" s="440"/>
      <c r="U649" s="440"/>
      <c r="V649" s="440"/>
      <c r="W649" s="440"/>
      <c r="X649" s="440"/>
      <c r="Y649" s="108"/>
      <c r="Z649" s="108"/>
    </row>
    <row r="650" ht="18.75" customHeight="1">
      <c r="A650" s="437"/>
      <c r="B650" s="438"/>
      <c r="C650" s="438"/>
      <c r="D650" s="438"/>
      <c r="E650" s="438"/>
      <c r="F650" s="438"/>
      <c r="G650" s="438"/>
      <c r="H650" s="108"/>
      <c r="I650" s="108"/>
      <c r="J650" s="440"/>
      <c r="K650" s="440"/>
      <c r="L650" s="440"/>
      <c r="M650" s="440"/>
      <c r="N650" s="440"/>
      <c r="O650" s="440"/>
      <c r="P650" s="440"/>
      <c r="Q650" s="440"/>
      <c r="R650" s="108"/>
      <c r="S650" s="440"/>
      <c r="T650" s="440"/>
      <c r="U650" s="440"/>
      <c r="V650" s="440"/>
      <c r="W650" s="440"/>
      <c r="X650" s="440"/>
      <c r="Y650" s="108"/>
      <c r="Z650" s="108"/>
    </row>
    <row r="651" ht="18.75" customHeight="1">
      <c r="A651" s="437"/>
      <c r="B651" s="438"/>
      <c r="C651" s="438"/>
      <c r="D651" s="438"/>
      <c r="E651" s="438"/>
      <c r="F651" s="438"/>
      <c r="G651" s="438"/>
      <c r="H651" s="108"/>
      <c r="I651" s="108"/>
      <c r="J651" s="440"/>
      <c r="K651" s="440"/>
      <c r="L651" s="440"/>
      <c r="M651" s="440"/>
      <c r="N651" s="440"/>
      <c r="O651" s="440"/>
      <c r="P651" s="440"/>
      <c r="Q651" s="440"/>
      <c r="R651" s="108"/>
      <c r="S651" s="440"/>
      <c r="T651" s="440"/>
      <c r="U651" s="440"/>
      <c r="V651" s="440"/>
      <c r="W651" s="440"/>
      <c r="X651" s="440"/>
      <c r="Y651" s="108"/>
      <c r="Z651" s="108"/>
    </row>
    <row r="652" ht="18.75" customHeight="1">
      <c r="A652" s="437"/>
      <c r="B652" s="438"/>
      <c r="C652" s="438"/>
      <c r="D652" s="438"/>
      <c r="E652" s="438"/>
      <c r="F652" s="438"/>
      <c r="G652" s="438"/>
      <c r="H652" s="108"/>
      <c r="I652" s="108"/>
      <c r="J652" s="440"/>
      <c r="K652" s="440"/>
      <c r="L652" s="440"/>
      <c r="M652" s="440"/>
      <c r="N652" s="440"/>
      <c r="O652" s="440"/>
      <c r="P652" s="440"/>
      <c r="Q652" s="440"/>
      <c r="R652" s="108"/>
      <c r="S652" s="440"/>
      <c r="T652" s="440"/>
      <c r="U652" s="440"/>
      <c r="V652" s="440"/>
      <c r="W652" s="440"/>
      <c r="X652" s="440"/>
      <c r="Y652" s="108"/>
      <c r="Z652" s="108"/>
    </row>
    <row r="653" ht="18.75" customHeight="1">
      <c r="A653" s="437"/>
      <c r="B653" s="438"/>
      <c r="C653" s="438"/>
      <c r="D653" s="438"/>
      <c r="E653" s="438"/>
      <c r="F653" s="438"/>
      <c r="G653" s="438"/>
      <c r="H653" s="108"/>
      <c r="I653" s="108"/>
      <c r="J653" s="440"/>
      <c r="K653" s="440"/>
      <c r="L653" s="440"/>
      <c r="M653" s="440"/>
      <c r="N653" s="440"/>
      <c r="O653" s="440"/>
      <c r="P653" s="440"/>
      <c r="Q653" s="440"/>
      <c r="R653" s="108"/>
      <c r="S653" s="440"/>
      <c r="T653" s="440"/>
      <c r="U653" s="440"/>
      <c r="V653" s="440"/>
      <c r="W653" s="440"/>
      <c r="X653" s="440"/>
      <c r="Y653" s="108"/>
      <c r="Z653" s="108"/>
    </row>
    <row r="654" ht="18.75" customHeight="1">
      <c r="A654" s="437"/>
      <c r="B654" s="438"/>
      <c r="C654" s="438"/>
      <c r="D654" s="438"/>
      <c r="E654" s="438"/>
      <c r="F654" s="438"/>
      <c r="G654" s="438"/>
      <c r="H654" s="108"/>
      <c r="I654" s="108"/>
      <c r="J654" s="440"/>
      <c r="K654" s="440"/>
      <c r="L654" s="440"/>
      <c r="M654" s="440"/>
      <c r="N654" s="440"/>
      <c r="O654" s="440"/>
      <c r="P654" s="440"/>
      <c r="Q654" s="440"/>
      <c r="R654" s="108"/>
      <c r="S654" s="440"/>
      <c r="T654" s="440"/>
      <c r="U654" s="440"/>
      <c r="V654" s="440"/>
      <c r="W654" s="440"/>
      <c r="X654" s="440"/>
      <c r="Y654" s="108"/>
      <c r="Z654" s="108"/>
    </row>
    <row r="655" ht="18.75" customHeight="1">
      <c r="A655" s="437"/>
      <c r="B655" s="438"/>
      <c r="C655" s="438"/>
      <c r="D655" s="438"/>
      <c r="E655" s="438"/>
      <c r="F655" s="438"/>
      <c r="G655" s="438"/>
      <c r="H655" s="108"/>
      <c r="I655" s="108"/>
      <c r="J655" s="440"/>
      <c r="K655" s="440"/>
      <c r="L655" s="440"/>
      <c r="M655" s="440"/>
      <c r="N655" s="440"/>
      <c r="O655" s="440"/>
      <c r="P655" s="440"/>
      <c r="Q655" s="440"/>
      <c r="R655" s="108"/>
      <c r="S655" s="440"/>
      <c r="T655" s="440"/>
      <c r="U655" s="440"/>
      <c r="V655" s="440"/>
      <c r="W655" s="440"/>
      <c r="X655" s="440"/>
      <c r="Y655" s="108"/>
      <c r="Z655" s="108"/>
    </row>
    <row r="656" ht="18.75" customHeight="1">
      <c r="A656" s="437"/>
      <c r="B656" s="438"/>
      <c r="C656" s="438"/>
      <c r="D656" s="438"/>
      <c r="E656" s="438"/>
      <c r="F656" s="438"/>
      <c r="G656" s="438"/>
      <c r="H656" s="108"/>
      <c r="I656" s="108"/>
      <c r="J656" s="440"/>
      <c r="K656" s="440"/>
      <c r="L656" s="440"/>
      <c r="M656" s="440"/>
      <c r="N656" s="440"/>
      <c r="O656" s="440"/>
      <c r="P656" s="440"/>
      <c r="Q656" s="440"/>
      <c r="R656" s="108"/>
      <c r="S656" s="440"/>
      <c r="T656" s="440"/>
      <c r="U656" s="440"/>
      <c r="V656" s="440"/>
      <c r="W656" s="440"/>
      <c r="X656" s="440"/>
      <c r="Y656" s="108"/>
      <c r="Z656" s="108"/>
    </row>
    <row r="657" ht="18.75" customHeight="1">
      <c r="A657" s="437"/>
      <c r="B657" s="438"/>
      <c r="C657" s="438"/>
      <c r="D657" s="438"/>
      <c r="E657" s="438"/>
      <c r="F657" s="438"/>
      <c r="G657" s="438"/>
      <c r="H657" s="108"/>
      <c r="I657" s="108"/>
      <c r="J657" s="440"/>
      <c r="K657" s="440"/>
      <c r="L657" s="440"/>
      <c r="M657" s="440"/>
      <c r="N657" s="440"/>
      <c r="O657" s="440"/>
      <c r="P657" s="440"/>
      <c r="Q657" s="440"/>
      <c r="R657" s="108"/>
      <c r="S657" s="440"/>
      <c r="T657" s="440"/>
      <c r="U657" s="440"/>
      <c r="V657" s="440"/>
      <c r="W657" s="440"/>
      <c r="X657" s="440"/>
      <c r="Y657" s="108"/>
      <c r="Z657" s="108"/>
    </row>
    <row r="658" ht="18.75" customHeight="1">
      <c r="A658" s="437"/>
      <c r="B658" s="438"/>
      <c r="C658" s="438"/>
      <c r="D658" s="438"/>
      <c r="E658" s="438"/>
      <c r="F658" s="438"/>
      <c r="G658" s="438"/>
      <c r="H658" s="108"/>
      <c r="I658" s="108"/>
      <c r="J658" s="440"/>
      <c r="K658" s="440"/>
      <c r="L658" s="440"/>
      <c r="M658" s="440"/>
      <c r="N658" s="440"/>
      <c r="O658" s="440"/>
      <c r="P658" s="440"/>
      <c r="Q658" s="440"/>
      <c r="R658" s="108"/>
      <c r="S658" s="440"/>
      <c r="T658" s="440"/>
      <c r="U658" s="440"/>
      <c r="V658" s="440"/>
      <c r="W658" s="440"/>
      <c r="X658" s="440"/>
      <c r="Y658" s="108"/>
      <c r="Z658" s="108"/>
    </row>
    <row r="659" ht="18.75" customHeight="1">
      <c r="A659" s="437"/>
      <c r="B659" s="438"/>
      <c r="C659" s="438"/>
      <c r="D659" s="438"/>
      <c r="E659" s="438"/>
      <c r="F659" s="438"/>
      <c r="G659" s="438"/>
      <c r="H659" s="108"/>
      <c r="I659" s="108"/>
      <c r="J659" s="440"/>
      <c r="K659" s="440"/>
      <c r="L659" s="440"/>
      <c r="M659" s="440"/>
      <c r="N659" s="440"/>
      <c r="O659" s="440"/>
      <c r="P659" s="440"/>
      <c r="Q659" s="440"/>
      <c r="R659" s="108"/>
      <c r="S659" s="440"/>
      <c r="T659" s="440"/>
      <c r="U659" s="440"/>
      <c r="V659" s="440"/>
      <c r="W659" s="440"/>
      <c r="X659" s="440"/>
      <c r="Y659" s="108"/>
      <c r="Z659" s="108"/>
    </row>
    <row r="660" ht="18.75" customHeight="1">
      <c r="A660" s="437"/>
      <c r="B660" s="438"/>
      <c r="C660" s="438"/>
      <c r="D660" s="438"/>
      <c r="E660" s="438"/>
      <c r="F660" s="438"/>
      <c r="G660" s="438"/>
      <c r="H660" s="108"/>
      <c r="I660" s="108"/>
      <c r="J660" s="440"/>
      <c r="K660" s="440"/>
      <c r="L660" s="440"/>
      <c r="M660" s="440"/>
      <c r="N660" s="440"/>
      <c r="O660" s="440"/>
      <c r="P660" s="440"/>
      <c r="Q660" s="440"/>
      <c r="R660" s="108"/>
      <c r="S660" s="440"/>
      <c r="T660" s="440"/>
      <c r="U660" s="440"/>
      <c r="V660" s="440"/>
      <c r="W660" s="440"/>
      <c r="X660" s="440"/>
      <c r="Y660" s="108"/>
      <c r="Z660" s="108"/>
    </row>
    <row r="661" ht="18.75" customHeight="1">
      <c r="A661" s="437"/>
      <c r="B661" s="438"/>
      <c r="C661" s="438"/>
      <c r="D661" s="438"/>
      <c r="E661" s="438"/>
      <c r="F661" s="438"/>
      <c r="G661" s="438"/>
      <c r="H661" s="108"/>
      <c r="I661" s="108"/>
      <c r="J661" s="440"/>
      <c r="K661" s="440"/>
      <c r="L661" s="440"/>
      <c r="M661" s="440"/>
      <c r="N661" s="440"/>
      <c r="O661" s="440"/>
      <c r="P661" s="440"/>
      <c r="Q661" s="440"/>
      <c r="R661" s="108"/>
      <c r="S661" s="440"/>
      <c r="T661" s="440"/>
      <c r="U661" s="440"/>
      <c r="V661" s="440"/>
      <c r="W661" s="440"/>
      <c r="X661" s="440"/>
      <c r="Y661" s="108"/>
      <c r="Z661" s="108"/>
    </row>
    <row r="662" ht="18.75" customHeight="1">
      <c r="A662" s="437"/>
      <c r="B662" s="438"/>
      <c r="C662" s="438"/>
      <c r="D662" s="438"/>
      <c r="E662" s="438"/>
      <c r="F662" s="438"/>
      <c r="G662" s="438"/>
      <c r="H662" s="108"/>
      <c r="I662" s="108"/>
      <c r="J662" s="440"/>
      <c r="K662" s="440"/>
      <c r="L662" s="440"/>
      <c r="M662" s="440"/>
      <c r="N662" s="440"/>
      <c r="O662" s="440"/>
      <c r="P662" s="440"/>
      <c r="Q662" s="440"/>
      <c r="R662" s="108"/>
      <c r="S662" s="440"/>
      <c r="T662" s="440"/>
      <c r="U662" s="440"/>
      <c r="V662" s="440"/>
      <c r="W662" s="440"/>
      <c r="X662" s="440"/>
      <c r="Y662" s="108"/>
      <c r="Z662" s="108"/>
    </row>
    <row r="663" ht="18.75" customHeight="1">
      <c r="A663" s="437"/>
      <c r="B663" s="438"/>
      <c r="C663" s="438"/>
      <c r="D663" s="438"/>
      <c r="E663" s="438"/>
      <c r="F663" s="438"/>
      <c r="G663" s="438"/>
      <c r="H663" s="108"/>
      <c r="I663" s="108"/>
      <c r="J663" s="440"/>
      <c r="K663" s="440"/>
      <c r="L663" s="440"/>
      <c r="M663" s="440"/>
      <c r="N663" s="440"/>
      <c r="O663" s="440"/>
      <c r="P663" s="440"/>
      <c r="Q663" s="440"/>
      <c r="R663" s="108"/>
      <c r="S663" s="440"/>
      <c r="T663" s="440"/>
      <c r="U663" s="440"/>
      <c r="V663" s="440"/>
      <c r="W663" s="440"/>
      <c r="X663" s="440"/>
      <c r="Y663" s="108"/>
      <c r="Z663" s="108"/>
    </row>
    <row r="664" ht="18.75" customHeight="1">
      <c r="A664" s="437"/>
      <c r="B664" s="438"/>
      <c r="C664" s="438"/>
      <c r="D664" s="438"/>
      <c r="E664" s="438"/>
      <c r="F664" s="438"/>
      <c r="G664" s="438"/>
      <c r="H664" s="108"/>
      <c r="I664" s="108"/>
      <c r="J664" s="440"/>
      <c r="K664" s="440"/>
      <c r="L664" s="440"/>
      <c r="M664" s="440"/>
      <c r="N664" s="440"/>
      <c r="O664" s="440"/>
      <c r="P664" s="440"/>
      <c r="Q664" s="440"/>
      <c r="R664" s="108"/>
      <c r="S664" s="440"/>
      <c r="T664" s="440"/>
      <c r="U664" s="440"/>
      <c r="V664" s="440"/>
      <c r="W664" s="440"/>
      <c r="X664" s="440"/>
      <c r="Y664" s="108"/>
      <c r="Z664" s="108"/>
    </row>
    <row r="665" ht="18.75" customHeight="1">
      <c r="A665" s="437"/>
      <c r="B665" s="438"/>
      <c r="C665" s="438"/>
      <c r="D665" s="438"/>
      <c r="E665" s="438"/>
      <c r="F665" s="438"/>
      <c r="G665" s="438"/>
      <c r="H665" s="108"/>
      <c r="I665" s="108"/>
      <c r="J665" s="440"/>
      <c r="K665" s="440"/>
      <c r="L665" s="440"/>
      <c r="M665" s="440"/>
      <c r="N665" s="440"/>
      <c r="O665" s="440"/>
      <c r="P665" s="440"/>
      <c r="Q665" s="440"/>
      <c r="R665" s="108"/>
      <c r="S665" s="440"/>
      <c r="T665" s="440"/>
      <c r="U665" s="440"/>
      <c r="V665" s="440"/>
      <c r="W665" s="440"/>
      <c r="X665" s="440"/>
      <c r="Y665" s="108"/>
      <c r="Z665" s="108"/>
    </row>
    <row r="666" ht="18.75" customHeight="1">
      <c r="A666" s="437"/>
      <c r="B666" s="438"/>
      <c r="C666" s="438"/>
      <c r="D666" s="438"/>
      <c r="E666" s="438"/>
      <c r="F666" s="438"/>
      <c r="G666" s="438"/>
      <c r="H666" s="108"/>
      <c r="I666" s="108"/>
      <c r="J666" s="440"/>
      <c r="K666" s="440"/>
      <c r="L666" s="440"/>
      <c r="M666" s="440"/>
      <c r="N666" s="440"/>
      <c r="O666" s="440"/>
      <c r="P666" s="440"/>
      <c r="Q666" s="440"/>
      <c r="R666" s="108"/>
      <c r="S666" s="440"/>
      <c r="T666" s="440"/>
      <c r="U666" s="440"/>
      <c r="V666" s="440"/>
      <c r="W666" s="440"/>
      <c r="X666" s="440"/>
      <c r="Y666" s="108"/>
      <c r="Z666" s="108"/>
    </row>
    <row r="667" ht="18.75" customHeight="1">
      <c r="A667" s="437"/>
      <c r="B667" s="438"/>
      <c r="C667" s="438"/>
      <c r="D667" s="438"/>
      <c r="E667" s="438"/>
      <c r="F667" s="438"/>
      <c r="G667" s="438"/>
      <c r="H667" s="108"/>
      <c r="I667" s="108"/>
      <c r="J667" s="440"/>
      <c r="K667" s="440"/>
      <c r="L667" s="440"/>
      <c r="M667" s="440"/>
      <c r="N667" s="440"/>
      <c r="O667" s="440"/>
      <c r="P667" s="440"/>
      <c r="Q667" s="440"/>
      <c r="R667" s="108"/>
      <c r="S667" s="440"/>
      <c r="T667" s="440"/>
      <c r="U667" s="440"/>
      <c r="V667" s="440"/>
      <c r="W667" s="440"/>
      <c r="X667" s="440"/>
      <c r="Y667" s="108"/>
      <c r="Z667" s="108"/>
    </row>
    <row r="668" ht="18.75" customHeight="1">
      <c r="A668" s="437"/>
      <c r="B668" s="438"/>
      <c r="C668" s="438"/>
      <c r="D668" s="438"/>
      <c r="E668" s="438"/>
      <c r="F668" s="438"/>
      <c r="G668" s="438"/>
      <c r="H668" s="108"/>
      <c r="I668" s="108"/>
      <c r="J668" s="440"/>
      <c r="K668" s="440"/>
      <c r="L668" s="440"/>
      <c r="M668" s="440"/>
      <c r="N668" s="440"/>
      <c r="O668" s="440"/>
      <c r="P668" s="440"/>
      <c r="Q668" s="440"/>
      <c r="R668" s="108"/>
      <c r="S668" s="440"/>
      <c r="T668" s="440"/>
      <c r="U668" s="440"/>
      <c r="V668" s="440"/>
      <c r="W668" s="440"/>
      <c r="X668" s="440"/>
      <c r="Y668" s="108"/>
      <c r="Z668" s="108"/>
    </row>
    <row r="669" ht="18.75" customHeight="1">
      <c r="A669" s="437"/>
      <c r="B669" s="438"/>
      <c r="C669" s="438"/>
      <c r="D669" s="438"/>
      <c r="E669" s="438"/>
      <c r="F669" s="438"/>
      <c r="G669" s="438"/>
      <c r="H669" s="108"/>
      <c r="I669" s="108"/>
      <c r="J669" s="440"/>
      <c r="K669" s="440"/>
      <c r="L669" s="440"/>
      <c r="M669" s="440"/>
      <c r="N669" s="440"/>
      <c r="O669" s="440"/>
      <c r="P669" s="440"/>
      <c r="Q669" s="440"/>
      <c r="R669" s="108"/>
      <c r="S669" s="440"/>
      <c r="T669" s="440"/>
      <c r="U669" s="440"/>
      <c r="V669" s="440"/>
      <c r="W669" s="440"/>
      <c r="X669" s="440"/>
      <c r="Y669" s="108"/>
      <c r="Z669" s="108"/>
    </row>
    <row r="670" ht="18.75" customHeight="1">
      <c r="A670" s="437"/>
      <c r="B670" s="438"/>
      <c r="C670" s="438"/>
      <c r="D670" s="438"/>
      <c r="E670" s="438"/>
      <c r="F670" s="438"/>
      <c r="G670" s="438"/>
      <c r="H670" s="108"/>
      <c r="I670" s="108"/>
      <c r="J670" s="440"/>
      <c r="K670" s="440"/>
      <c r="L670" s="440"/>
      <c r="M670" s="440"/>
      <c r="N670" s="440"/>
      <c r="O670" s="440"/>
      <c r="P670" s="440"/>
      <c r="Q670" s="440"/>
      <c r="R670" s="108"/>
      <c r="S670" s="440"/>
      <c r="T670" s="440"/>
      <c r="U670" s="440"/>
      <c r="V670" s="440"/>
      <c r="W670" s="440"/>
      <c r="X670" s="440"/>
      <c r="Y670" s="108"/>
      <c r="Z670" s="108"/>
    </row>
    <row r="671" ht="18.75" customHeight="1">
      <c r="A671" s="437"/>
      <c r="B671" s="438"/>
      <c r="C671" s="438"/>
      <c r="D671" s="438"/>
      <c r="E671" s="438"/>
      <c r="F671" s="438"/>
      <c r="G671" s="438"/>
      <c r="H671" s="108"/>
      <c r="I671" s="108"/>
      <c r="J671" s="440"/>
      <c r="K671" s="440"/>
      <c r="L671" s="440"/>
      <c r="M671" s="440"/>
      <c r="N671" s="440"/>
      <c r="O671" s="440"/>
      <c r="P671" s="440"/>
      <c r="Q671" s="440"/>
      <c r="R671" s="108"/>
      <c r="S671" s="440"/>
      <c r="T671" s="440"/>
      <c r="U671" s="440"/>
      <c r="V671" s="440"/>
      <c r="W671" s="440"/>
      <c r="X671" s="440"/>
      <c r="Y671" s="108"/>
      <c r="Z671" s="108"/>
    </row>
    <row r="672" ht="18.75" customHeight="1">
      <c r="A672" s="437"/>
      <c r="B672" s="438"/>
      <c r="C672" s="438"/>
      <c r="D672" s="438"/>
      <c r="E672" s="438"/>
      <c r="F672" s="438"/>
      <c r="G672" s="438"/>
      <c r="H672" s="108"/>
      <c r="I672" s="108"/>
      <c r="J672" s="440"/>
      <c r="K672" s="440"/>
      <c r="L672" s="440"/>
      <c r="M672" s="440"/>
      <c r="N672" s="440"/>
      <c r="O672" s="440"/>
      <c r="P672" s="440"/>
      <c r="Q672" s="440"/>
      <c r="R672" s="108"/>
      <c r="S672" s="440"/>
      <c r="T672" s="440"/>
      <c r="U672" s="440"/>
      <c r="V672" s="440"/>
      <c r="W672" s="440"/>
      <c r="X672" s="440"/>
      <c r="Y672" s="108"/>
      <c r="Z672" s="108"/>
    </row>
    <row r="673" ht="18.75" customHeight="1">
      <c r="A673" s="437"/>
      <c r="B673" s="438"/>
      <c r="C673" s="438"/>
      <c r="D673" s="438"/>
      <c r="E673" s="438"/>
      <c r="F673" s="438"/>
      <c r="G673" s="438"/>
      <c r="H673" s="108"/>
      <c r="I673" s="108"/>
      <c r="J673" s="440"/>
      <c r="K673" s="440"/>
      <c r="L673" s="440"/>
      <c r="M673" s="440"/>
      <c r="N673" s="440"/>
      <c r="O673" s="440"/>
      <c r="P673" s="440"/>
      <c r="Q673" s="440"/>
      <c r="R673" s="108"/>
      <c r="S673" s="440"/>
      <c r="T673" s="440"/>
      <c r="U673" s="440"/>
      <c r="V673" s="440"/>
      <c r="W673" s="440"/>
      <c r="X673" s="440"/>
      <c r="Y673" s="108"/>
      <c r="Z673" s="108"/>
    </row>
    <row r="674" ht="18.75" customHeight="1">
      <c r="A674" s="437"/>
      <c r="B674" s="438"/>
      <c r="C674" s="438"/>
      <c r="D674" s="438"/>
      <c r="E674" s="438"/>
      <c r="F674" s="438"/>
      <c r="G674" s="438"/>
      <c r="H674" s="108"/>
      <c r="I674" s="108"/>
      <c r="J674" s="440"/>
      <c r="K674" s="440"/>
      <c r="L674" s="440"/>
      <c r="M674" s="440"/>
      <c r="N674" s="440"/>
      <c r="O674" s="440"/>
      <c r="P674" s="440"/>
      <c r="Q674" s="440"/>
      <c r="R674" s="108"/>
      <c r="S674" s="440"/>
      <c r="T674" s="440"/>
      <c r="U674" s="440"/>
      <c r="V674" s="440"/>
      <c r="W674" s="440"/>
      <c r="X674" s="440"/>
      <c r="Y674" s="108"/>
      <c r="Z674" s="108"/>
    </row>
    <row r="675" ht="18.75" customHeight="1">
      <c r="A675" s="437"/>
      <c r="B675" s="438"/>
      <c r="C675" s="438"/>
      <c r="D675" s="438"/>
      <c r="E675" s="438"/>
      <c r="F675" s="438"/>
      <c r="G675" s="438"/>
      <c r="H675" s="108"/>
      <c r="I675" s="108"/>
      <c r="J675" s="440"/>
      <c r="K675" s="440"/>
      <c r="L675" s="440"/>
      <c r="M675" s="440"/>
      <c r="N675" s="440"/>
      <c r="O675" s="440"/>
      <c r="P675" s="440"/>
      <c r="Q675" s="440"/>
      <c r="R675" s="108"/>
      <c r="S675" s="440"/>
      <c r="T675" s="440"/>
      <c r="U675" s="440"/>
      <c r="V675" s="440"/>
      <c r="W675" s="440"/>
      <c r="X675" s="440"/>
      <c r="Y675" s="108"/>
      <c r="Z675" s="108"/>
    </row>
    <row r="676" ht="18.75" customHeight="1">
      <c r="A676" s="437"/>
      <c r="B676" s="438"/>
      <c r="C676" s="438"/>
      <c r="D676" s="438"/>
      <c r="E676" s="438"/>
      <c r="F676" s="438"/>
      <c r="G676" s="438"/>
      <c r="H676" s="108"/>
      <c r="I676" s="108"/>
      <c r="J676" s="440"/>
      <c r="K676" s="440"/>
      <c r="L676" s="440"/>
      <c r="M676" s="440"/>
      <c r="N676" s="440"/>
      <c r="O676" s="440"/>
      <c r="P676" s="440"/>
      <c r="Q676" s="440"/>
      <c r="R676" s="108"/>
      <c r="S676" s="440"/>
      <c r="T676" s="440"/>
      <c r="U676" s="440"/>
      <c r="V676" s="440"/>
      <c r="W676" s="440"/>
      <c r="X676" s="440"/>
      <c r="Y676" s="108"/>
      <c r="Z676" s="108"/>
    </row>
    <row r="677" ht="18.75" customHeight="1">
      <c r="A677" s="437"/>
      <c r="B677" s="438"/>
      <c r="C677" s="438"/>
      <c r="D677" s="438"/>
      <c r="E677" s="438"/>
      <c r="F677" s="438"/>
      <c r="G677" s="438"/>
      <c r="H677" s="108"/>
      <c r="I677" s="108"/>
      <c r="J677" s="440"/>
      <c r="K677" s="440"/>
      <c r="L677" s="440"/>
      <c r="M677" s="440"/>
      <c r="N677" s="440"/>
      <c r="O677" s="440"/>
      <c r="P677" s="440"/>
      <c r="Q677" s="440"/>
      <c r="R677" s="108"/>
      <c r="S677" s="440"/>
      <c r="T677" s="440"/>
      <c r="U677" s="440"/>
      <c r="V677" s="440"/>
      <c r="W677" s="440"/>
      <c r="X677" s="440"/>
      <c r="Y677" s="108"/>
      <c r="Z677" s="108"/>
    </row>
    <row r="678" ht="18.75" customHeight="1">
      <c r="A678" s="437"/>
      <c r="B678" s="438"/>
      <c r="C678" s="438"/>
      <c r="D678" s="438"/>
      <c r="E678" s="438"/>
      <c r="F678" s="438"/>
      <c r="G678" s="438"/>
      <c r="H678" s="108"/>
      <c r="I678" s="108"/>
      <c r="J678" s="440"/>
      <c r="K678" s="440"/>
      <c r="L678" s="440"/>
      <c r="M678" s="440"/>
      <c r="N678" s="440"/>
      <c r="O678" s="440"/>
      <c r="P678" s="440"/>
      <c r="Q678" s="440"/>
      <c r="R678" s="108"/>
      <c r="S678" s="440"/>
      <c r="T678" s="440"/>
      <c r="U678" s="440"/>
      <c r="V678" s="440"/>
      <c r="W678" s="440"/>
      <c r="X678" s="440"/>
      <c r="Y678" s="108"/>
      <c r="Z678" s="108"/>
    </row>
    <row r="679" ht="18.75" customHeight="1">
      <c r="A679" s="437"/>
      <c r="B679" s="438"/>
      <c r="C679" s="438"/>
      <c r="D679" s="438"/>
      <c r="E679" s="438"/>
      <c r="F679" s="438"/>
      <c r="G679" s="438"/>
      <c r="H679" s="108"/>
      <c r="I679" s="108"/>
      <c r="J679" s="440"/>
      <c r="K679" s="440"/>
      <c r="L679" s="440"/>
      <c r="M679" s="440"/>
      <c r="N679" s="440"/>
      <c r="O679" s="440"/>
      <c r="P679" s="440"/>
      <c r="Q679" s="440"/>
      <c r="R679" s="108"/>
      <c r="S679" s="440"/>
      <c r="T679" s="440"/>
      <c r="U679" s="440"/>
      <c r="V679" s="440"/>
      <c r="W679" s="440"/>
      <c r="X679" s="440"/>
      <c r="Y679" s="108"/>
      <c r="Z679" s="108"/>
    </row>
    <row r="680" ht="18.75" customHeight="1">
      <c r="A680" s="437"/>
      <c r="B680" s="438"/>
      <c r="C680" s="438"/>
      <c r="D680" s="438"/>
      <c r="E680" s="438"/>
      <c r="F680" s="438"/>
      <c r="G680" s="438"/>
      <c r="H680" s="108"/>
      <c r="I680" s="108"/>
      <c r="J680" s="440"/>
      <c r="K680" s="440"/>
      <c r="L680" s="440"/>
      <c r="M680" s="440"/>
      <c r="N680" s="440"/>
      <c r="O680" s="440"/>
      <c r="P680" s="440"/>
      <c r="Q680" s="440"/>
      <c r="R680" s="108"/>
      <c r="S680" s="440"/>
      <c r="T680" s="440"/>
      <c r="U680" s="440"/>
      <c r="V680" s="440"/>
      <c r="W680" s="440"/>
      <c r="X680" s="440"/>
      <c r="Y680" s="108"/>
      <c r="Z680" s="108"/>
    </row>
    <row r="681" ht="18.75" customHeight="1">
      <c r="A681" s="437"/>
      <c r="B681" s="438"/>
      <c r="C681" s="438"/>
      <c r="D681" s="438"/>
      <c r="E681" s="438"/>
      <c r="F681" s="438"/>
      <c r="G681" s="438"/>
      <c r="H681" s="108"/>
      <c r="I681" s="108"/>
      <c r="J681" s="440"/>
      <c r="K681" s="440"/>
      <c r="L681" s="440"/>
      <c r="M681" s="440"/>
      <c r="N681" s="440"/>
      <c r="O681" s="440"/>
      <c r="P681" s="440"/>
      <c r="Q681" s="440"/>
      <c r="R681" s="108"/>
      <c r="S681" s="440"/>
      <c r="T681" s="440"/>
      <c r="U681" s="440"/>
      <c r="V681" s="440"/>
      <c r="W681" s="440"/>
      <c r="X681" s="440"/>
      <c r="Y681" s="108"/>
      <c r="Z681" s="108"/>
    </row>
    <row r="682" ht="18.75" customHeight="1">
      <c r="A682" s="437"/>
      <c r="B682" s="438"/>
      <c r="C682" s="438"/>
      <c r="D682" s="438"/>
      <c r="E682" s="438"/>
      <c r="F682" s="438"/>
      <c r="G682" s="438"/>
      <c r="H682" s="108"/>
      <c r="I682" s="108"/>
      <c r="J682" s="440"/>
      <c r="K682" s="440"/>
      <c r="L682" s="440"/>
      <c r="M682" s="440"/>
      <c r="N682" s="440"/>
      <c r="O682" s="440"/>
      <c r="P682" s="440"/>
      <c r="Q682" s="440"/>
      <c r="R682" s="108"/>
      <c r="S682" s="440"/>
      <c r="T682" s="440"/>
      <c r="U682" s="440"/>
      <c r="V682" s="440"/>
      <c r="W682" s="440"/>
      <c r="X682" s="440"/>
      <c r="Y682" s="108"/>
      <c r="Z682" s="108"/>
    </row>
    <row r="683" ht="18.75" customHeight="1">
      <c r="A683" s="437"/>
      <c r="B683" s="438"/>
      <c r="C683" s="438"/>
      <c r="D683" s="438"/>
      <c r="E683" s="438"/>
      <c r="F683" s="438"/>
      <c r="G683" s="438"/>
      <c r="H683" s="108"/>
      <c r="I683" s="108"/>
      <c r="J683" s="440"/>
      <c r="K683" s="440"/>
      <c r="L683" s="440"/>
      <c r="M683" s="440"/>
      <c r="N683" s="440"/>
      <c r="O683" s="440"/>
      <c r="P683" s="440"/>
      <c r="Q683" s="440"/>
      <c r="R683" s="108"/>
      <c r="S683" s="440"/>
      <c r="T683" s="440"/>
      <c r="U683" s="440"/>
      <c r="V683" s="440"/>
      <c r="W683" s="440"/>
      <c r="X683" s="440"/>
      <c r="Y683" s="108"/>
      <c r="Z683" s="108"/>
    </row>
    <row r="684" ht="18.75" customHeight="1">
      <c r="A684" s="437"/>
      <c r="B684" s="438"/>
      <c r="C684" s="438"/>
      <c r="D684" s="438"/>
      <c r="E684" s="438"/>
      <c r="F684" s="438"/>
      <c r="G684" s="438"/>
      <c r="H684" s="108"/>
      <c r="I684" s="108"/>
      <c r="J684" s="440"/>
      <c r="K684" s="440"/>
      <c r="L684" s="440"/>
      <c r="M684" s="440"/>
      <c r="N684" s="440"/>
      <c r="O684" s="440"/>
      <c r="P684" s="440"/>
      <c r="Q684" s="440"/>
      <c r="R684" s="108"/>
      <c r="S684" s="440"/>
      <c r="T684" s="440"/>
      <c r="U684" s="440"/>
      <c r="V684" s="440"/>
      <c r="W684" s="440"/>
      <c r="X684" s="440"/>
      <c r="Y684" s="108"/>
      <c r="Z684" s="108"/>
    </row>
    <row r="685" ht="18.75" customHeight="1">
      <c r="A685" s="437"/>
      <c r="B685" s="438"/>
      <c r="C685" s="438"/>
      <c r="D685" s="438"/>
      <c r="E685" s="438"/>
      <c r="F685" s="438"/>
      <c r="G685" s="438"/>
      <c r="H685" s="108"/>
      <c r="I685" s="108"/>
      <c r="J685" s="440"/>
      <c r="K685" s="440"/>
      <c r="L685" s="440"/>
      <c r="M685" s="440"/>
      <c r="N685" s="440"/>
      <c r="O685" s="440"/>
      <c r="P685" s="440"/>
      <c r="Q685" s="440"/>
      <c r="R685" s="108"/>
      <c r="S685" s="440"/>
      <c r="T685" s="440"/>
      <c r="U685" s="440"/>
      <c r="V685" s="440"/>
      <c r="W685" s="440"/>
      <c r="X685" s="440"/>
      <c r="Y685" s="108"/>
      <c r="Z685" s="108"/>
    </row>
    <row r="686" ht="18.75" customHeight="1">
      <c r="A686" s="437"/>
      <c r="B686" s="438"/>
      <c r="C686" s="438"/>
      <c r="D686" s="438"/>
      <c r="E686" s="438"/>
      <c r="F686" s="438"/>
      <c r="G686" s="438"/>
      <c r="H686" s="108"/>
      <c r="I686" s="108"/>
      <c r="J686" s="440"/>
      <c r="K686" s="440"/>
      <c r="L686" s="440"/>
      <c r="M686" s="440"/>
      <c r="N686" s="440"/>
      <c r="O686" s="440"/>
      <c r="P686" s="440"/>
      <c r="Q686" s="440"/>
      <c r="R686" s="108"/>
      <c r="S686" s="440"/>
      <c r="T686" s="440"/>
      <c r="U686" s="440"/>
      <c r="V686" s="440"/>
      <c r="W686" s="440"/>
      <c r="X686" s="440"/>
      <c r="Y686" s="108"/>
      <c r="Z686" s="108"/>
    </row>
    <row r="687" ht="18.75" customHeight="1">
      <c r="A687" s="437"/>
      <c r="B687" s="438"/>
      <c r="C687" s="438"/>
      <c r="D687" s="438"/>
      <c r="E687" s="438"/>
      <c r="F687" s="438"/>
      <c r="G687" s="438"/>
      <c r="H687" s="108"/>
      <c r="I687" s="108"/>
      <c r="J687" s="440"/>
      <c r="K687" s="440"/>
      <c r="L687" s="440"/>
      <c r="M687" s="440"/>
      <c r="N687" s="440"/>
      <c r="O687" s="440"/>
      <c r="P687" s="440"/>
      <c r="Q687" s="440"/>
      <c r="R687" s="108"/>
      <c r="S687" s="440"/>
      <c r="T687" s="440"/>
      <c r="U687" s="440"/>
      <c r="V687" s="440"/>
      <c r="W687" s="440"/>
      <c r="X687" s="440"/>
      <c r="Y687" s="108"/>
      <c r="Z687" s="108"/>
    </row>
    <row r="688" ht="18.75" customHeight="1">
      <c r="A688" s="437"/>
      <c r="B688" s="438"/>
      <c r="C688" s="438"/>
      <c r="D688" s="438"/>
      <c r="E688" s="438"/>
      <c r="F688" s="438"/>
      <c r="G688" s="438"/>
      <c r="H688" s="108"/>
      <c r="I688" s="108"/>
      <c r="J688" s="440"/>
      <c r="K688" s="440"/>
      <c r="L688" s="440"/>
      <c r="M688" s="440"/>
      <c r="N688" s="440"/>
      <c r="O688" s="440"/>
      <c r="P688" s="440"/>
      <c r="Q688" s="440"/>
      <c r="R688" s="108"/>
      <c r="S688" s="440"/>
      <c r="T688" s="440"/>
      <c r="U688" s="440"/>
      <c r="V688" s="440"/>
      <c r="W688" s="440"/>
      <c r="X688" s="440"/>
      <c r="Y688" s="108"/>
      <c r="Z688" s="108"/>
    </row>
    <row r="689" ht="18.75" customHeight="1">
      <c r="A689" s="437"/>
      <c r="B689" s="438"/>
      <c r="C689" s="438"/>
      <c r="D689" s="438"/>
      <c r="E689" s="438"/>
      <c r="F689" s="438"/>
      <c r="G689" s="438"/>
      <c r="H689" s="108"/>
      <c r="I689" s="108"/>
      <c r="J689" s="440"/>
      <c r="K689" s="440"/>
      <c r="L689" s="440"/>
      <c r="M689" s="440"/>
      <c r="N689" s="440"/>
      <c r="O689" s="440"/>
      <c r="P689" s="440"/>
      <c r="Q689" s="440"/>
      <c r="R689" s="108"/>
      <c r="S689" s="440"/>
      <c r="T689" s="440"/>
      <c r="U689" s="440"/>
      <c r="V689" s="440"/>
      <c r="W689" s="440"/>
      <c r="X689" s="440"/>
      <c r="Y689" s="108"/>
      <c r="Z689" s="108"/>
    </row>
    <row r="690" ht="18.75" customHeight="1">
      <c r="A690" s="437"/>
      <c r="B690" s="438"/>
      <c r="C690" s="438"/>
      <c r="D690" s="438"/>
      <c r="E690" s="438"/>
      <c r="F690" s="438"/>
      <c r="G690" s="438"/>
      <c r="H690" s="108"/>
      <c r="I690" s="108"/>
      <c r="J690" s="440"/>
      <c r="K690" s="440"/>
      <c r="L690" s="440"/>
      <c r="M690" s="440"/>
      <c r="N690" s="440"/>
      <c r="O690" s="440"/>
      <c r="P690" s="440"/>
      <c r="Q690" s="440"/>
      <c r="R690" s="108"/>
      <c r="S690" s="440"/>
      <c r="T690" s="440"/>
      <c r="U690" s="440"/>
      <c r="V690" s="440"/>
      <c r="W690" s="440"/>
      <c r="X690" s="440"/>
      <c r="Y690" s="108"/>
      <c r="Z690" s="108"/>
    </row>
    <row r="691" ht="18.75" customHeight="1">
      <c r="A691" s="437"/>
      <c r="B691" s="438"/>
      <c r="C691" s="438"/>
      <c r="D691" s="438"/>
      <c r="E691" s="438"/>
      <c r="F691" s="438"/>
      <c r="G691" s="438"/>
      <c r="H691" s="108"/>
      <c r="I691" s="108"/>
      <c r="J691" s="440"/>
      <c r="K691" s="440"/>
      <c r="L691" s="440"/>
      <c r="M691" s="440"/>
      <c r="N691" s="440"/>
      <c r="O691" s="440"/>
      <c r="P691" s="440"/>
      <c r="Q691" s="440"/>
      <c r="R691" s="108"/>
      <c r="S691" s="440"/>
      <c r="T691" s="440"/>
      <c r="U691" s="440"/>
      <c r="V691" s="440"/>
      <c r="W691" s="440"/>
      <c r="X691" s="440"/>
      <c r="Y691" s="108"/>
      <c r="Z691" s="108"/>
    </row>
    <row r="692" ht="18.75" customHeight="1">
      <c r="A692" s="437"/>
      <c r="B692" s="438"/>
      <c r="C692" s="438"/>
      <c r="D692" s="438"/>
      <c r="E692" s="438"/>
      <c r="F692" s="438"/>
      <c r="G692" s="438"/>
      <c r="H692" s="108"/>
      <c r="I692" s="108"/>
      <c r="J692" s="440"/>
      <c r="K692" s="440"/>
      <c r="L692" s="440"/>
      <c r="M692" s="440"/>
      <c r="N692" s="440"/>
      <c r="O692" s="440"/>
      <c r="P692" s="440"/>
      <c r="Q692" s="440"/>
      <c r="R692" s="108"/>
      <c r="S692" s="440"/>
      <c r="T692" s="440"/>
      <c r="U692" s="440"/>
      <c r="V692" s="440"/>
      <c r="W692" s="440"/>
      <c r="X692" s="440"/>
      <c r="Y692" s="108"/>
      <c r="Z692" s="108"/>
    </row>
    <row r="693" ht="18.75" customHeight="1">
      <c r="A693" s="437"/>
      <c r="B693" s="438"/>
      <c r="C693" s="438"/>
      <c r="D693" s="438"/>
      <c r="E693" s="438"/>
      <c r="F693" s="438"/>
      <c r="G693" s="438"/>
      <c r="H693" s="108"/>
      <c r="I693" s="108"/>
      <c r="J693" s="440"/>
      <c r="K693" s="440"/>
      <c r="L693" s="440"/>
      <c r="M693" s="440"/>
      <c r="N693" s="440"/>
      <c r="O693" s="440"/>
      <c r="P693" s="440"/>
      <c r="Q693" s="440"/>
      <c r="R693" s="108"/>
      <c r="S693" s="440"/>
      <c r="T693" s="440"/>
      <c r="U693" s="440"/>
      <c r="V693" s="440"/>
      <c r="W693" s="440"/>
      <c r="X693" s="440"/>
      <c r="Y693" s="108"/>
      <c r="Z693" s="108"/>
    </row>
    <row r="694" ht="18.75" customHeight="1">
      <c r="A694" s="437"/>
      <c r="B694" s="438"/>
      <c r="C694" s="438"/>
      <c r="D694" s="438"/>
      <c r="E694" s="438"/>
      <c r="F694" s="438"/>
      <c r="G694" s="438"/>
      <c r="H694" s="108"/>
      <c r="I694" s="108"/>
      <c r="J694" s="440"/>
      <c r="K694" s="440"/>
      <c r="L694" s="440"/>
      <c r="M694" s="440"/>
      <c r="N694" s="440"/>
      <c r="O694" s="440"/>
      <c r="P694" s="440"/>
      <c r="Q694" s="440"/>
      <c r="R694" s="108"/>
      <c r="S694" s="440"/>
      <c r="T694" s="440"/>
      <c r="U694" s="440"/>
      <c r="V694" s="440"/>
      <c r="W694" s="440"/>
      <c r="X694" s="440"/>
      <c r="Y694" s="108"/>
      <c r="Z694" s="108"/>
    </row>
    <row r="695" ht="18.75" customHeight="1">
      <c r="A695" s="437"/>
      <c r="B695" s="438"/>
      <c r="C695" s="438"/>
      <c r="D695" s="438"/>
      <c r="E695" s="438"/>
      <c r="F695" s="438"/>
      <c r="G695" s="438"/>
      <c r="H695" s="108"/>
      <c r="I695" s="108"/>
      <c r="J695" s="440"/>
      <c r="K695" s="440"/>
      <c r="L695" s="440"/>
      <c r="M695" s="440"/>
      <c r="N695" s="440"/>
      <c r="O695" s="440"/>
      <c r="P695" s="440"/>
      <c r="Q695" s="440"/>
      <c r="R695" s="108"/>
      <c r="S695" s="440"/>
      <c r="T695" s="440"/>
      <c r="U695" s="440"/>
      <c r="V695" s="440"/>
      <c r="W695" s="440"/>
      <c r="X695" s="440"/>
      <c r="Y695" s="108"/>
      <c r="Z695" s="108"/>
    </row>
    <row r="696" ht="18.75" customHeight="1">
      <c r="A696" s="437"/>
      <c r="B696" s="438"/>
      <c r="C696" s="438"/>
      <c r="D696" s="438"/>
      <c r="E696" s="438"/>
      <c r="F696" s="438"/>
      <c r="G696" s="438"/>
      <c r="H696" s="108"/>
      <c r="I696" s="108"/>
      <c r="J696" s="440"/>
      <c r="K696" s="440"/>
      <c r="L696" s="440"/>
      <c r="M696" s="440"/>
      <c r="N696" s="440"/>
      <c r="O696" s="440"/>
      <c r="P696" s="440"/>
      <c r="Q696" s="440"/>
      <c r="R696" s="108"/>
      <c r="S696" s="440"/>
      <c r="T696" s="440"/>
      <c r="U696" s="440"/>
      <c r="V696" s="440"/>
      <c r="W696" s="440"/>
      <c r="X696" s="440"/>
      <c r="Y696" s="108"/>
      <c r="Z696" s="108"/>
    </row>
    <row r="697" ht="18.75" customHeight="1">
      <c r="A697" s="437"/>
      <c r="B697" s="438"/>
      <c r="C697" s="438"/>
      <c r="D697" s="438"/>
      <c r="E697" s="438"/>
      <c r="F697" s="438"/>
      <c r="G697" s="438"/>
      <c r="H697" s="108"/>
      <c r="I697" s="108"/>
      <c r="J697" s="440"/>
      <c r="K697" s="440"/>
      <c r="L697" s="440"/>
      <c r="M697" s="440"/>
      <c r="N697" s="440"/>
      <c r="O697" s="440"/>
      <c r="P697" s="440"/>
      <c r="Q697" s="440"/>
      <c r="R697" s="108"/>
      <c r="S697" s="440"/>
      <c r="T697" s="440"/>
      <c r="U697" s="440"/>
      <c r="V697" s="440"/>
      <c r="W697" s="440"/>
      <c r="X697" s="440"/>
      <c r="Y697" s="108"/>
      <c r="Z697" s="108"/>
    </row>
    <row r="698" ht="18.75" customHeight="1">
      <c r="A698" s="437"/>
      <c r="B698" s="438"/>
      <c r="C698" s="438"/>
      <c r="D698" s="438"/>
      <c r="E698" s="438"/>
      <c r="F698" s="438"/>
      <c r="G698" s="438"/>
      <c r="H698" s="108"/>
      <c r="I698" s="108"/>
      <c r="J698" s="440"/>
      <c r="K698" s="440"/>
      <c r="L698" s="440"/>
      <c r="M698" s="440"/>
      <c r="N698" s="440"/>
      <c r="O698" s="440"/>
      <c r="P698" s="440"/>
      <c r="Q698" s="440"/>
      <c r="R698" s="108"/>
      <c r="S698" s="440"/>
      <c r="T698" s="440"/>
      <c r="U698" s="440"/>
      <c r="V698" s="440"/>
      <c r="W698" s="440"/>
      <c r="X698" s="440"/>
      <c r="Y698" s="108"/>
      <c r="Z698" s="108"/>
    </row>
    <row r="699" ht="18.75" customHeight="1">
      <c r="A699" s="437"/>
      <c r="B699" s="438"/>
      <c r="C699" s="438"/>
      <c r="D699" s="438"/>
      <c r="E699" s="438"/>
      <c r="F699" s="438"/>
      <c r="G699" s="438"/>
      <c r="H699" s="108"/>
      <c r="I699" s="108"/>
      <c r="J699" s="440"/>
      <c r="K699" s="440"/>
      <c r="L699" s="440"/>
      <c r="M699" s="440"/>
      <c r="N699" s="440"/>
      <c r="O699" s="440"/>
      <c r="P699" s="440"/>
      <c r="Q699" s="440"/>
      <c r="R699" s="108"/>
      <c r="S699" s="440"/>
      <c r="T699" s="440"/>
      <c r="U699" s="440"/>
      <c r="V699" s="440"/>
      <c r="W699" s="440"/>
      <c r="X699" s="440"/>
      <c r="Y699" s="108"/>
      <c r="Z699" s="108"/>
    </row>
    <row r="700" ht="18.75" customHeight="1">
      <c r="A700" s="437"/>
      <c r="B700" s="438"/>
      <c r="C700" s="438"/>
      <c r="D700" s="438"/>
      <c r="E700" s="438"/>
      <c r="F700" s="438"/>
      <c r="G700" s="438"/>
      <c r="H700" s="108"/>
      <c r="I700" s="108"/>
      <c r="J700" s="440"/>
      <c r="K700" s="440"/>
      <c r="L700" s="440"/>
      <c r="M700" s="440"/>
      <c r="N700" s="440"/>
      <c r="O700" s="440"/>
      <c r="P700" s="440"/>
      <c r="Q700" s="440"/>
      <c r="R700" s="108"/>
      <c r="S700" s="440"/>
      <c r="T700" s="440"/>
      <c r="U700" s="440"/>
      <c r="V700" s="440"/>
      <c r="W700" s="440"/>
      <c r="X700" s="440"/>
      <c r="Y700" s="108"/>
      <c r="Z700" s="108"/>
    </row>
    <row r="701" ht="18.75" customHeight="1">
      <c r="A701" s="437"/>
      <c r="B701" s="438"/>
      <c r="C701" s="438"/>
      <c r="D701" s="438"/>
      <c r="E701" s="438"/>
      <c r="F701" s="438"/>
      <c r="G701" s="438"/>
      <c r="H701" s="108"/>
      <c r="I701" s="108"/>
      <c r="J701" s="440"/>
      <c r="K701" s="440"/>
      <c r="L701" s="440"/>
      <c r="M701" s="440"/>
      <c r="N701" s="440"/>
      <c r="O701" s="440"/>
      <c r="P701" s="440"/>
      <c r="Q701" s="440"/>
      <c r="R701" s="108"/>
      <c r="S701" s="440"/>
      <c r="T701" s="440"/>
      <c r="U701" s="440"/>
      <c r="V701" s="440"/>
      <c r="W701" s="440"/>
      <c r="X701" s="440"/>
      <c r="Y701" s="108"/>
      <c r="Z701" s="108"/>
    </row>
    <row r="702" ht="18.75" customHeight="1">
      <c r="A702" s="437"/>
      <c r="B702" s="438"/>
      <c r="C702" s="438"/>
      <c r="D702" s="438"/>
      <c r="E702" s="438"/>
      <c r="F702" s="438"/>
      <c r="G702" s="438"/>
      <c r="H702" s="108"/>
      <c r="I702" s="108"/>
      <c r="J702" s="440"/>
      <c r="K702" s="440"/>
      <c r="L702" s="440"/>
      <c r="M702" s="440"/>
      <c r="N702" s="440"/>
      <c r="O702" s="440"/>
      <c r="P702" s="440"/>
      <c r="Q702" s="440"/>
      <c r="R702" s="108"/>
      <c r="S702" s="440"/>
      <c r="T702" s="440"/>
      <c r="U702" s="440"/>
      <c r="V702" s="440"/>
      <c r="W702" s="440"/>
      <c r="X702" s="440"/>
      <c r="Y702" s="108"/>
      <c r="Z702" s="108"/>
    </row>
    <row r="703" ht="18.75" customHeight="1">
      <c r="A703" s="437"/>
      <c r="B703" s="438"/>
      <c r="C703" s="438"/>
      <c r="D703" s="438"/>
      <c r="E703" s="438"/>
      <c r="F703" s="438"/>
      <c r="G703" s="438"/>
      <c r="H703" s="108"/>
      <c r="I703" s="108"/>
      <c r="J703" s="440"/>
      <c r="K703" s="440"/>
      <c r="L703" s="440"/>
      <c r="M703" s="440"/>
      <c r="N703" s="440"/>
      <c r="O703" s="440"/>
      <c r="P703" s="440"/>
      <c r="Q703" s="440"/>
      <c r="R703" s="108"/>
      <c r="S703" s="440"/>
      <c r="T703" s="440"/>
      <c r="U703" s="440"/>
      <c r="V703" s="440"/>
      <c r="W703" s="440"/>
      <c r="X703" s="440"/>
      <c r="Y703" s="108"/>
      <c r="Z703" s="108"/>
    </row>
    <row r="704" ht="18.75" customHeight="1">
      <c r="A704" s="437"/>
      <c r="B704" s="438"/>
      <c r="C704" s="438"/>
      <c r="D704" s="438"/>
      <c r="E704" s="438"/>
      <c r="F704" s="438"/>
      <c r="G704" s="438"/>
      <c r="H704" s="108"/>
      <c r="I704" s="108"/>
      <c r="J704" s="440"/>
      <c r="K704" s="440"/>
      <c r="L704" s="440"/>
      <c r="M704" s="440"/>
      <c r="N704" s="440"/>
      <c r="O704" s="440"/>
      <c r="P704" s="440"/>
      <c r="Q704" s="440"/>
      <c r="R704" s="108"/>
      <c r="S704" s="440"/>
      <c r="T704" s="440"/>
      <c r="U704" s="440"/>
      <c r="V704" s="440"/>
      <c r="W704" s="440"/>
      <c r="X704" s="440"/>
      <c r="Y704" s="108"/>
      <c r="Z704" s="108"/>
    </row>
    <row r="705" ht="18.75" customHeight="1">
      <c r="A705" s="437"/>
      <c r="B705" s="438"/>
      <c r="C705" s="438"/>
      <c r="D705" s="438"/>
      <c r="E705" s="438"/>
      <c r="F705" s="438"/>
      <c r="G705" s="438"/>
      <c r="H705" s="108"/>
      <c r="I705" s="108"/>
      <c r="J705" s="440"/>
      <c r="K705" s="440"/>
      <c r="L705" s="440"/>
      <c r="M705" s="440"/>
      <c r="N705" s="440"/>
      <c r="O705" s="440"/>
      <c r="P705" s="440"/>
      <c r="Q705" s="440"/>
      <c r="R705" s="108"/>
      <c r="S705" s="440"/>
      <c r="T705" s="440"/>
      <c r="U705" s="440"/>
      <c r="V705" s="440"/>
      <c r="W705" s="440"/>
      <c r="X705" s="440"/>
      <c r="Y705" s="108"/>
      <c r="Z705" s="108"/>
    </row>
    <row r="706" ht="18.75" customHeight="1">
      <c r="A706" s="437"/>
      <c r="B706" s="438"/>
      <c r="C706" s="438"/>
      <c r="D706" s="438"/>
      <c r="E706" s="438"/>
      <c r="F706" s="438"/>
      <c r="G706" s="438"/>
      <c r="H706" s="108"/>
      <c r="I706" s="108"/>
      <c r="J706" s="440"/>
      <c r="K706" s="440"/>
      <c r="L706" s="440"/>
      <c r="M706" s="440"/>
      <c r="N706" s="440"/>
      <c r="O706" s="440"/>
      <c r="P706" s="440"/>
      <c r="Q706" s="440"/>
      <c r="R706" s="108"/>
      <c r="S706" s="440"/>
      <c r="T706" s="440"/>
      <c r="U706" s="440"/>
      <c r="V706" s="440"/>
      <c r="W706" s="440"/>
      <c r="X706" s="440"/>
      <c r="Y706" s="108"/>
      <c r="Z706" s="108"/>
    </row>
    <row r="707" ht="18.75" customHeight="1">
      <c r="A707" s="437"/>
      <c r="B707" s="438"/>
      <c r="C707" s="438"/>
      <c r="D707" s="438"/>
      <c r="E707" s="438"/>
      <c r="F707" s="438"/>
      <c r="G707" s="438"/>
      <c r="H707" s="108"/>
      <c r="I707" s="108"/>
      <c r="J707" s="440"/>
      <c r="K707" s="440"/>
      <c r="L707" s="440"/>
      <c r="M707" s="440"/>
      <c r="N707" s="440"/>
      <c r="O707" s="440"/>
      <c r="P707" s="440"/>
      <c r="Q707" s="440"/>
      <c r="R707" s="108"/>
      <c r="S707" s="440"/>
      <c r="T707" s="440"/>
      <c r="U707" s="440"/>
      <c r="V707" s="440"/>
      <c r="W707" s="440"/>
      <c r="X707" s="440"/>
      <c r="Y707" s="108"/>
      <c r="Z707" s="108"/>
    </row>
    <row r="708" ht="18.75" customHeight="1">
      <c r="A708" s="437"/>
      <c r="B708" s="438"/>
      <c r="C708" s="438"/>
      <c r="D708" s="438"/>
      <c r="E708" s="438"/>
      <c r="F708" s="438"/>
      <c r="G708" s="438"/>
      <c r="H708" s="108"/>
      <c r="I708" s="108"/>
      <c r="J708" s="440"/>
      <c r="K708" s="440"/>
      <c r="L708" s="440"/>
      <c r="M708" s="440"/>
      <c r="N708" s="440"/>
      <c r="O708" s="440"/>
      <c r="P708" s="440"/>
      <c r="Q708" s="440"/>
      <c r="R708" s="108"/>
      <c r="S708" s="440"/>
      <c r="T708" s="440"/>
      <c r="U708" s="440"/>
      <c r="V708" s="440"/>
      <c r="W708" s="440"/>
      <c r="X708" s="440"/>
      <c r="Y708" s="108"/>
      <c r="Z708" s="108"/>
    </row>
    <row r="709" ht="18.75" customHeight="1">
      <c r="A709" s="437"/>
      <c r="B709" s="438"/>
      <c r="C709" s="438"/>
      <c r="D709" s="438"/>
      <c r="E709" s="438"/>
      <c r="F709" s="438"/>
      <c r="G709" s="438"/>
      <c r="H709" s="108"/>
      <c r="I709" s="108"/>
      <c r="J709" s="440"/>
      <c r="K709" s="440"/>
      <c r="L709" s="440"/>
      <c r="M709" s="440"/>
      <c r="N709" s="440"/>
      <c r="O709" s="440"/>
      <c r="P709" s="440"/>
      <c r="Q709" s="440"/>
      <c r="R709" s="108"/>
      <c r="S709" s="440"/>
      <c r="T709" s="440"/>
      <c r="U709" s="440"/>
      <c r="V709" s="440"/>
      <c r="W709" s="440"/>
      <c r="X709" s="440"/>
      <c r="Y709" s="108"/>
      <c r="Z709" s="108"/>
    </row>
    <row r="710" ht="18.75" customHeight="1">
      <c r="A710" s="437"/>
      <c r="B710" s="438"/>
      <c r="C710" s="438"/>
      <c r="D710" s="438"/>
      <c r="E710" s="438"/>
      <c r="F710" s="438"/>
      <c r="G710" s="438"/>
      <c r="H710" s="108"/>
      <c r="I710" s="108"/>
      <c r="J710" s="440"/>
      <c r="K710" s="440"/>
      <c r="L710" s="440"/>
      <c r="M710" s="440"/>
      <c r="N710" s="440"/>
      <c r="O710" s="440"/>
      <c r="P710" s="440"/>
      <c r="Q710" s="440"/>
      <c r="R710" s="108"/>
      <c r="S710" s="440"/>
      <c r="T710" s="440"/>
      <c r="U710" s="440"/>
      <c r="V710" s="440"/>
      <c r="W710" s="440"/>
      <c r="X710" s="440"/>
      <c r="Y710" s="108"/>
      <c r="Z710" s="108"/>
    </row>
    <row r="711" ht="18.75" customHeight="1">
      <c r="A711" s="437"/>
      <c r="B711" s="438"/>
      <c r="C711" s="438"/>
      <c r="D711" s="438"/>
      <c r="E711" s="438"/>
      <c r="F711" s="438"/>
      <c r="G711" s="438"/>
      <c r="H711" s="108"/>
      <c r="I711" s="108"/>
      <c r="J711" s="440"/>
      <c r="K711" s="440"/>
      <c r="L711" s="440"/>
      <c r="M711" s="440"/>
      <c r="N711" s="440"/>
      <c r="O711" s="440"/>
      <c r="P711" s="440"/>
      <c r="Q711" s="440"/>
      <c r="R711" s="108"/>
      <c r="S711" s="440"/>
      <c r="T711" s="440"/>
      <c r="U711" s="440"/>
      <c r="V711" s="440"/>
      <c r="W711" s="440"/>
      <c r="X711" s="440"/>
      <c r="Y711" s="108"/>
      <c r="Z711" s="108"/>
    </row>
    <row r="712" ht="18.75" customHeight="1">
      <c r="A712" s="437"/>
      <c r="B712" s="438"/>
      <c r="C712" s="438"/>
      <c r="D712" s="438"/>
      <c r="E712" s="438"/>
      <c r="F712" s="438"/>
      <c r="G712" s="438"/>
      <c r="H712" s="108"/>
      <c r="I712" s="108"/>
      <c r="J712" s="440"/>
      <c r="K712" s="440"/>
      <c r="L712" s="440"/>
      <c r="M712" s="440"/>
      <c r="N712" s="440"/>
      <c r="O712" s="440"/>
      <c r="P712" s="440"/>
      <c r="Q712" s="440"/>
      <c r="R712" s="108"/>
      <c r="S712" s="440"/>
      <c r="T712" s="440"/>
      <c r="U712" s="440"/>
      <c r="V712" s="440"/>
      <c r="W712" s="440"/>
      <c r="X712" s="440"/>
      <c r="Y712" s="108"/>
      <c r="Z712" s="108"/>
    </row>
    <row r="713" ht="18.75" customHeight="1">
      <c r="A713" s="437"/>
      <c r="B713" s="438"/>
      <c r="C713" s="438"/>
      <c r="D713" s="438"/>
      <c r="E713" s="438"/>
      <c r="F713" s="438"/>
      <c r="G713" s="438"/>
      <c r="H713" s="108"/>
      <c r="I713" s="108"/>
      <c r="J713" s="440"/>
      <c r="K713" s="440"/>
      <c r="L713" s="440"/>
      <c r="M713" s="440"/>
      <c r="N713" s="440"/>
      <c r="O713" s="440"/>
      <c r="P713" s="440"/>
      <c r="Q713" s="440"/>
      <c r="R713" s="108"/>
      <c r="S713" s="440"/>
      <c r="T713" s="440"/>
      <c r="U713" s="440"/>
      <c r="V713" s="440"/>
      <c r="W713" s="440"/>
      <c r="X713" s="440"/>
      <c r="Y713" s="108"/>
      <c r="Z713" s="108"/>
    </row>
    <row r="714" ht="18.75" customHeight="1">
      <c r="A714" s="437"/>
      <c r="B714" s="438"/>
      <c r="C714" s="438"/>
      <c r="D714" s="438"/>
      <c r="E714" s="438"/>
      <c r="F714" s="438"/>
      <c r="G714" s="438"/>
      <c r="H714" s="108"/>
      <c r="I714" s="108"/>
      <c r="J714" s="440"/>
      <c r="K714" s="440"/>
      <c r="L714" s="440"/>
      <c r="M714" s="440"/>
      <c r="N714" s="440"/>
      <c r="O714" s="440"/>
      <c r="P714" s="440"/>
      <c r="Q714" s="440"/>
      <c r="R714" s="108"/>
      <c r="S714" s="440"/>
      <c r="T714" s="440"/>
      <c r="U714" s="440"/>
      <c r="V714" s="440"/>
      <c r="W714" s="440"/>
      <c r="X714" s="440"/>
      <c r="Y714" s="108"/>
      <c r="Z714" s="108"/>
    </row>
    <row r="715" ht="18.75" customHeight="1">
      <c r="A715" s="437"/>
      <c r="B715" s="438"/>
      <c r="C715" s="438"/>
      <c r="D715" s="438"/>
      <c r="E715" s="438"/>
      <c r="F715" s="438"/>
      <c r="G715" s="438"/>
      <c r="H715" s="108"/>
      <c r="I715" s="108"/>
      <c r="J715" s="440"/>
      <c r="K715" s="440"/>
      <c r="L715" s="440"/>
      <c r="M715" s="440"/>
      <c r="N715" s="440"/>
      <c r="O715" s="440"/>
      <c r="P715" s="440"/>
      <c r="Q715" s="440"/>
      <c r="R715" s="108"/>
      <c r="S715" s="440"/>
      <c r="T715" s="440"/>
      <c r="U715" s="440"/>
      <c r="V715" s="440"/>
      <c r="W715" s="440"/>
      <c r="X715" s="440"/>
      <c r="Y715" s="108"/>
      <c r="Z715" s="108"/>
    </row>
    <row r="716" ht="18.75" customHeight="1">
      <c r="A716" s="437"/>
      <c r="B716" s="438"/>
      <c r="C716" s="438"/>
      <c r="D716" s="438"/>
      <c r="E716" s="438"/>
      <c r="F716" s="438"/>
      <c r="G716" s="438"/>
      <c r="H716" s="108"/>
      <c r="I716" s="108"/>
      <c r="J716" s="440"/>
      <c r="K716" s="440"/>
      <c r="L716" s="440"/>
      <c r="M716" s="440"/>
      <c r="N716" s="440"/>
      <c r="O716" s="440"/>
      <c r="P716" s="440"/>
      <c r="Q716" s="440"/>
      <c r="R716" s="108"/>
      <c r="S716" s="440"/>
      <c r="T716" s="440"/>
      <c r="U716" s="440"/>
      <c r="V716" s="440"/>
      <c r="W716" s="440"/>
      <c r="X716" s="440"/>
      <c r="Y716" s="108"/>
      <c r="Z716" s="108"/>
    </row>
    <row r="717" ht="18.75" customHeight="1">
      <c r="A717" s="437"/>
      <c r="B717" s="438"/>
      <c r="C717" s="438"/>
      <c r="D717" s="438"/>
      <c r="E717" s="438"/>
      <c r="F717" s="438"/>
      <c r="G717" s="438"/>
      <c r="H717" s="108"/>
      <c r="I717" s="108"/>
      <c r="J717" s="440"/>
      <c r="K717" s="440"/>
      <c r="L717" s="440"/>
      <c r="M717" s="440"/>
      <c r="N717" s="440"/>
      <c r="O717" s="440"/>
      <c r="P717" s="440"/>
      <c r="Q717" s="440"/>
      <c r="R717" s="108"/>
      <c r="S717" s="440"/>
      <c r="T717" s="440"/>
      <c r="U717" s="440"/>
      <c r="V717" s="440"/>
      <c r="W717" s="440"/>
      <c r="X717" s="440"/>
      <c r="Y717" s="108"/>
      <c r="Z717" s="108"/>
    </row>
    <row r="718" ht="18.75" customHeight="1">
      <c r="A718" s="437"/>
      <c r="B718" s="438"/>
      <c r="C718" s="438"/>
      <c r="D718" s="438"/>
      <c r="E718" s="438"/>
      <c r="F718" s="438"/>
      <c r="G718" s="438"/>
      <c r="H718" s="108"/>
      <c r="I718" s="108"/>
      <c r="J718" s="440"/>
      <c r="K718" s="440"/>
      <c r="L718" s="440"/>
      <c r="M718" s="440"/>
      <c r="N718" s="440"/>
      <c r="O718" s="440"/>
      <c r="P718" s="440"/>
      <c r="Q718" s="440"/>
      <c r="R718" s="108"/>
      <c r="S718" s="440"/>
      <c r="T718" s="440"/>
      <c r="U718" s="440"/>
      <c r="V718" s="440"/>
      <c r="W718" s="440"/>
      <c r="X718" s="440"/>
      <c r="Y718" s="108"/>
      <c r="Z718" s="108"/>
    </row>
    <row r="719" ht="18.75" customHeight="1">
      <c r="A719" s="437"/>
      <c r="B719" s="438"/>
      <c r="C719" s="438"/>
      <c r="D719" s="438"/>
      <c r="E719" s="438"/>
      <c r="F719" s="438"/>
      <c r="G719" s="438"/>
      <c r="H719" s="108"/>
      <c r="I719" s="108"/>
      <c r="J719" s="440"/>
      <c r="K719" s="440"/>
      <c r="L719" s="440"/>
      <c r="M719" s="440"/>
      <c r="N719" s="440"/>
      <c r="O719" s="440"/>
      <c r="P719" s="440"/>
      <c r="Q719" s="440"/>
      <c r="R719" s="108"/>
      <c r="S719" s="440"/>
      <c r="T719" s="440"/>
      <c r="U719" s="440"/>
      <c r="V719" s="440"/>
      <c r="W719" s="440"/>
      <c r="X719" s="440"/>
      <c r="Y719" s="108"/>
      <c r="Z719" s="108"/>
    </row>
    <row r="720" ht="18.75" customHeight="1">
      <c r="A720" s="437"/>
      <c r="B720" s="438"/>
      <c r="C720" s="438"/>
      <c r="D720" s="438"/>
      <c r="E720" s="438"/>
      <c r="F720" s="438"/>
      <c r="G720" s="438"/>
      <c r="H720" s="108"/>
      <c r="I720" s="108"/>
      <c r="J720" s="440"/>
      <c r="K720" s="440"/>
      <c r="L720" s="440"/>
      <c r="M720" s="440"/>
      <c r="N720" s="440"/>
      <c r="O720" s="440"/>
      <c r="P720" s="440"/>
      <c r="Q720" s="440"/>
      <c r="R720" s="108"/>
      <c r="S720" s="440"/>
      <c r="T720" s="440"/>
      <c r="U720" s="440"/>
      <c r="V720" s="440"/>
      <c r="W720" s="440"/>
      <c r="X720" s="440"/>
      <c r="Y720" s="108"/>
      <c r="Z720" s="108"/>
    </row>
    <row r="721" ht="18.75" customHeight="1">
      <c r="A721" s="437"/>
      <c r="B721" s="438"/>
      <c r="C721" s="438"/>
      <c r="D721" s="438"/>
      <c r="E721" s="438"/>
      <c r="F721" s="438"/>
      <c r="G721" s="438"/>
      <c r="H721" s="108"/>
      <c r="I721" s="108"/>
      <c r="J721" s="440"/>
      <c r="K721" s="440"/>
      <c r="L721" s="440"/>
      <c r="M721" s="440"/>
      <c r="N721" s="440"/>
      <c r="O721" s="440"/>
      <c r="P721" s="440"/>
      <c r="Q721" s="440"/>
      <c r="R721" s="108"/>
      <c r="S721" s="440"/>
      <c r="T721" s="440"/>
      <c r="U721" s="440"/>
      <c r="V721" s="440"/>
      <c r="W721" s="440"/>
      <c r="X721" s="440"/>
      <c r="Y721" s="108"/>
      <c r="Z721" s="108"/>
    </row>
    <row r="722" ht="18.75" customHeight="1">
      <c r="A722" s="437"/>
      <c r="B722" s="438"/>
      <c r="C722" s="438"/>
      <c r="D722" s="438"/>
      <c r="E722" s="438"/>
      <c r="F722" s="438"/>
      <c r="G722" s="438"/>
      <c r="H722" s="108"/>
      <c r="I722" s="108"/>
      <c r="J722" s="440"/>
      <c r="K722" s="440"/>
      <c r="L722" s="440"/>
      <c r="M722" s="440"/>
      <c r="N722" s="440"/>
      <c r="O722" s="440"/>
      <c r="P722" s="440"/>
      <c r="Q722" s="440"/>
      <c r="R722" s="108"/>
      <c r="S722" s="440"/>
      <c r="T722" s="440"/>
      <c r="U722" s="440"/>
      <c r="V722" s="440"/>
      <c r="W722" s="440"/>
      <c r="X722" s="440"/>
      <c r="Y722" s="108"/>
      <c r="Z722" s="108"/>
    </row>
    <row r="723" ht="18.75" customHeight="1">
      <c r="A723" s="437"/>
      <c r="B723" s="438"/>
      <c r="C723" s="438"/>
      <c r="D723" s="438"/>
      <c r="E723" s="438"/>
      <c r="F723" s="438"/>
      <c r="G723" s="438"/>
      <c r="H723" s="108"/>
      <c r="I723" s="108"/>
      <c r="J723" s="440"/>
      <c r="K723" s="440"/>
      <c r="L723" s="440"/>
      <c r="M723" s="440"/>
      <c r="N723" s="440"/>
      <c r="O723" s="440"/>
      <c r="P723" s="440"/>
      <c r="Q723" s="440"/>
      <c r="R723" s="108"/>
      <c r="S723" s="440"/>
      <c r="T723" s="440"/>
      <c r="U723" s="440"/>
      <c r="V723" s="440"/>
      <c r="W723" s="440"/>
      <c r="X723" s="440"/>
      <c r="Y723" s="108"/>
      <c r="Z723" s="108"/>
    </row>
    <row r="724" ht="18.75" customHeight="1">
      <c r="A724" s="437"/>
      <c r="B724" s="438"/>
      <c r="C724" s="438"/>
      <c r="D724" s="438"/>
      <c r="E724" s="438"/>
      <c r="F724" s="438"/>
      <c r="G724" s="438"/>
      <c r="H724" s="108"/>
      <c r="I724" s="108"/>
      <c r="J724" s="440"/>
      <c r="K724" s="440"/>
      <c r="L724" s="440"/>
      <c r="M724" s="440"/>
      <c r="N724" s="440"/>
      <c r="O724" s="440"/>
      <c r="P724" s="440"/>
      <c r="Q724" s="440"/>
      <c r="R724" s="108"/>
      <c r="S724" s="440"/>
      <c r="T724" s="440"/>
      <c r="U724" s="440"/>
      <c r="V724" s="440"/>
      <c r="W724" s="440"/>
      <c r="X724" s="440"/>
      <c r="Y724" s="108"/>
      <c r="Z724" s="108"/>
    </row>
    <row r="725" ht="18.75" customHeight="1">
      <c r="A725" s="437"/>
      <c r="B725" s="438"/>
      <c r="C725" s="438"/>
      <c r="D725" s="438"/>
      <c r="E725" s="438"/>
      <c r="F725" s="438"/>
      <c r="G725" s="438"/>
      <c r="H725" s="108"/>
      <c r="I725" s="108"/>
      <c r="J725" s="440"/>
      <c r="K725" s="440"/>
      <c r="L725" s="440"/>
      <c r="M725" s="440"/>
      <c r="N725" s="440"/>
      <c r="O725" s="440"/>
      <c r="P725" s="440"/>
      <c r="Q725" s="440"/>
      <c r="R725" s="108"/>
      <c r="S725" s="440"/>
      <c r="T725" s="440"/>
      <c r="U725" s="440"/>
      <c r="V725" s="440"/>
      <c r="W725" s="440"/>
      <c r="X725" s="440"/>
      <c r="Y725" s="108"/>
      <c r="Z725" s="108"/>
    </row>
    <row r="726" ht="18.75" customHeight="1">
      <c r="A726" s="437"/>
      <c r="B726" s="438"/>
      <c r="C726" s="438"/>
      <c r="D726" s="438"/>
      <c r="E726" s="438"/>
      <c r="F726" s="438"/>
      <c r="G726" s="438"/>
      <c r="H726" s="108"/>
      <c r="I726" s="108"/>
      <c r="J726" s="440"/>
      <c r="K726" s="440"/>
      <c r="L726" s="440"/>
      <c r="M726" s="440"/>
      <c r="N726" s="440"/>
      <c r="O726" s="440"/>
      <c r="P726" s="440"/>
      <c r="Q726" s="440"/>
      <c r="R726" s="108"/>
      <c r="S726" s="440"/>
      <c r="T726" s="440"/>
      <c r="U726" s="440"/>
      <c r="V726" s="440"/>
      <c r="W726" s="440"/>
      <c r="X726" s="440"/>
      <c r="Y726" s="108"/>
      <c r="Z726" s="108"/>
    </row>
    <row r="727" ht="18.75" customHeight="1">
      <c r="A727" s="437"/>
      <c r="B727" s="438"/>
      <c r="C727" s="438"/>
      <c r="D727" s="438"/>
      <c r="E727" s="438"/>
      <c r="F727" s="438"/>
      <c r="G727" s="438"/>
      <c r="H727" s="108"/>
      <c r="I727" s="108"/>
      <c r="J727" s="440"/>
      <c r="K727" s="440"/>
      <c r="L727" s="440"/>
      <c r="M727" s="440"/>
      <c r="N727" s="440"/>
      <c r="O727" s="440"/>
      <c r="P727" s="440"/>
      <c r="Q727" s="440"/>
      <c r="R727" s="108"/>
      <c r="S727" s="440"/>
      <c r="T727" s="440"/>
      <c r="U727" s="440"/>
      <c r="V727" s="440"/>
      <c r="W727" s="440"/>
      <c r="X727" s="440"/>
      <c r="Y727" s="108"/>
      <c r="Z727" s="108"/>
    </row>
    <row r="728" ht="18.75" customHeight="1">
      <c r="A728" s="437"/>
      <c r="B728" s="438"/>
      <c r="C728" s="438"/>
      <c r="D728" s="438"/>
      <c r="E728" s="438"/>
      <c r="F728" s="438"/>
      <c r="G728" s="438"/>
      <c r="H728" s="108"/>
      <c r="I728" s="108"/>
      <c r="J728" s="440"/>
      <c r="K728" s="440"/>
      <c r="L728" s="440"/>
      <c r="M728" s="440"/>
      <c r="N728" s="440"/>
      <c r="O728" s="440"/>
      <c r="P728" s="440"/>
      <c r="Q728" s="440"/>
      <c r="R728" s="108"/>
      <c r="S728" s="440"/>
      <c r="T728" s="440"/>
      <c r="U728" s="440"/>
      <c r="V728" s="440"/>
      <c r="W728" s="440"/>
      <c r="X728" s="440"/>
      <c r="Y728" s="108"/>
      <c r="Z728" s="108"/>
    </row>
    <row r="729" ht="18.75" customHeight="1">
      <c r="A729" s="437"/>
      <c r="B729" s="438"/>
      <c r="C729" s="438"/>
      <c r="D729" s="438"/>
      <c r="E729" s="438"/>
      <c r="F729" s="438"/>
      <c r="G729" s="438"/>
      <c r="H729" s="108"/>
      <c r="I729" s="108"/>
      <c r="J729" s="440"/>
      <c r="K729" s="440"/>
      <c r="L729" s="440"/>
      <c r="M729" s="440"/>
      <c r="N729" s="440"/>
      <c r="O729" s="440"/>
      <c r="P729" s="440"/>
      <c r="Q729" s="440"/>
      <c r="R729" s="108"/>
      <c r="S729" s="440"/>
      <c r="T729" s="440"/>
      <c r="U729" s="440"/>
      <c r="V729" s="440"/>
      <c r="W729" s="440"/>
      <c r="X729" s="440"/>
      <c r="Y729" s="108"/>
      <c r="Z729" s="108"/>
    </row>
    <row r="730" ht="18.75" customHeight="1">
      <c r="A730" s="437"/>
      <c r="B730" s="438"/>
      <c r="C730" s="438"/>
      <c r="D730" s="438"/>
      <c r="E730" s="438"/>
      <c r="F730" s="438"/>
      <c r="G730" s="438"/>
      <c r="H730" s="108"/>
      <c r="I730" s="108"/>
      <c r="J730" s="440"/>
      <c r="K730" s="440"/>
      <c r="L730" s="440"/>
      <c r="M730" s="440"/>
      <c r="N730" s="440"/>
      <c r="O730" s="440"/>
      <c r="P730" s="440"/>
      <c r="Q730" s="440"/>
      <c r="R730" s="108"/>
      <c r="S730" s="440"/>
      <c r="T730" s="440"/>
      <c r="U730" s="440"/>
      <c r="V730" s="440"/>
      <c r="W730" s="440"/>
      <c r="X730" s="440"/>
      <c r="Y730" s="108"/>
      <c r="Z730" s="108"/>
    </row>
    <row r="731" ht="18.75" customHeight="1">
      <c r="A731" s="437"/>
      <c r="B731" s="438"/>
      <c r="C731" s="438"/>
      <c r="D731" s="438"/>
      <c r="E731" s="438"/>
      <c r="F731" s="438"/>
      <c r="G731" s="438"/>
      <c r="H731" s="108"/>
      <c r="I731" s="108"/>
      <c r="J731" s="440"/>
      <c r="K731" s="440"/>
      <c r="L731" s="440"/>
      <c r="M731" s="440"/>
      <c r="N731" s="440"/>
      <c r="O731" s="440"/>
      <c r="P731" s="440"/>
      <c r="Q731" s="440"/>
      <c r="R731" s="108"/>
      <c r="S731" s="440"/>
      <c r="T731" s="440"/>
      <c r="U731" s="440"/>
      <c r="V731" s="440"/>
      <c r="W731" s="440"/>
      <c r="X731" s="440"/>
      <c r="Y731" s="108"/>
      <c r="Z731" s="108"/>
    </row>
    <row r="732" ht="18.75" customHeight="1">
      <c r="A732" s="437"/>
      <c r="B732" s="438"/>
      <c r="C732" s="438"/>
      <c r="D732" s="438"/>
      <c r="E732" s="438"/>
      <c r="F732" s="438"/>
      <c r="G732" s="438"/>
      <c r="H732" s="108"/>
      <c r="I732" s="108"/>
      <c r="J732" s="440"/>
      <c r="K732" s="440"/>
      <c r="L732" s="440"/>
      <c r="M732" s="440"/>
      <c r="N732" s="440"/>
      <c r="O732" s="440"/>
      <c r="P732" s="440"/>
      <c r="Q732" s="440"/>
      <c r="R732" s="108"/>
      <c r="S732" s="440"/>
      <c r="T732" s="440"/>
      <c r="U732" s="440"/>
      <c r="V732" s="440"/>
      <c r="W732" s="440"/>
      <c r="X732" s="440"/>
      <c r="Y732" s="108"/>
      <c r="Z732" s="108"/>
    </row>
    <row r="733" ht="18.75" customHeight="1">
      <c r="A733" s="437"/>
      <c r="B733" s="438"/>
      <c r="C733" s="438"/>
      <c r="D733" s="438"/>
      <c r="E733" s="438"/>
      <c r="F733" s="438"/>
      <c r="G733" s="438"/>
      <c r="H733" s="108"/>
      <c r="I733" s="108"/>
      <c r="J733" s="440"/>
      <c r="K733" s="440"/>
      <c r="L733" s="440"/>
      <c r="M733" s="440"/>
      <c r="N733" s="440"/>
      <c r="O733" s="440"/>
      <c r="P733" s="440"/>
      <c r="Q733" s="440"/>
      <c r="R733" s="108"/>
      <c r="S733" s="440"/>
      <c r="T733" s="440"/>
      <c r="U733" s="440"/>
      <c r="V733" s="440"/>
      <c r="W733" s="440"/>
      <c r="X733" s="440"/>
      <c r="Y733" s="108"/>
      <c r="Z733" s="108"/>
    </row>
    <row r="734" ht="18.75" customHeight="1">
      <c r="A734" s="437"/>
      <c r="B734" s="438"/>
      <c r="C734" s="438"/>
      <c r="D734" s="438"/>
      <c r="E734" s="438"/>
      <c r="F734" s="438"/>
      <c r="G734" s="438"/>
      <c r="H734" s="108"/>
      <c r="I734" s="108"/>
      <c r="J734" s="440"/>
      <c r="K734" s="440"/>
      <c r="L734" s="440"/>
      <c r="M734" s="440"/>
      <c r="N734" s="440"/>
      <c r="O734" s="440"/>
      <c r="P734" s="440"/>
      <c r="Q734" s="440"/>
      <c r="R734" s="108"/>
      <c r="S734" s="440"/>
      <c r="T734" s="440"/>
      <c r="U734" s="440"/>
      <c r="V734" s="440"/>
      <c r="W734" s="440"/>
      <c r="X734" s="440"/>
      <c r="Y734" s="108"/>
      <c r="Z734" s="108"/>
    </row>
    <row r="735" ht="18.75" customHeight="1">
      <c r="A735" s="437"/>
      <c r="B735" s="438"/>
      <c r="C735" s="438"/>
      <c r="D735" s="438"/>
      <c r="E735" s="438"/>
      <c r="F735" s="438"/>
      <c r="G735" s="438"/>
      <c r="H735" s="108"/>
      <c r="I735" s="108"/>
      <c r="J735" s="440"/>
      <c r="K735" s="440"/>
      <c r="L735" s="440"/>
      <c r="M735" s="440"/>
      <c r="N735" s="440"/>
      <c r="O735" s="440"/>
      <c r="P735" s="440"/>
      <c r="Q735" s="440"/>
      <c r="R735" s="108"/>
      <c r="S735" s="440"/>
      <c r="T735" s="440"/>
      <c r="U735" s="440"/>
      <c r="V735" s="440"/>
      <c r="W735" s="440"/>
      <c r="X735" s="440"/>
      <c r="Y735" s="108"/>
      <c r="Z735" s="108"/>
    </row>
    <row r="736" ht="18.75" customHeight="1">
      <c r="A736" s="437"/>
      <c r="B736" s="438"/>
      <c r="C736" s="438"/>
      <c r="D736" s="438"/>
      <c r="E736" s="438"/>
      <c r="F736" s="438"/>
      <c r="G736" s="438"/>
      <c r="H736" s="108"/>
      <c r="I736" s="108"/>
      <c r="J736" s="440"/>
      <c r="K736" s="440"/>
      <c r="L736" s="440"/>
      <c r="M736" s="440"/>
      <c r="N736" s="440"/>
      <c r="O736" s="440"/>
      <c r="P736" s="440"/>
      <c r="Q736" s="440"/>
      <c r="R736" s="108"/>
      <c r="S736" s="440"/>
      <c r="T736" s="440"/>
      <c r="U736" s="440"/>
      <c r="V736" s="440"/>
      <c r="W736" s="440"/>
      <c r="X736" s="440"/>
      <c r="Y736" s="108"/>
      <c r="Z736" s="108"/>
    </row>
    <row r="737" ht="18.75" customHeight="1">
      <c r="A737" s="437"/>
      <c r="B737" s="438"/>
      <c r="C737" s="438"/>
      <c r="D737" s="438"/>
      <c r="E737" s="438"/>
      <c r="F737" s="438"/>
      <c r="G737" s="438"/>
      <c r="H737" s="108"/>
      <c r="I737" s="108"/>
      <c r="J737" s="440"/>
      <c r="K737" s="440"/>
      <c r="L737" s="440"/>
      <c r="M737" s="440"/>
      <c r="N737" s="440"/>
      <c r="O737" s="440"/>
      <c r="P737" s="440"/>
      <c r="Q737" s="440"/>
      <c r="R737" s="108"/>
      <c r="S737" s="440"/>
      <c r="T737" s="440"/>
      <c r="U737" s="440"/>
      <c r="V737" s="440"/>
      <c r="W737" s="440"/>
      <c r="X737" s="440"/>
      <c r="Y737" s="108"/>
      <c r="Z737" s="108"/>
    </row>
    <row r="738" ht="18.75" customHeight="1">
      <c r="A738" s="437"/>
      <c r="B738" s="438"/>
      <c r="C738" s="438"/>
      <c r="D738" s="438"/>
      <c r="E738" s="438"/>
      <c r="F738" s="438"/>
      <c r="G738" s="438"/>
      <c r="H738" s="108"/>
      <c r="I738" s="108"/>
      <c r="J738" s="440"/>
      <c r="K738" s="440"/>
      <c r="L738" s="440"/>
      <c r="M738" s="440"/>
      <c r="N738" s="440"/>
      <c r="O738" s="440"/>
      <c r="P738" s="440"/>
      <c r="Q738" s="440"/>
      <c r="R738" s="108"/>
      <c r="S738" s="440"/>
      <c r="T738" s="440"/>
      <c r="U738" s="440"/>
      <c r="V738" s="440"/>
      <c r="W738" s="440"/>
      <c r="X738" s="440"/>
      <c r="Y738" s="108"/>
      <c r="Z738" s="108"/>
    </row>
    <row r="739" ht="18.75" customHeight="1">
      <c r="A739" s="437"/>
      <c r="B739" s="438"/>
      <c r="C739" s="438"/>
      <c r="D739" s="438"/>
      <c r="E739" s="438"/>
      <c r="F739" s="438"/>
      <c r="G739" s="438"/>
      <c r="H739" s="108"/>
      <c r="I739" s="108"/>
      <c r="J739" s="440"/>
      <c r="K739" s="440"/>
      <c r="L739" s="440"/>
      <c r="M739" s="440"/>
      <c r="N739" s="440"/>
      <c r="O739" s="440"/>
      <c r="P739" s="440"/>
      <c r="Q739" s="440"/>
      <c r="R739" s="108"/>
      <c r="S739" s="440"/>
      <c r="T739" s="440"/>
      <c r="U739" s="440"/>
      <c r="V739" s="440"/>
      <c r="W739" s="440"/>
      <c r="X739" s="440"/>
      <c r="Y739" s="108"/>
      <c r="Z739" s="108"/>
    </row>
    <row r="740" ht="18.75" customHeight="1">
      <c r="A740" s="437"/>
      <c r="B740" s="438"/>
      <c r="C740" s="438"/>
      <c r="D740" s="438"/>
      <c r="E740" s="438"/>
      <c r="F740" s="438"/>
      <c r="G740" s="438"/>
      <c r="H740" s="108"/>
      <c r="I740" s="108"/>
      <c r="J740" s="440"/>
      <c r="K740" s="440"/>
      <c r="L740" s="440"/>
      <c r="M740" s="440"/>
      <c r="N740" s="440"/>
      <c r="O740" s="440"/>
      <c r="P740" s="440"/>
      <c r="Q740" s="440"/>
      <c r="R740" s="108"/>
      <c r="S740" s="440"/>
      <c r="T740" s="440"/>
      <c r="U740" s="440"/>
      <c r="V740" s="440"/>
      <c r="W740" s="440"/>
      <c r="X740" s="440"/>
      <c r="Y740" s="108"/>
      <c r="Z740" s="108"/>
    </row>
    <row r="741" ht="18.75" customHeight="1">
      <c r="A741" s="437"/>
      <c r="B741" s="438"/>
      <c r="C741" s="438"/>
      <c r="D741" s="438"/>
      <c r="E741" s="438"/>
      <c r="F741" s="438"/>
      <c r="G741" s="438"/>
      <c r="H741" s="108"/>
      <c r="I741" s="108"/>
      <c r="J741" s="440"/>
      <c r="K741" s="440"/>
      <c r="L741" s="440"/>
      <c r="M741" s="440"/>
      <c r="N741" s="440"/>
      <c r="O741" s="440"/>
      <c r="P741" s="440"/>
      <c r="Q741" s="440"/>
      <c r="R741" s="108"/>
      <c r="S741" s="440"/>
      <c r="T741" s="440"/>
      <c r="U741" s="440"/>
      <c r="V741" s="440"/>
      <c r="W741" s="440"/>
      <c r="X741" s="440"/>
      <c r="Y741" s="108"/>
      <c r="Z741" s="108"/>
    </row>
    <row r="742" ht="18.75" customHeight="1">
      <c r="A742" s="437"/>
      <c r="B742" s="438"/>
      <c r="C742" s="438"/>
      <c r="D742" s="438"/>
      <c r="E742" s="438"/>
      <c r="F742" s="438"/>
      <c r="G742" s="438"/>
      <c r="H742" s="108"/>
      <c r="I742" s="108"/>
      <c r="J742" s="440"/>
      <c r="K742" s="440"/>
      <c r="L742" s="440"/>
      <c r="M742" s="440"/>
      <c r="N742" s="440"/>
      <c r="O742" s="440"/>
      <c r="P742" s="440"/>
      <c r="Q742" s="440"/>
      <c r="R742" s="108"/>
      <c r="S742" s="440"/>
      <c r="T742" s="440"/>
      <c r="U742" s="440"/>
      <c r="V742" s="440"/>
      <c r="W742" s="440"/>
      <c r="X742" s="440"/>
      <c r="Y742" s="108"/>
      <c r="Z742" s="108"/>
    </row>
    <row r="743" ht="18.75" customHeight="1">
      <c r="A743" s="437"/>
      <c r="B743" s="438"/>
      <c r="C743" s="438"/>
      <c r="D743" s="438"/>
      <c r="E743" s="438"/>
      <c r="F743" s="438"/>
      <c r="G743" s="438"/>
      <c r="H743" s="108"/>
      <c r="I743" s="108"/>
      <c r="J743" s="440"/>
      <c r="K743" s="440"/>
      <c r="L743" s="440"/>
      <c r="M743" s="440"/>
      <c r="N743" s="440"/>
      <c r="O743" s="440"/>
      <c r="P743" s="440"/>
      <c r="Q743" s="440"/>
      <c r="R743" s="108"/>
      <c r="S743" s="440"/>
      <c r="T743" s="440"/>
      <c r="U743" s="440"/>
      <c r="V743" s="440"/>
      <c r="W743" s="440"/>
      <c r="X743" s="440"/>
      <c r="Y743" s="108"/>
      <c r="Z743" s="108"/>
    </row>
    <row r="744" ht="18.75" customHeight="1">
      <c r="A744" s="437"/>
      <c r="B744" s="438"/>
      <c r="C744" s="438"/>
      <c r="D744" s="438"/>
      <c r="E744" s="438"/>
      <c r="F744" s="438"/>
      <c r="G744" s="438"/>
      <c r="H744" s="108"/>
      <c r="I744" s="108"/>
      <c r="J744" s="440"/>
      <c r="K744" s="440"/>
      <c r="L744" s="440"/>
      <c r="M744" s="440"/>
      <c r="N744" s="440"/>
      <c r="O744" s="440"/>
      <c r="P744" s="440"/>
      <c r="Q744" s="440"/>
      <c r="R744" s="108"/>
      <c r="S744" s="440"/>
      <c r="T744" s="440"/>
      <c r="U744" s="440"/>
      <c r="V744" s="440"/>
      <c r="W744" s="440"/>
      <c r="X744" s="440"/>
      <c r="Y744" s="108"/>
      <c r="Z744" s="108"/>
    </row>
    <row r="745" ht="18.75" customHeight="1">
      <c r="A745" s="437"/>
      <c r="B745" s="438"/>
      <c r="C745" s="438"/>
      <c r="D745" s="438"/>
      <c r="E745" s="438"/>
      <c r="F745" s="438"/>
      <c r="G745" s="438"/>
      <c r="H745" s="108"/>
      <c r="I745" s="108"/>
      <c r="J745" s="440"/>
      <c r="K745" s="440"/>
      <c r="L745" s="440"/>
      <c r="M745" s="440"/>
      <c r="N745" s="440"/>
      <c r="O745" s="440"/>
      <c r="P745" s="440"/>
      <c r="Q745" s="440"/>
      <c r="R745" s="108"/>
      <c r="S745" s="440"/>
      <c r="T745" s="440"/>
      <c r="U745" s="440"/>
      <c r="V745" s="440"/>
      <c r="W745" s="440"/>
      <c r="X745" s="440"/>
      <c r="Y745" s="108"/>
      <c r="Z745" s="108"/>
    </row>
    <row r="746" ht="18.75" customHeight="1">
      <c r="A746" s="437"/>
      <c r="B746" s="438"/>
      <c r="C746" s="438"/>
      <c r="D746" s="438"/>
      <c r="E746" s="438"/>
      <c r="F746" s="438"/>
      <c r="G746" s="438"/>
      <c r="H746" s="108"/>
      <c r="I746" s="108"/>
      <c r="J746" s="440"/>
      <c r="K746" s="440"/>
      <c r="L746" s="440"/>
      <c r="M746" s="440"/>
      <c r="N746" s="440"/>
      <c r="O746" s="440"/>
      <c r="P746" s="440"/>
      <c r="Q746" s="440"/>
      <c r="R746" s="108"/>
      <c r="S746" s="440"/>
      <c r="T746" s="440"/>
      <c r="U746" s="440"/>
      <c r="V746" s="440"/>
      <c r="W746" s="440"/>
      <c r="X746" s="440"/>
      <c r="Y746" s="108"/>
      <c r="Z746" s="108"/>
    </row>
    <row r="747" ht="18.75" customHeight="1">
      <c r="A747" s="437"/>
      <c r="B747" s="438"/>
      <c r="C747" s="438"/>
      <c r="D747" s="438"/>
      <c r="E747" s="438"/>
      <c r="F747" s="438"/>
      <c r="G747" s="438"/>
      <c r="H747" s="108"/>
      <c r="I747" s="108"/>
      <c r="J747" s="440"/>
      <c r="K747" s="440"/>
      <c r="L747" s="440"/>
      <c r="M747" s="440"/>
      <c r="N747" s="440"/>
      <c r="O747" s="440"/>
      <c r="P747" s="440"/>
      <c r="Q747" s="440"/>
      <c r="R747" s="108"/>
      <c r="S747" s="440"/>
      <c r="T747" s="440"/>
      <c r="U747" s="440"/>
      <c r="V747" s="440"/>
      <c r="W747" s="440"/>
      <c r="X747" s="440"/>
      <c r="Y747" s="108"/>
      <c r="Z747" s="108"/>
    </row>
    <row r="748" ht="18.75" customHeight="1">
      <c r="A748" s="437"/>
      <c r="B748" s="438"/>
      <c r="C748" s="438"/>
      <c r="D748" s="438"/>
      <c r="E748" s="438"/>
      <c r="F748" s="438"/>
      <c r="G748" s="438"/>
      <c r="H748" s="108"/>
      <c r="I748" s="108"/>
      <c r="J748" s="440"/>
      <c r="K748" s="440"/>
      <c r="L748" s="440"/>
      <c r="M748" s="440"/>
      <c r="N748" s="440"/>
      <c r="O748" s="440"/>
      <c r="P748" s="440"/>
      <c r="Q748" s="440"/>
      <c r="R748" s="108"/>
      <c r="S748" s="440"/>
      <c r="T748" s="440"/>
      <c r="U748" s="440"/>
      <c r="V748" s="440"/>
      <c r="W748" s="440"/>
      <c r="X748" s="440"/>
      <c r="Y748" s="108"/>
      <c r="Z748" s="108"/>
    </row>
    <row r="749" ht="18.75" customHeight="1">
      <c r="A749" s="437"/>
      <c r="B749" s="438"/>
      <c r="C749" s="438"/>
      <c r="D749" s="438"/>
      <c r="E749" s="438"/>
      <c r="F749" s="438"/>
      <c r="G749" s="438"/>
      <c r="H749" s="108"/>
      <c r="I749" s="108"/>
      <c r="J749" s="440"/>
      <c r="K749" s="440"/>
      <c r="L749" s="440"/>
      <c r="M749" s="440"/>
      <c r="N749" s="440"/>
      <c r="O749" s="440"/>
      <c r="P749" s="440"/>
      <c r="Q749" s="440"/>
      <c r="R749" s="108"/>
      <c r="S749" s="440"/>
      <c r="T749" s="440"/>
      <c r="U749" s="440"/>
      <c r="V749" s="440"/>
      <c r="W749" s="440"/>
      <c r="X749" s="440"/>
      <c r="Y749" s="108"/>
      <c r="Z749" s="108"/>
    </row>
    <row r="750" ht="18.75" customHeight="1">
      <c r="A750" s="437"/>
      <c r="B750" s="438"/>
      <c r="C750" s="438"/>
      <c r="D750" s="438"/>
      <c r="E750" s="438"/>
      <c r="F750" s="438"/>
      <c r="G750" s="438"/>
      <c r="H750" s="108"/>
      <c r="I750" s="108"/>
      <c r="J750" s="440"/>
      <c r="K750" s="440"/>
      <c r="L750" s="440"/>
      <c r="M750" s="440"/>
      <c r="N750" s="440"/>
      <c r="O750" s="440"/>
      <c r="P750" s="440"/>
      <c r="Q750" s="440"/>
      <c r="R750" s="108"/>
      <c r="S750" s="440"/>
      <c r="T750" s="440"/>
      <c r="U750" s="440"/>
      <c r="V750" s="440"/>
      <c r="W750" s="440"/>
      <c r="X750" s="440"/>
      <c r="Y750" s="108"/>
      <c r="Z750" s="108"/>
    </row>
    <row r="751" ht="18.75" customHeight="1">
      <c r="A751" s="437"/>
      <c r="B751" s="438"/>
      <c r="C751" s="438"/>
      <c r="D751" s="438"/>
      <c r="E751" s="438"/>
      <c r="F751" s="438"/>
      <c r="G751" s="438"/>
      <c r="H751" s="108"/>
      <c r="I751" s="108"/>
      <c r="J751" s="440"/>
      <c r="K751" s="440"/>
      <c r="L751" s="440"/>
      <c r="M751" s="440"/>
      <c r="N751" s="440"/>
      <c r="O751" s="440"/>
      <c r="P751" s="440"/>
      <c r="Q751" s="440"/>
      <c r="R751" s="108"/>
      <c r="S751" s="440"/>
      <c r="T751" s="440"/>
      <c r="U751" s="440"/>
      <c r="V751" s="440"/>
      <c r="W751" s="440"/>
      <c r="X751" s="440"/>
      <c r="Y751" s="108"/>
      <c r="Z751" s="108"/>
    </row>
    <row r="752" ht="18.75" customHeight="1">
      <c r="A752" s="437"/>
      <c r="B752" s="438"/>
      <c r="C752" s="438"/>
      <c r="D752" s="438"/>
      <c r="E752" s="438"/>
      <c r="F752" s="438"/>
      <c r="G752" s="438"/>
      <c r="H752" s="108"/>
      <c r="I752" s="108"/>
      <c r="J752" s="440"/>
      <c r="K752" s="440"/>
      <c r="L752" s="440"/>
      <c r="M752" s="440"/>
      <c r="N752" s="440"/>
      <c r="O752" s="440"/>
      <c r="P752" s="440"/>
      <c r="Q752" s="440"/>
      <c r="R752" s="108"/>
      <c r="S752" s="440"/>
      <c r="T752" s="440"/>
      <c r="U752" s="440"/>
      <c r="V752" s="440"/>
      <c r="W752" s="440"/>
      <c r="X752" s="440"/>
      <c r="Y752" s="108"/>
      <c r="Z752" s="108"/>
    </row>
    <row r="753" ht="18.75" customHeight="1">
      <c r="A753" s="437"/>
      <c r="B753" s="438"/>
      <c r="C753" s="438"/>
      <c r="D753" s="438"/>
      <c r="E753" s="438"/>
      <c r="F753" s="438"/>
      <c r="G753" s="438"/>
      <c r="H753" s="108"/>
      <c r="I753" s="108"/>
      <c r="J753" s="440"/>
      <c r="K753" s="440"/>
      <c r="L753" s="440"/>
      <c r="M753" s="440"/>
      <c r="N753" s="440"/>
      <c r="O753" s="440"/>
      <c r="P753" s="440"/>
      <c r="Q753" s="440"/>
      <c r="R753" s="108"/>
      <c r="S753" s="440"/>
      <c r="T753" s="440"/>
      <c r="U753" s="440"/>
      <c r="V753" s="440"/>
      <c r="W753" s="440"/>
      <c r="X753" s="440"/>
      <c r="Y753" s="108"/>
      <c r="Z753" s="108"/>
    </row>
    <row r="754" ht="18.75" customHeight="1">
      <c r="A754" s="437"/>
      <c r="B754" s="438"/>
      <c r="C754" s="438"/>
      <c r="D754" s="438"/>
      <c r="E754" s="438"/>
      <c r="F754" s="438"/>
      <c r="G754" s="438"/>
      <c r="H754" s="108"/>
      <c r="I754" s="108"/>
      <c r="J754" s="440"/>
      <c r="K754" s="440"/>
      <c r="L754" s="440"/>
      <c r="M754" s="440"/>
      <c r="N754" s="440"/>
      <c r="O754" s="440"/>
      <c r="P754" s="440"/>
      <c r="Q754" s="440"/>
      <c r="R754" s="108"/>
      <c r="S754" s="440"/>
      <c r="T754" s="440"/>
      <c r="U754" s="440"/>
      <c r="V754" s="440"/>
      <c r="W754" s="440"/>
      <c r="X754" s="440"/>
      <c r="Y754" s="108"/>
      <c r="Z754" s="108"/>
    </row>
    <row r="755" ht="18.75" customHeight="1">
      <c r="A755" s="437"/>
      <c r="B755" s="438"/>
      <c r="C755" s="438"/>
      <c r="D755" s="438"/>
      <c r="E755" s="438"/>
      <c r="F755" s="438"/>
      <c r="G755" s="438"/>
      <c r="H755" s="108"/>
      <c r="I755" s="108"/>
      <c r="J755" s="440"/>
      <c r="K755" s="440"/>
      <c r="L755" s="440"/>
      <c r="M755" s="440"/>
      <c r="N755" s="440"/>
      <c r="O755" s="440"/>
      <c r="P755" s="440"/>
      <c r="Q755" s="440"/>
      <c r="R755" s="108"/>
      <c r="S755" s="440"/>
      <c r="T755" s="440"/>
      <c r="U755" s="440"/>
      <c r="V755" s="440"/>
      <c r="W755" s="440"/>
      <c r="X755" s="440"/>
      <c r="Y755" s="108"/>
      <c r="Z755" s="108"/>
    </row>
    <row r="756" ht="18.75" customHeight="1">
      <c r="A756" s="437"/>
      <c r="B756" s="438"/>
      <c r="C756" s="438"/>
      <c r="D756" s="438"/>
      <c r="E756" s="438"/>
      <c r="F756" s="438"/>
      <c r="G756" s="438"/>
      <c r="H756" s="108"/>
      <c r="I756" s="108"/>
      <c r="J756" s="440"/>
      <c r="K756" s="440"/>
      <c r="L756" s="440"/>
      <c r="M756" s="440"/>
      <c r="N756" s="440"/>
      <c r="O756" s="440"/>
      <c r="P756" s="440"/>
      <c r="Q756" s="440"/>
      <c r="R756" s="108"/>
      <c r="S756" s="440"/>
      <c r="T756" s="440"/>
      <c r="U756" s="440"/>
      <c r="V756" s="440"/>
      <c r="W756" s="440"/>
      <c r="X756" s="440"/>
      <c r="Y756" s="108"/>
      <c r="Z756" s="108"/>
    </row>
    <row r="757" ht="18.75" customHeight="1">
      <c r="A757" s="437"/>
      <c r="B757" s="438"/>
      <c r="C757" s="438"/>
      <c r="D757" s="438"/>
      <c r="E757" s="438"/>
      <c r="F757" s="438"/>
      <c r="G757" s="438"/>
      <c r="H757" s="108"/>
      <c r="I757" s="108"/>
      <c r="J757" s="440"/>
      <c r="K757" s="440"/>
      <c r="L757" s="440"/>
      <c r="M757" s="440"/>
      <c r="N757" s="440"/>
      <c r="O757" s="440"/>
      <c r="P757" s="440"/>
      <c r="Q757" s="440"/>
      <c r="R757" s="108"/>
      <c r="S757" s="440"/>
      <c r="T757" s="440"/>
      <c r="U757" s="440"/>
      <c r="V757" s="440"/>
      <c r="W757" s="440"/>
      <c r="X757" s="440"/>
      <c r="Y757" s="108"/>
      <c r="Z757" s="108"/>
    </row>
    <row r="758" ht="18.75" customHeight="1">
      <c r="A758" s="437"/>
      <c r="B758" s="438"/>
      <c r="C758" s="438"/>
      <c r="D758" s="438"/>
      <c r="E758" s="438"/>
      <c r="F758" s="438"/>
      <c r="G758" s="438"/>
      <c r="H758" s="108"/>
      <c r="I758" s="108"/>
      <c r="J758" s="440"/>
      <c r="K758" s="440"/>
      <c r="L758" s="440"/>
      <c r="M758" s="440"/>
      <c r="N758" s="440"/>
      <c r="O758" s="440"/>
      <c r="P758" s="440"/>
      <c r="Q758" s="440"/>
      <c r="R758" s="108"/>
      <c r="S758" s="440"/>
      <c r="T758" s="440"/>
      <c r="U758" s="440"/>
      <c r="V758" s="440"/>
      <c r="W758" s="440"/>
      <c r="X758" s="440"/>
      <c r="Y758" s="108"/>
      <c r="Z758" s="108"/>
    </row>
    <row r="759" ht="18.75" customHeight="1">
      <c r="A759" s="437"/>
      <c r="B759" s="438"/>
      <c r="C759" s="438"/>
      <c r="D759" s="438"/>
      <c r="E759" s="438"/>
      <c r="F759" s="438"/>
      <c r="G759" s="438"/>
      <c r="H759" s="108"/>
      <c r="I759" s="108"/>
      <c r="J759" s="440"/>
      <c r="K759" s="440"/>
      <c r="L759" s="440"/>
      <c r="M759" s="440"/>
      <c r="N759" s="440"/>
      <c r="O759" s="440"/>
      <c r="P759" s="440"/>
      <c r="Q759" s="440"/>
      <c r="R759" s="108"/>
      <c r="S759" s="440"/>
      <c r="T759" s="440"/>
      <c r="U759" s="440"/>
      <c r="V759" s="440"/>
      <c r="W759" s="440"/>
      <c r="X759" s="440"/>
      <c r="Y759" s="108"/>
      <c r="Z759" s="108"/>
    </row>
    <row r="760" ht="18.75" customHeight="1">
      <c r="A760" s="437"/>
      <c r="B760" s="438"/>
      <c r="C760" s="438"/>
      <c r="D760" s="438"/>
      <c r="E760" s="438"/>
      <c r="F760" s="438"/>
      <c r="G760" s="438"/>
      <c r="H760" s="108"/>
      <c r="I760" s="108"/>
      <c r="J760" s="440"/>
      <c r="K760" s="440"/>
      <c r="L760" s="440"/>
      <c r="M760" s="440"/>
      <c r="N760" s="440"/>
      <c r="O760" s="440"/>
      <c r="P760" s="440"/>
      <c r="Q760" s="440"/>
      <c r="R760" s="108"/>
      <c r="S760" s="440"/>
      <c r="T760" s="440"/>
      <c r="U760" s="440"/>
      <c r="V760" s="440"/>
      <c r="W760" s="440"/>
      <c r="X760" s="440"/>
      <c r="Y760" s="108"/>
      <c r="Z760" s="108"/>
    </row>
    <row r="761" ht="18.75" customHeight="1">
      <c r="A761" s="437"/>
      <c r="B761" s="438"/>
      <c r="C761" s="438"/>
      <c r="D761" s="438"/>
      <c r="E761" s="438"/>
      <c r="F761" s="438"/>
      <c r="G761" s="438"/>
      <c r="H761" s="108"/>
      <c r="I761" s="108"/>
      <c r="J761" s="440"/>
      <c r="K761" s="440"/>
      <c r="L761" s="440"/>
      <c r="M761" s="440"/>
      <c r="N761" s="440"/>
      <c r="O761" s="440"/>
      <c r="P761" s="440"/>
      <c r="Q761" s="440"/>
      <c r="R761" s="108"/>
      <c r="S761" s="440"/>
      <c r="T761" s="440"/>
      <c r="U761" s="440"/>
      <c r="V761" s="440"/>
      <c r="W761" s="440"/>
      <c r="X761" s="440"/>
      <c r="Y761" s="108"/>
      <c r="Z761" s="108"/>
    </row>
    <row r="762" ht="18.75" customHeight="1">
      <c r="A762" s="437"/>
      <c r="B762" s="438"/>
      <c r="C762" s="438"/>
      <c r="D762" s="438"/>
      <c r="E762" s="438"/>
      <c r="F762" s="438"/>
      <c r="G762" s="438"/>
      <c r="H762" s="108"/>
      <c r="I762" s="108"/>
      <c r="J762" s="440"/>
      <c r="K762" s="440"/>
      <c r="L762" s="440"/>
      <c r="M762" s="440"/>
      <c r="N762" s="440"/>
      <c r="O762" s="440"/>
      <c r="P762" s="440"/>
      <c r="Q762" s="440"/>
      <c r="R762" s="108"/>
      <c r="S762" s="440"/>
      <c r="T762" s="440"/>
      <c r="U762" s="440"/>
      <c r="V762" s="440"/>
      <c r="W762" s="440"/>
      <c r="X762" s="440"/>
      <c r="Y762" s="108"/>
      <c r="Z762" s="108"/>
    </row>
    <row r="763" ht="18.75" customHeight="1">
      <c r="A763" s="437"/>
      <c r="B763" s="438"/>
      <c r="C763" s="438"/>
      <c r="D763" s="438"/>
      <c r="E763" s="438"/>
      <c r="F763" s="438"/>
      <c r="G763" s="438"/>
      <c r="H763" s="108"/>
      <c r="I763" s="108"/>
      <c r="J763" s="440"/>
      <c r="K763" s="440"/>
      <c r="L763" s="440"/>
      <c r="M763" s="440"/>
      <c r="N763" s="440"/>
      <c r="O763" s="440"/>
      <c r="P763" s="440"/>
      <c r="Q763" s="440"/>
      <c r="R763" s="108"/>
      <c r="S763" s="440"/>
      <c r="T763" s="440"/>
      <c r="U763" s="440"/>
      <c r="V763" s="440"/>
      <c r="W763" s="440"/>
      <c r="X763" s="440"/>
      <c r="Y763" s="108"/>
      <c r="Z763" s="108"/>
    </row>
    <row r="764" ht="18.75" customHeight="1">
      <c r="A764" s="437"/>
      <c r="B764" s="438"/>
      <c r="C764" s="438"/>
      <c r="D764" s="438"/>
      <c r="E764" s="438"/>
      <c r="F764" s="438"/>
      <c r="G764" s="438"/>
      <c r="H764" s="108"/>
      <c r="I764" s="108"/>
      <c r="J764" s="440"/>
      <c r="K764" s="440"/>
      <c r="L764" s="440"/>
      <c r="M764" s="440"/>
      <c r="N764" s="440"/>
      <c r="O764" s="440"/>
      <c r="P764" s="440"/>
      <c r="Q764" s="440"/>
      <c r="R764" s="108"/>
      <c r="S764" s="440"/>
      <c r="T764" s="440"/>
      <c r="U764" s="440"/>
      <c r="V764" s="440"/>
      <c r="W764" s="440"/>
      <c r="X764" s="440"/>
      <c r="Y764" s="108"/>
      <c r="Z764" s="108"/>
    </row>
    <row r="765" ht="18.75" customHeight="1">
      <c r="A765" s="437"/>
      <c r="B765" s="438"/>
      <c r="C765" s="438"/>
      <c r="D765" s="438"/>
      <c r="E765" s="438"/>
      <c r="F765" s="438"/>
      <c r="G765" s="438"/>
      <c r="H765" s="108"/>
      <c r="I765" s="108"/>
      <c r="J765" s="440"/>
      <c r="K765" s="440"/>
      <c r="L765" s="440"/>
      <c r="M765" s="440"/>
      <c r="N765" s="440"/>
      <c r="O765" s="440"/>
      <c r="P765" s="440"/>
      <c r="Q765" s="440"/>
      <c r="R765" s="108"/>
      <c r="S765" s="440"/>
      <c r="T765" s="440"/>
      <c r="U765" s="440"/>
      <c r="V765" s="440"/>
      <c r="W765" s="440"/>
      <c r="X765" s="440"/>
      <c r="Y765" s="108"/>
      <c r="Z765" s="108"/>
    </row>
    <row r="766" ht="18.75" customHeight="1">
      <c r="A766" s="437"/>
      <c r="B766" s="438"/>
      <c r="C766" s="438"/>
      <c r="D766" s="438"/>
      <c r="E766" s="438"/>
      <c r="F766" s="438"/>
      <c r="G766" s="438"/>
      <c r="H766" s="108"/>
      <c r="I766" s="108"/>
      <c r="J766" s="440"/>
      <c r="K766" s="440"/>
      <c r="L766" s="440"/>
      <c r="M766" s="440"/>
      <c r="N766" s="440"/>
      <c r="O766" s="440"/>
      <c r="P766" s="440"/>
      <c r="Q766" s="440"/>
      <c r="R766" s="108"/>
      <c r="S766" s="440"/>
      <c r="T766" s="440"/>
      <c r="U766" s="440"/>
      <c r="V766" s="440"/>
      <c r="W766" s="440"/>
      <c r="X766" s="440"/>
      <c r="Y766" s="108"/>
      <c r="Z766" s="108"/>
    </row>
    <row r="767" ht="18.75" customHeight="1">
      <c r="A767" s="437"/>
      <c r="B767" s="438"/>
      <c r="C767" s="438"/>
      <c r="D767" s="438"/>
      <c r="E767" s="438"/>
      <c r="F767" s="438"/>
      <c r="G767" s="438"/>
      <c r="H767" s="108"/>
      <c r="I767" s="108"/>
      <c r="J767" s="440"/>
      <c r="K767" s="440"/>
      <c r="L767" s="440"/>
      <c r="M767" s="440"/>
      <c r="N767" s="440"/>
      <c r="O767" s="440"/>
      <c r="P767" s="440"/>
      <c r="Q767" s="440"/>
      <c r="R767" s="108"/>
      <c r="S767" s="440"/>
      <c r="T767" s="440"/>
      <c r="U767" s="440"/>
      <c r="V767" s="440"/>
      <c r="W767" s="440"/>
      <c r="X767" s="440"/>
      <c r="Y767" s="108"/>
      <c r="Z767" s="108"/>
    </row>
    <row r="768" ht="18.75" customHeight="1">
      <c r="A768" s="437"/>
      <c r="B768" s="438"/>
      <c r="C768" s="438"/>
      <c r="D768" s="438"/>
      <c r="E768" s="438"/>
      <c r="F768" s="438"/>
      <c r="G768" s="438"/>
      <c r="H768" s="108"/>
      <c r="I768" s="108"/>
      <c r="J768" s="440"/>
      <c r="K768" s="440"/>
      <c r="L768" s="440"/>
      <c r="M768" s="440"/>
      <c r="N768" s="440"/>
      <c r="O768" s="440"/>
      <c r="P768" s="440"/>
      <c r="Q768" s="440"/>
      <c r="R768" s="108"/>
      <c r="S768" s="440"/>
      <c r="T768" s="440"/>
      <c r="U768" s="440"/>
      <c r="V768" s="440"/>
      <c r="W768" s="440"/>
      <c r="X768" s="440"/>
      <c r="Y768" s="108"/>
      <c r="Z768" s="108"/>
    </row>
    <row r="769" ht="18.75" customHeight="1">
      <c r="A769" s="437"/>
      <c r="B769" s="438"/>
      <c r="C769" s="438"/>
      <c r="D769" s="438"/>
      <c r="E769" s="438"/>
      <c r="F769" s="438"/>
      <c r="G769" s="438"/>
      <c r="H769" s="108"/>
      <c r="I769" s="108"/>
      <c r="J769" s="440"/>
      <c r="K769" s="440"/>
      <c r="L769" s="440"/>
      <c r="M769" s="440"/>
      <c r="N769" s="440"/>
      <c r="O769" s="440"/>
      <c r="P769" s="440"/>
      <c r="Q769" s="440"/>
      <c r="R769" s="108"/>
      <c r="S769" s="440"/>
      <c r="T769" s="440"/>
      <c r="U769" s="440"/>
      <c r="V769" s="440"/>
      <c r="W769" s="440"/>
      <c r="X769" s="440"/>
      <c r="Y769" s="108"/>
      <c r="Z769" s="108"/>
    </row>
    <row r="770" ht="18.75" customHeight="1">
      <c r="A770" s="437"/>
      <c r="B770" s="438"/>
      <c r="C770" s="438"/>
      <c r="D770" s="438"/>
      <c r="E770" s="438"/>
      <c r="F770" s="438"/>
      <c r="G770" s="438"/>
      <c r="H770" s="108"/>
      <c r="I770" s="108"/>
      <c r="J770" s="440"/>
      <c r="K770" s="440"/>
      <c r="L770" s="440"/>
      <c r="M770" s="440"/>
      <c r="N770" s="440"/>
      <c r="O770" s="440"/>
      <c r="P770" s="440"/>
      <c r="Q770" s="440"/>
      <c r="R770" s="108"/>
      <c r="S770" s="440"/>
      <c r="T770" s="440"/>
      <c r="U770" s="440"/>
      <c r="V770" s="440"/>
      <c r="W770" s="440"/>
      <c r="X770" s="440"/>
      <c r="Y770" s="108"/>
      <c r="Z770" s="108"/>
    </row>
    <row r="771" ht="18.75" customHeight="1">
      <c r="A771" s="437"/>
      <c r="B771" s="438"/>
      <c r="C771" s="438"/>
      <c r="D771" s="438"/>
      <c r="E771" s="438"/>
      <c r="F771" s="438"/>
      <c r="G771" s="438"/>
      <c r="H771" s="108"/>
      <c r="I771" s="108"/>
      <c r="J771" s="440"/>
      <c r="K771" s="440"/>
      <c r="L771" s="440"/>
      <c r="M771" s="440"/>
      <c r="N771" s="440"/>
      <c r="O771" s="440"/>
      <c r="P771" s="440"/>
      <c r="Q771" s="440"/>
      <c r="R771" s="108"/>
      <c r="S771" s="440"/>
      <c r="T771" s="440"/>
      <c r="U771" s="440"/>
      <c r="V771" s="440"/>
      <c r="W771" s="440"/>
      <c r="X771" s="440"/>
      <c r="Y771" s="108"/>
      <c r="Z771" s="108"/>
    </row>
    <row r="772" ht="18.75" customHeight="1">
      <c r="A772" s="437"/>
      <c r="B772" s="438"/>
      <c r="C772" s="438"/>
      <c r="D772" s="438"/>
      <c r="E772" s="438"/>
      <c r="F772" s="438"/>
      <c r="G772" s="438"/>
      <c r="H772" s="108"/>
      <c r="I772" s="108"/>
      <c r="J772" s="440"/>
      <c r="K772" s="440"/>
      <c r="L772" s="440"/>
      <c r="M772" s="440"/>
      <c r="N772" s="440"/>
      <c r="O772" s="440"/>
      <c r="P772" s="440"/>
      <c r="Q772" s="440"/>
      <c r="R772" s="108"/>
      <c r="S772" s="440"/>
      <c r="T772" s="440"/>
      <c r="U772" s="440"/>
      <c r="V772" s="440"/>
      <c r="W772" s="440"/>
      <c r="X772" s="440"/>
      <c r="Y772" s="108"/>
      <c r="Z772" s="108"/>
    </row>
    <row r="773" ht="18.75" customHeight="1">
      <c r="A773" s="437"/>
      <c r="B773" s="438"/>
      <c r="C773" s="438"/>
      <c r="D773" s="438"/>
      <c r="E773" s="438"/>
      <c r="F773" s="438"/>
      <c r="G773" s="438"/>
      <c r="H773" s="108"/>
      <c r="I773" s="108"/>
      <c r="J773" s="440"/>
      <c r="K773" s="440"/>
      <c r="L773" s="440"/>
      <c r="M773" s="440"/>
      <c r="N773" s="440"/>
      <c r="O773" s="440"/>
      <c r="P773" s="440"/>
      <c r="Q773" s="440"/>
      <c r="R773" s="108"/>
      <c r="S773" s="440"/>
      <c r="T773" s="440"/>
      <c r="U773" s="440"/>
      <c r="V773" s="440"/>
      <c r="W773" s="440"/>
      <c r="X773" s="440"/>
      <c r="Y773" s="108"/>
      <c r="Z773" s="108"/>
    </row>
    <row r="774" ht="18.75" customHeight="1">
      <c r="A774" s="437"/>
      <c r="B774" s="438"/>
      <c r="C774" s="438"/>
      <c r="D774" s="438"/>
      <c r="E774" s="438"/>
      <c r="F774" s="438"/>
      <c r="G774" s="438"/>
      <c r="H774" s="108"/>
      <c r="I774" s="108"/>
      <c r="J774" s="440"/>
      <c r="K774" s="440"/>
      <c r="L774" s="440"/>
      <c r="M774" s="440"/>
      <c r="N774" s="440"/>
      <c r="O774" s="440"/>
      <c r="P774" s="440"/>
      <c r="Q774" s="440"/>
      <c r="R774" s="108"/>
      <c r="S774" s="440"/>
      <c r="T774" s="440"/>
      <c r="U774" s="440"/>
      <c r="V774" s="440"/>
      <c r="W774" s="440"/>
      <c r="X774" s="440"/>
      <c r="Y774" s="108"/>
      <c r="Z774" s="108"/>
    </row>
    <row r="775" ht="18.75" customHeight="1">
      <c r="A775" s="437"/>
      <c r="B775" s="438"/>
      <c r="C775" s="438"/>
      <c r="D775" s="438"/>
      <c r="E775" s="438"/>
      <c r="F775" s="438"/>
      <c r="G775" s="438"/>
      <c r="H775" s="108"/>
      <c r="I775" s="108"/>
      <c r="J775" s="440"/>
      <c r="K775" s="440"/>
      <c r="L775" s="440"/>
      <c r="M775" s="440"/>
      <c r="N775" s="440"/>
      <c r="O775" s="440"/>
      <c r="P775" s="440"/>
      <c r="Q775" s="440"/>
      <c r="R775" s="108"/>
      <c r="S775" s="440"/>
      <c r="T775" s="440"/>
      <c r="U775" s="440"/>
      <c r="V775" s="440"/>
      <c r="W775" s="440"/>
      <c r="X775" s="440"/>
      <c r="Y775" s="108"/>
      <c r="Z775" s="108"/>
    </row>
    <row r="776" ht="18.75" customHeight="1">
      <c r="A776" s="437"/>
      <c r="B776" s="438"/>
      <c r="C776" s="438"/>
      <c r="D776" s="438"/>
      <c r="E776" s="438"/>
      <c r="F776" s="438"/>
      <c r="G776" s="438"/>
      <c r="H776" s="108"/>
      <c r="I776" s="108"/>
      <c r="J776" s="440"/>
      <c r="K776" s="440"/>
      <c r="L776" s="440"/>
      <c r="M776" s="440"/>
      <c r="N776" s="440"/>
      <c r="O776" s="440"/>
      <c r="P776" s="440"/>
      <c r="Q776" s="440"/>
      <c r="R776" s="108"/>
      <c r="S776" s="440"/>
      <c r="T776" s="440"/>
      <c r="U776" s="440"/>
      <c r="V776" s="440"/>
      <c r="W776" s="440"/>
      <c r="X776" s="440"/>
      <c r="Y776" s="108"/>
      <c r="Z776" s="108"/>
    </row>
    <row r="777" ht="18.75" customHeight="1">
      <c r="A777" s="437"/>
      <c r="B777" s="438"/>
      <c r="C777" s="438"/>
      <c r="D777" s="438"/>
      <c r="E777" s="438"/>
      <c r="F777" s="438"/>
      <c r="G777" s="438"/>
      <c r="H777" s="108"/>
      <c r="I777" s="108"/>
      <c r="J777" s="440"/>
      <c r="K777" s="440"/>
      <c r="L777" s="440"/>
      <c r="M777" s="440"/>
      <c r="N777" s="440"/>
      <c r="O777" s="440"/>
      <c r="P777" s="440"/>
      <c r="Q777" s="440"/>
      <c r="R777" s="108"/>
      <c r="S777" s="440"/>
      <c r="T777" s="440"/>
      <c r="U777" s="440"/>
      <c r="V777" s="440"/>
      <c r="W777" s="440"/>
      <c r="X777" s="440"/>
      <c r="Y777" s="108"/>
      <c r="Z777" s="108"/>
    </row>
    <row r="778" ht="18.75" customHeight="1">
      <c r="A778" s="437"/>
      <c r="B778" s="438"/>
      <c r="C778" s="438"/>
      <c r="D778" s="438"/>
      <c r="E778" s="438"/>
      <c r="F778" s="438"/>
      <c r="G778" s="438"/>
      <c r="H778" s="108"/>
      <c r="I778" s="108"/>
      <c r="J778" s="440"/>
      <c r="K778" s="440"/>
      <c r="L778" s="440"/>
      <c r="M778" s="440"/>
      <c r="N778" s="440"/>
      <c r="O778" s="440"/>
      <c r="P778" s="440"/>
      <c r="Q778" s="440"/>
      <c r="R778" s="108"/>
      <c r="S778" s="440"/>
      <c r="T778" s="440"/>
      <c r="U778" s="440"/>
      <c r="V778" s="440"/>
      <c r="W778" s="440"/>
      <c r="X778" s="440"/>
      <c r="Y778" s="108"/>
      <c r="Z778" s="108"/>
    </row>
    <row r="779" ht="18.75" customHeight="1">
      <c r="A779" s="437"/>
      <c r="B779" s="438"/>
      <c r="C779" s="438"/>
      <c r="D779" s="438"/>
      <c r="E779" s="438"/>
      <c r="F779" s="438"/>
      <c r="G779" s="438"/>
      <c r="H779" s="108"/>
      <c r="I779" s="108"/>
      <c r="J779" s="440"/>
      <c r="K779" s="440"/>
      <c r="L779" s="440"/>
      <c r="M779" s="440"/>
      <c r="N779" s="440"/>
      <c r="O779" s="440"/>
      <c r="P779" s="440"/>
      <c r="Q779" s="440"/>
      <c r="R779" s="108"/>
      <c r="S779" s="440"/>
      <c r="T779" s="440"/>
      <c r="U779" s="440"/>
      <c r="V779" s="440"/>
      <c r="W779" s="440"/>
      <c r="X779" s="440"/>
      <c r="Y779" s="108"/>
      <c r="Z779" s="108"/>
    </row>
    <row r="780" ht="18.75" customHeight="1">
      <c r="A780" s="437"/>
      <c r="B780" s="438"/>
      <c r="C780" s="438"/>
      <c r="D780" s="438"/>
      <c r="E780" s="438"/>
      <c r="F780" s="438"/>
      <c r="G780" s="438"/>
      <c r="H780" s="108"/>
      <c r="I780" s="108"/>
      <c r="J780" s="440"/>
      <c r="K780" s="440"/>
      <c r="L780" s="440"/>
      <c r="M780" s="440"/>
      <c r="N780" s="440"/>
      <c r="O780" s="440"/>
      <c r="P780" s="440"/>
      <c r="Q780" s="440"/>
      <c r="R780" s="108"/>
      <c r="S780" s="440"/>
      <c r="T780" s="440"/>
      <c r="U780" s="440"/>
      <c r="V780" s="440"/>
      <c r="W780" s="440"/>
      <c r="X780" s="440"/>
      <c r="Y780" s="108"/>
      <c r="Z780" s="108"/>
    </row>
    <row r="781" ht="18.75" customHeight="1">
      <c r="A781" s="437"/>
      <c r="B781" s="438"/>
      <c r="C781" s="438"/>
      <c r="D781" s="438"/>
      <c r="E781" s="438"/>
      <c r="F781" s="438"/>
      <c r="G781" s="438"/>
      <c r="H781" s="108"/>
      <c r="I781" s="108"/>
      <c r="J781" s="440"/>
      <c r="K781" s="440"/>
      <c r="L781" s="440"/>
      <c r="M781" s="440"/>
      <c r="N781" s="440"/>
      <c r="O781" s="440"/>
      <c r="P781" s="440"/>
      <c r="Q781" s="440"/>
      <c r="R781" s="108"/>
      <c r="S781" s="440"/>
      <c r="T781" s="440"/>
      <c r="U781" s="440"/>
      <c r="V781" s="440"/>
      <c r="W781" s="440"/>
      <c r="X781" s="440"/>
      <c r="Y781" s="108"/>
      <c r="Z781" s="108"/>
    </row>
    <row r="782" ht="18.75" customHeight="1">
      <c r="A782" s="437"/>
      <c r="B782" s="438"/>
      <c r="C782" s="438"/>
      <c r="D782" s="438"/>
      <c r="E782" s="438"/>
      <c r="F782" s="438"/>
      <c r="G782" s="438"/>
      <c r="H782" s="108"/>
      <c r="I782" s="108"/>
      <c r="J782" s="440"/>
      <c r="K782" s="440"/>
      <c r="L782" s="440"/>
      <c r="M782" s="440"/>
      <c r="N782" s="440"/>
      <c r="O782" s="440"/>
      <c r="P782" s="440"/>
      <c r="Q782" s="440"/>
      <c r="R782" s="108"/>
      <c r="S782" s="440"/>
      <c r="T782" s="440"/>
      <c r="U782" s="440"/>
      <c r="V782" s="440"/>
      <c r="W782" s="440"/>
      <c r="X782" s="440"/>
      <c r="Y782" s="108"/>
      <c r="Z782" s="108"/>
    </row>
    <row r="783" ht="18.75" customHeight="1">
      <c r="A783" s="437"/>
      <c r="B783" s="438"/>
      <c r="C783" s="438"/>
      <c r="D783" s="438"/>
      <c r="E783" s="438"/>
      <c r="F783" s="438"/>
      <c r="G783" s="438"/>
      <c r="H783" s="108"/>
      <c r="I783" s="108"/>
      <c r="J783" s="440"/>
      <c r="K783" s="440"/>
      <c r="L783" s="440"/>
      <c r="M783" s="440"/>
      <c r="N783" s="440"/>
      <c r="O783" s="440"/>
      <c r="P783" s="440"/>
      <c r="Q783" s="440"/>
      <c r="R783" s="108"/>
      <c r="S783" s="440"/>
      <c r="T783" s="440"/>
      <c r="U783" s="440"/>
      <c r="V783" s="440"/>
      <c r="W783" s="440"/>
      <c r="X783" s="440"/>
      <c r="Y783" s="108"/>
      <c r="Z783" s="108"/>
    </row>
    <row r="784" ht="18.75" customHeight="1">
      <c r="A784" s="437"/>
      <c r="B784" s="438"/>
      <c r="C784" s="438"/>
      <c r="D784" s="438"/>
      <c r="E784" s="438"/>
      <c r="F784" s="438"/>
      <c r="G784" s="438"/>
      <c r="H784" s="108"/>
      <c r="I784" s="108"/>
      <c r="J784" s="440"/>
      <c r="K784" s="440"/>
      <c r="L784" s="440"/>
      <c r="M784" s="440"/>
      <c r="N784" s="440"/>
      <c r="O784" s="440"/>
      <c r="P784" s="440"/>
      <c r="Q784" s="440"/>
      <c r="R784" s="108"/>
      <c r="S784" s="440"/>
      <c r="T784" s="440"/>
      <c r="U784" s="440"/>
      <c r="V784" s="440"/>
      <c r="W784" s="440"/>
      <c r="X784" s="440"/>
      <c r="Y784" s="108"/>
      <c r="Z784" s="108"/>
    </row>
    <row r="785" ht="18.75" customHeight="1">
      <c r="A785" s="437"/>
      <c r="B785" s="438"/>
      <c r="C785" s="438"/>
      <c r="D785" s="438"/>
      <c r="E785" s="438"/>
      <c r="F785" s="438"/>
      <c r="G785" s="438"/>
      <c r="H785" s="108"/>
      <c r="I785" s="108"/>
      <c r="J785" s="440"/>
      <c r="K785" s="440"/>
      <c r="L785" s="440"/>
      <c r="M785" s="440"/>
      <c r="N785" s="440"/>
      <c r="O785" s="440"/>
      <c r="P785" s="440"/>
      <c r="Q785" s="440"/>
      <c r="R785" s="108"/>
      <c r="S785" s="440"/>
      <c r="T785" s="440"/>
      <c r="U785" s="440"/>
      <c r="V785" s="440"/>
      <c r="W785" s="440"/>
      <c r="X785" s="440"/>
      <c r="Y785" s="108"/>
      <c r="Z785" s="108"/>
    </row>
    <row r="786" ht="18.75" customHeight="1">
      <c r="A786" s="437"/>
      <c r="B786" s="438"/>
      <c r="C786" s="438"/>
      <c r="D786" s="438"/>
      <c r="E786" s="438"/>
      <c r="F786" s="438"/>
      <c r="G786" s="438"/>
      <c r="H786" s="108"/>
      <c r="I786" s="108"/>
      <c r="J786" s="440"/>
      <c r="K786" s="440"/>
      <c r="L786" s="440"/>
      <c r="M786" s="440"/>
      <c r="N786" s="440"/>
      <c r="O786" s="440"/>
      <c r="P786" s="440"/>
      <c r="Q786" s="440"/>
      <c r="R786" s="108"/>
      <c r="S786" s="440"/>
      <c r="T786" s="440"/>
      <c r="U786" s="440"/>
      <c r="V786" s="440"/>
      <c r="W786" s="440"/>
      <c r="X786" s="440"/>
      <c r="Y786" s="108"/>
      <c r="Z786" s="108"/>
    </row>
    <row r="787" ht="18.75" customHeight="1">
      <c r="A787" s="437"/>
      <c r="B787" s="438"/>
      <c r="C787" s="438"/>
      <c r="D787" s="438"/>
      <c r="E787" s="438"/>
      <c r="F787" s="438"/>
      <c r="G787" s="438"/>
      <c r="H787" s="108"/>
      <c r="I787" s="108"/>
      <c r="J787" s="440"/>
      <c r="K787" s="440"/>
      <c r="L787" s="440"/>
      <c r="M787" s="440"/>
      <c r="N787" s="440"/>
      <c r="O787" s="440"/>
      <c r="P787" s="440"/>
      <c r="Q787" s="440"/>
      <c r="R787" s="108"/>
      <c r="S787" s="440"/>
      <c r="T787" s="440"/>
      <c r="U787" s="440"/>
      <c r="V787" s="440"/>
      <c r="W787" s="440"/>
      <c r="X787" s="440"/>
      <c r="Y787" s="108"/>
      <c r="Z787" s="108"/>
    </row>
    <row r="788" ht="18.75" customHeight="1">
      <c r="A788" s="437"/>
      <c r="B788" s="438"/>
      <c r="C788" s="438"/>
      <c r="D788" s="438"/>
      <c r="E788" s="438"/>
      <c r="F788" s="438"/>
      <c r="G788" s="438"/>
      <c r="H788" s="108"/>
      <c r="I788" s="108"/>
      <c r="J788" s="440"/>
      <c r="K788" s="440"/>
      <c r="L788" s="440"/>
      <c r="M788" s="440"/>
      <c r="N788" s="440"/>
      <c r="O788" s="440"/>
      <c r="P788" s="440"/>
      <c r="Q788" s="440"/>
      <c r="R788" s="108"/>
      <c r="S788" s="440"/>
      <c r="T788" s="440"/>
      <c r="U788" s="440"/>
      <c r="V788" s="440"/>
      <c r="W788" s="440"/>
      <c r="X788" s="440"/>
      <c r="Y788" s="108"/>
      <c r="Z788" s="108"/>
    </row>
    <row r="789" ht="18.75" customHeight="1">
      <c r="A789" s="437"/>
      <c r="B789" s="438"/>
      <c r="C789" s="438"/>
      <c r="D789" s="438"/>
      <c r="E789" s="438"/>
      <c r="F789" s="438"/>
      <c r="G789" s="438"/>
      <c r="H789" s="108"/>
      <c r="I789" s="108"/>
      <c r="J789" s="440"/>
      <c r="K789" s="440"/>
      <c r="L789" s="440"/>
      <c r="M789" s="440"/>
      <c r="N789" s="440"/>
      <c r="O789" s="440"/>
      <c r="P789" s="440"/>
      <c r="Q789" s="440"/>
      <c r="R789" s="108"/>
      <c r="S789" s="440"/>
      <c r="T789" s="440"/>
      <c r="U789" s="440"/>
      <c r="V789" s="440"/>
      <c r="W789" s="440"/>
      <c r="X789" s="440"/>
      <c r="Y789" s="108"/>
      <c r="Z789" s="108"/>
    </row>
    <row r="790" ht="18.75" customHeight="1">
      <c r="A790" s="437"/>
      <c r="B790" s="438"/>
      <c r="C790" s="438"/>
      <c r="D790" s="438"/>
      <c r="E790" s="438"/>
      <c r="F790" s="438"/>
      <c r="G790" s="438"/>
      <c r="H790" s="108"/>
      <c r="I790" s="108"/>
      <c r="J790" s="440"/>
      <c r="K790" s="440"/>
      <c r="L790" s="440"/>
      <c r="M790" s="440"/>
      <c r="N790" s="440"/>
      <c r="O790" s="440"/>
      <c r="P790" s="440"/>
      <c r="Q790" s="440"/>
      <c r="R790" s="108"/>
      <c r="S790" s="440"/>
      <c r="T790" s="440"/>
      <c r="U790" s="440"/>
      <c r="V790" s="440"/>
      <c r="W790" s="440"/>
      <c r="X790" s="440"/>
      <c r="Y790" s="108"/>
      <c r="Z790" s="108"/>
    </row>
    <row r="791" ht="18.75" customHeight="1">
      <c r="A791" s="437"/>
      <c r="B791" s="438"/>
      <c r="C791" s="438"/>
      <c r="D791" s="438"/>
      <c r="E791" s="438"/>
      <c r="F791" s="438"/>
      <c r="G791" s="438"/>
      <c r="H791" s="108"/>
      <c r="I791" s="108"/>
      <c r="J791" s="440"/>
      <c r="K791" s="440"/>
      <c r="L791" s="440"/>
      <c r="M791" s="440"/>
      <c r="N791" s="440"/>
      <c r="O791" s="440"/>
      <c r="P791" s="440"/>
      <c r="Q791" s="440"/>
      <c r="R791" s="108"/>
      <c r="S791" s="440"/>
      <c r="T791" s="440"/>
      <c r="U791" s="440"/>
      <c r="V791" s="440"/>
      <c r="W791" s="440"/>
      <c r="X791" s="440"/>
      <c r="Y791" s="108"/>
      <c r="Z791" s="108"/>
    </row>
    <row r="792" ht="18.75" customHeight="1">
      <c r="A792" s="437"/>
      <c r="B792" s="438"/>
      <c r="C792" s="438"/>
      <c r="D792" s="438"/>
      <c r="E792" s="438"/>
      <c r="F792" s="438"/>
      <c r="G792" s="438"/>
      <c r="H792" s="108"/>
      <c r="I792" s="108"/>
      <c r="J792" s="440"/>
      <c r="K792" s="440"/>
      <c r="L792" s="440"/>
      <c r="M792" s="440"/>
      <c r="N792" s="440"/>
      <c r="O792" s="440"/>
      <c r="P792" s="440"/>
      <c r="Q792" s="440"/>
      <c r="R792" s="108"/>
      <c r="S792" s="440"/>
      <c r="T792" s="440"/>
      <c r="U792" s="440"/>
      <c r="V792" s="440"/>
      <c r="W792" s="440"/>
      <c r="X792" s="440"/>
      <c r="Y792" s="108"/>
      <c r="Z792" s="108"/>
    </row>
    <row r="793" ht="18.75" customHeight="1">
      <c r="A793" s="437"/>
      <c r="B793" s="438"/>
      <c r="C793" s="438"/>
      <c r="D793" s="438"/>
      <c r="E793" s="438"/>
      <c r="F793" s="438"/>
      <c r="G793" s="438"/>
      <c r="H793" s="108"/>
      <c r="I793" s="108"/>
      <c r="J793" s="440"/>
      <c r="K793" s="440"/>
      <c r="L793" s="440"/>
      <c r="M793" s="440"/>
      <c r="N793" s="440"/>
      <c r="O793" s="440"/>
      <c r="P793" s="440"/>
      <c r="Q793" s="440"/>
      <c r="R793" s="108"/>
      <c r="S793" s="440"/>
      <c r="T793" s="440"/>
      <c r="U793" s="440"/>
      <c r="V793" s="440"/>
      <c r="W793" s="440"/>
      <c r="X793" s="440"/>
      <c r="Y793" s="108"/>
      <c r="Z793" s="108"/>
    </row>
    <row r="794" ht="18.75" customHeight="1">
      <c r="A794" s="437"/>
      <c r="B794" s="438"/>
      <c r="C794" s="438"/>
      <c r="D794" s="438"/>
      <c r="E794" s="438"/>
      <c r="F794" s="438"/>
      <c r="G794" s="438"/>
      <c r="H794" s="108"/>
      <c r="I794" s="108"/>
      <c r="J794" s="440"/>
      <c r="K794" s="440"/>
      <c r="L794" s="440"/>
      <c r="M794" s="440"/>
      <c r="N794" s="440"/>
      <c r="O794" s="440"/>
      <c r="P794" s="440"/>
      <c r="Q794" s="440"/>
      <c r="R794" s="108"/>
      <c r="S794" s="440"/>
      <c r="T794" s="440"/>
      <c r="U794" s="440"/>
      <c r="V794" s="440"/>
      <c r="W794" s="440"/>
      <c r="X794" s="440"/>
      <c r="Y794" s="108"/>
      <c r="Z794" s="108"/>
    </row>
    <row r="795" ht="18.75" customHeight="1">
      <c r="A795" s="437"/>
      <c r="B795" s="438"/>
      <c r="C795" s="438"/>
      <c r="D795" s="438"/>
      <c r="E795" s="438"/>
      <c r="F795" s="438"/>
      <c r="G795" s="438"/>
      <c r="H795" s="108"/>
      <c r="I795" s="108"/>
      <c r="J795" s="440"/>
      <c r="K795" s="440"/>
      <c r="L795" s="440"/>
      <c r="M795" s="440"/>
      <c r="N795" s="440"/>
      <c r="O795" s="440"/>
      <c r="P795" s="440"/>
      <c r="Q795" s="440"/>
      <c r="R795" s="108"/>
      <c r="S795" s="440"/>
      <c r="T795" s="440"/>
      <c r="U795" s="440"/>
      <c r="V795" s="440"/>
      <c r="W795" s="440"/>
      <c r="X795" s="440"/>
      <c r="Y795" s="108"/>
      <c r="Z795" s="108"/>
    </row>
    <row r="796" ht="18.75" customHeight="1">
      <c r="A796" s="437"/>
      <c r="B796" s="438"/>
      <c r="C796" s="438"/>
      <c r="D796" s="438"/>
      <c r="E796" s="438"/>
      <c r="F796" s="438"/>
      <c r="G796" s="438"/>
      <c r="H796" s="108"/>
      <c r="I796" s="108"/>
      <c r="J796" s="440"/>
      <c r="K796" s="440"/>
      <c r="L796" s="440"/>
      <c r="M796" s="440"/>
      <c r="N796" s="440"/>
      <c r="O796" s="440"/>
      <c r="P796" s="440"/>
      <c r="Q796" s="440"/>
      <c r="R796" s="108"/>
      <c r="S796" s="440"/>
      <c r="T796" s="440"/>
      <c r="U796" s="440"/>
      <c r="V796" s="440"/>
      <c r="W796" s="440"/>
      <c r="X796" s="440"/>
      <c r="Y796" s="108"/>
      <c r="Z796" s="108"/>
    </row>
    <row r="797" ht="18.75" customHeight="1">
      <c r="A797" s="437"/>
      <c r="B797" s="438"/>
      <c r="C797" s="438"/>
      <c r="D797" s="438"/>
      <c r="E797" s="438"/>
      <c r="F797" s="438"/>
      <c r="G797" s="438"/>
      <c r="H797" s="108"/>
      <c r="I797" s="108"/>
      <c r="J797" s="440"/>
      <c r="K797" s="440"/>
      <c r="L797" s="440"/>
      <c r="M797" s="440"/>
      <c r="N797" s="440"/>
      <c r="O797" s="440"/>
      <c r="P797" s="440"/>
      <c r="Q797" s="440"/>
      <c r="R797" s="108"/>
      <c r="S797" s="440"/>
      <c r="T797" s="440"/>
      <c r="U797" s="440"/>
      <c r="V797" s="440"/>
      <c r="W797" s="440"/>
      <c r="X797" s="440"/>
      <c r="Y797" s="108"/>
      <c r="Z797" s="108"/>
    </row>
    <row r="798" ht="18.75" customHeight="1">
      <c r="A798" s="437"/>
      <c r="B798" s="438"/>
      <c r="C798" s="438"/>
      <c r="D798" s="438"/>
      <c r="E798" s="438"/>
      <c r="F798" s="438"/>
      <c r="G798" s="438"/>
      <c r="H798" s="108"/>
      <c r="I798" s="108"/>
      <c r="J798" s="440"/>
      <c r="K798" s="440"/>
      <c r="L798" s="440"/>
      <c r="M798" s="440"/>
      <c r="N798" s="440"/>
      <c r="O798" s="440"/>
      <c r="P798" s="440"/>
      <c r="Q798" s="440"/>
      <c r="R798" s="108"/>
      <c r="S798" s="440"/>
      <c r="T798" s="440"/>
      <c r="U798" s="440"/>
      <c r="V798" s="440"/>
      <c r="W798" s="440"/>
      <c r="X798" s="440"/>
      <c r="Y798" s="108"/>
      <c r="Z798" s="108"/>
    </row>
    <row r="799" ht="18.75" customHeight="1">
      <c r="A799" s="437"/>
      <c r="B799" s="438"/>
      <c r="C799" s="438"/>
      <c r="D799" s="438"/>
      <c r="E799" s="438"/>
      <c r="F799" s="438"/>
      <c r="G799" s="438"/>
      <c r="H799" s="108"/>
      <c r="I799" s="108"/>
      <c r="J799" s="440"/>
      <c r="K799" s="440"/>
      <c r="L799" s="440"/>
      <c r="M799" s="440"/>
      <c r="N799" s="440"/>
      <c r="O799" s="440"/>
      <c r="P799" s="440"/>
      <c r="Q799" s="440"/>
      <c r="R799" s="108"/>
      <c r="S799" s="440"/>
      <c r="T799" s="440"/>
      <c r="U799" s="440"/>
      <c r="V799" s="440"/>
      <c r="W799" s="440"/>
      <c r="X799" s="440"/>
      <c r="Y799" s="108"/>
      <c r="Z799" s="108"/>
    </row>
    <row r="800" ht="18.75" customHeight="1">
      <c r="A800" s="437"/>
      <c r="B800" s="438"/>
      <c r="C800" s="438"/>
      <c r="D800" s="438"/>
      <c r="E800" s="438"/>
      <c r="F800" s="438"/>
      <c r="G800" s="438"/>
      <c r="H800" s="108"/>
      <c r="I800" s="108"/>
      <c r="J800" s="440"/>
      <c r="K800" s="440"/>
      <c r="L800" s="440"/>
      <c r="M800" s="440"/>
      <c r="N800" s="440"/>
      <c r="O800" s="440"/>
      <c r="P800" s="440"/>
      <c r="Q800" s="440"/>
      <c r="R800" s="108"/>
      <c r="S800" s="440"/>
      <c r="T800" s="440"/>
      <c r="U800" s="440"/>
      <c r="V800" s="440"/>
      <c r="W800" s="440"/>
      <c r="X800" s="440"/>
      <c r="Y800" s="108"/>
      <c r="Z800" s="108"/>
    </row>
    <row r="801" ht="18.75" customHeight="1">
      <c r="A801" s="437"/>
      <c r="B801" s="438"/>
      <c r="C801" s="438"/>
      <c r="D801" s="438"/>
      <c r="E801" s="438"/>
      <c r="F801" s="438"/>
      <c r="G801" s="438"/>
      <c r="H801" s="108"/>
      <c r="I801" s="108"/>
      <c r="J801" s="440"/>
      <c r="K801" s="440"/>
      <c r="L801" s="440"/>
      <c r="M801" s="440"/>
      <c r="N801" s="440"/>
      <c r="O801" s="440"/>
      <c r="P801" s="440"/>
      <c r="Q801" s="440"/>
      <c r="R801" s="108"/>
      <c r="S801" s="440"/>
      <c r="T801" s="440"/>
      <c r="U801" s="440"/>
      <c r="V801" s="440"/>
      <c r="W801" s="440"/>
      <c r="X801" s="440"/>
      <c r="Y801" s="108"/>
      <c r="Z801" s="108"/>
    </row>
    <row r="802" ht="18.75" customHeight="1">
      <c r="A802" s="437"/>
      <c r="B802" s="438"/>
      <c r="C802" s="438"/>
      <c r="D802" s="438"/>
      <c r="E802" s="438"/>
      <c r="F802" s="438"/>
      <c r="G802" s="438"/>
      <c r="H802" s="108"/>
      <c r="I802" s="108"/>
      <c r="J802" s="440"/>
      <c r="K802" s="440"/>
      <c r="L802" s="440"/>
      <c r="M802" s="440"/>
      <c r="N802" s="440"/>
      <c r="O802" s="440"/>
      <c r="P802" s="440"/>
      <c r="Q802" s="440"/>
      <c r="R802" s="108"/>
      <c r="S802" s="440"/>
      <c r="T802" s="440"/>
      <c r="U802" s="440"/>
      <c r="V802" s="440"/>
      <c r="W802" s="440"/>
      <c r="X802" s="440"/>
      <c r="Y802" s="108"/>
      <c r="Z802" s="108"/>
    </row>
    <row r="803" ht="18.75" customHeight="1">
      <c r="A803" s="437"/>
      <c r="B803" s="438"/>
      <c r="C803" s="438"/>
      <c r="D803" s="438"/>
      <c r="E803" s="438"/>
      <c r="F803" s="438"/>
      <c r="G803" s="438"/>
      <c r="H803" s="108"/>
      <c r="I803" s="108"/>
      <c r="J803" s="440"/>
      <c r="K803" s="440"/>
      <c r="L803" s="440"/>
      <c r="M803" s="440"/>
      <c r="N803" s="440"/>
      <c r="O803" s="440"/>
      <c r="P803" s="440"/>
      <c r="Q803" s="440"/>
      <c r="R803" s="108"/>
      <c r="S803" s="440"/>
      <c r="T803" s="440"/>
      <c r="U803" s="440"/>
      <c r="V803" s="440"/>
      <c r="W803" s="440"/>
      <c r="X803" s="440"/>
      <c r="Y803" s="108"/>
      <c r="Z803" s="108"/>
    </row>
    <row r="804" ht="18.75" customHeight="1">
      <c r="A804" s="437"/>
      <c r="B804" s="438"/>
      <c r="C804" s="438"/>
      <c r="D804" s="438"/>
      <c r="E804" s="438"/>
      <c r="F804" s="438"/>
      <c r="G804" s="438"/>
      <c r="H804" s="108"/>
      <c r="I804" s="108"/>
      <c r="J804" s="440"/>
      <c r="K804" s="440"/>
      <c r="L804" s="440"/>
      <c r="M804" s="440"/>
      <c r="N804" s="440"/>
      <c r="O804" s="440"/>
      <c r="P804" s="440"/>
      <c r="Q804" s="440"/>
      <c r="R804" s="108"/>
      <c r="S804" s="440"/>
      <c r="T804" s="440"/>
      <c r="U804" s="440"/>
      <c r="V804" s="440"/>
      <c r="W804" s="440"/>
      <c r="X804" s="440"/>
      <c r="Y804" s="108"/>
      <c r="Z804" s="108"/>
    </row>
    <row r="805" ht="18.75" customHeight="1">
      <c r="A805" s="437"/>
      <c r="B805" s="438"/>
      <c r="C805" s="438"/>
      <c r="D805" s="438"/>
      <c r="E805" s="438"/>
      <c r="F805" s="438"/>
      <c r="G805" s="438"/>
      <c r="H805" s="108"/>
      <c r="I805" s="108"/>
      <c r="J805" s="440"/>
      <c r="K805" s="440"/>
      <c r="L805" s="440"/>
      <c r="M805" s="440"/>
      <c r="N805" s="440"/>
      <c r="O805" s="440"/>
      <c r="P805" s="440"/>
      <c r="Q805" s="440"/>
      <c r="R805" s="108"/>
      <c r="S805" s="440"/>
      <c r="T805" s="440"/>
      <c r="U805" s="440"/>
      <c r="V805" s="440"/>
      <c r="W805" s="440"/>
      <c r="X805" s="440"/>
      <c r="Y805" s="108"/>
      <c r="Z805" s="108"/>
    </row>
    <row r="806" ht="18.75" customHeight="1">
      <c r="A806" s="437"/>
      <c r="B806" s="438"/>
      <c r="C806" s="438"/>
      <c r="D806" s="438"/>
      <c r="E806" s="438"/>
      <c r="F806" s="438"/>
      <c r="G806" s="438"/>
      <c r="H806" s="108"/>
      <c r="I806" s="108"/>
      <c r="J806" s="440"/>
      <c r="K806" s="440"/>
      <c r="L806" s="440"/>
      <c r="M806" s="440"/>
      <c r="N806" s="440"/>
      <c r="O806" s="440"/>
      <c r="P806" s="440"/>
      <c r="Q806" s="440"/>
      <c r="R806" s="108"/>
      <c r="S806" s="440"/>
      <c r="T806" s="440"/>
      <c r="U806" s="440"/>
      <c r="V806" s="440"/>
      <c r="W806" s="440"/>
      <c r="X806" s="440"/>
      <c r="Y806" s="108"/>
      <c r="Z806" s="108"/>
    </row>
    <row r="807" ht="18.75" customHeight="1">
      <c r="A807" s="437"/>
      <c r="B807" s="438"/>
      <c r="C807" s="438"/>
      <c r="D807" s="438"/>
      <c r="E807" s="438"/>
      <c r="F807" s="438"/>
      <c r="G807" s="438"/>
      <c r="H807" s="108"/>
      <c r="I807" s="108"/>
      <c r="J807" s="440"/>
      <c r="K807" s="440"/>
      <c r="L807" s="440"/>
      <c r="M807" s="440"/>
      <c r="N807" s="440"/>
      <c r="O807" s="440"/>
      <c r="P807" s="440"/>
      <c r="Q807" s="440"/>
      <c r="R807" s="108"/>
      <c r="S807" s="440"/>
      <c r="T807" s="440"/>
      <c r="U807" s="440"/>
      <c r="V807" s="440"/>
      <c r="W807" s="440"/>
      <c r="X807" s="440"/>
      <c r="Y807" s="108"/>
      <c r="Z807" s="108"/>
    </row>
    <row r="808" ht="18.75" customHeight="1">
      <c r="A808" s="437"/>
      <c r="B808" s="438"/>
      <c r="C808" s="438"/>
      <c r="D808" s="438"/>
      <c r="E808" s="438"/>
      <c r="F808" s="438"/>
      <c r="G808" s="438"/>
      <c r="H808" s="108"/>
      <c r="I808" s="108"/>
      <c r="J808" s="440"/>
      <c r="K808" s="440"/>
      <c r="L808" s="440"/>
      <c r="M808" s="440"/>
      <c r="N808" s="440"/>
      <c r="O808" s="440"/>
      <c r="P808" s="440"/>
      <c r="Q808" s="440"/>
      <c r="R808" s="108"/>
      <c r="S808" s="440"/>
      <c r="T808" s="440"/>
      <c r="U808" s="440"/>
      <c r="V808" s="440"/>
      <c r="W808" s="440"/>
      <c r="X808" s="440"/>
      <c r="Y808" s="108"/>
      <c r="Z808" s="108"/>
    </row>
    <row r="809" ht="18.75" customHeight="1">
      <c r="A809" s="437"/>
      <c r="B809" s="438"/>
      <c r="C809" s="438"/>
      <c r="D809" s="438"/>
      <c r="E809" s="438"/>
      <c r="F809" s="438"/>
      <c r="G809" s="438"/>
      <c r="H809" s="108"/>
      <c r="I809" s="108"/>
      <c r="J809" s="440"/>
      <c r="K809" s="440"/>
      <c r="L809" s="440"/>
      <c r="M809" s="440"/>
      <c r="N809" s="440"/>
      <c r="O809" s="440"/>
      <c r="P809" s="440"/>
      <c r="Q809" s="440"/>
      <c r="R809" s="108"/>
      <c r="S809" s="440"/>
      <c r="T809" s="440"/>
      <c r="U809" s="440"/>
      <c r="V809" s="440"/>
      <c r="W809" s="440"/>
      <c r="X809" s="440"/>
      <c r="Y809" s="108"/>
      <c r="Z809" s="108"/>
    </row>
    <row r="810" ht="18.75" customHeight="1">
      <c r="A810" s="437"/>
      <c r="B810" s="438"/>
      <c r="C810" s="438"/>
      <c r="D810" s="438"/>
      <c r="E810" s="438"/>
      <c r="F810" s="438"/>
      <c r="G810" s="438"/>
      <c r="H810" s="108"/>
      <c r="I810" s="108"/>
      <c r="J810" s="440"/>
      <c r="K810" s="440"/>
      <c r="L810" s="440"/>
      <c r="M810" s="440"/>
      <c r="N810" s="440"/>
      <c r="O810" s="440"/>
      <c r="P810" s="440"/>
      <c r="Q810" s="440"/>
      <c r="R810" s="108"/>
      <c r="S810" s="440"/>
      <c r="T810" s="440"/>
      <c r="U810" s="440"/>
      <c r="V810" s="440"/>
      <c r="W810" s="440"/>
      <c r="X810" s="440"/>
      <c r="Y810" s="108"/>
      <c r="Z810" s="108"/>
    </row>
    <row r="811" ht="18.75" customHeight="1">
      <c r="A811" s="437"/>
      <c r="B811" s="438"/>
      <c r="C811" s="438"/>
      <c r="D811" s="438"/>
      <c r="E811" s="438"/>
      <c r="F811" s="438"/>
      <c r="G811" s="438"/>
      <c r="H811" s="108"/>
      <c r="I811" s="108"/>
      <c r="J811" s="440"/>
      <c r="K811" s="440"/>
      <c r="L811" s="440"/>
      <c r="M811" s="440"/>
      <c r="N811" s="440"/>
      <c r="O811" s="440"/>
      <c r="P811" s="440"/>
      <c r="Q811" s="440"/>
      <c r="R811" s="108"/>
      <c r="S811" s="440"/>
      <c r="T811" s="440"/>
      <c r="U811" s="440"/>
      <c r="V811" s="440"/>
      <c r="W811" s="440"/>
      <c r="X811" s="440"/>
      <c r="Y811" s="108"/>
      <c r="Z811" s="108"/>
    </row>
    <row r="812" ht="18.75" customHeight="1">
      <c r="A812" s="437"/>
      <c r="B812" s="438"/>
      <c r="C812" s="438"/>
      <c r="D812" s="438"/>
      <c r="E812" s="438"/>
      <c r="F812" s="438"/>
      <c r="G812" s="438"/>
      <c r="H812" s="108"/>
      <c r="I812" s="108"/>
      <c r="J812" s="440"/>
      <c r="K812" s="440"/>
      <c r="L812" s="440"/>
      <c r="M812" s="440"/>
      <c r="N812" s="440"/>
      <c r="O812" s="440"/>
      <c r="P812" s="440"/>
      <c r="Q812" s="440"/>
      <c r="R812" s="108"/>
      <c r="S812" s="440"/>
      <c r="T812" s="440"/>
      <c r="U812" s="440"/>
      <c r="V812" s="440"/>
      <c r="W812" s="440"/>
      <c r="X812" s="440"/>
      <c r="Y812" s="108"/>
      <c r="Z812" s="108"/>
    </row>
    <row r="813" ht="18.75" customHeight="1">
      <c r="A813" s="437"/>
      <c r="B813" s="438"/>
      <c r="C813" s="438"/>
      <c r="D813" s="438"/>
      <c r="E813" s="438"/>
      <c r="F813" s="438"/>
      <c r="G813" s="438"/>
      <c r="H813" s="108"/>
      <c r="I813" s="108"/>
      <c r="J813" s="440"/>
      <c r="K813" s="440"/>
      <c r="L813" s="440"/>
      <c r="M813" s="440"/>
      <c r="N813" s="440"/>
      <c r="O813" s="440"/>
      <c r="P813" s="440"/>
      <c r="Q813" s="440"/>
      <c r="R813" s="108"/>
      <c r="S813" s="440"/>
      <c r="T813" s="440"/>
      <c r="U813" s="440"/>
      <c r="V813" s="440"/>
      <c r="W813" s="440"/>
      <c r="X813" s="440"/>
      <c r="Y813" s="108"/>
      <c r="Z813" s="108"/>
    </row>
    <row r="814" ht="18.75" customHeight="1">
      <c r="A814" s="437"/>
      <c r="B814" s="438"/>
      <c r="C814" s="438"/>
      <c r="D814" s="438"/>
      <c r="E814" s="438"/>
      <c r="F814" s="438"/>
      <c r="G814" s="438"/>
      <c r="H814" s="108"/>
      <c r="I814" s="108"/>
      <c r="J814" s="440"/>
      <c r="K814" s="440"/>
      <c r="L814" s="440"/>
      <c r="M814" s="440"/>
      <c r="N814" s="440"/>
      <c r="O814" s="440"/>
      <c r="P814" s="440"/>
      <c r="Q814" s="440"/>
      <c r="R814" s="108"/>
      <c r="S814" s="440"/>
      <c r="T814" s="440"/>
      <c r="U814" s="440"/>
      <c r="V814" s="440"/>
      <c r="W814" s="440"/>
      <c r="X814" s="440"/>
      <c r="Y814" s="108"/>
      <c r="Z814" s="108"/>
    </row>
    <row r="815" ht="18.75" customHeight="1">
      <c r="A815" s="437"/>
      <c r="B815" s="438"/>
      <c r="C815" s="438"/>
      <c r="D815" s="438"/>
      <c r="E815" s="438"/>
      <c r="F815" s="438"/>
      <c r="G815" s="438"/>
      <c r="H815" s="108"/>
      <c r="I815" s="108"/>
      <c r="J815" s="440"/>
      <c r="K815" s="440"/>
      <c r="L815" s="440"/>
      <c r="M815" s="440"/>
      <c r="N815" s="440"/>
      <c r="O815" s="440"/>
      <c r="P815" s="440"/>
      <c r="Q815" s="440"/>
      <c r="R815" s="108"/>
      <c r="S815" s="440"/>
      <c r="T815" s="440"/>
      <c r="U815" s="440"/>
      <c r="V815" s="440"/>
      <c r="W815" s="440"/>
      <c r="X815" s="440"/>
      <c r="Y815" s="108"/>
      <c r="Z815" s="108"/>
    </row>
    <row r="816" ht="18.75" customHeight="1">
      <c r="A816" s="437"/>
      <c r="B816" s="438"/>
      <c r="C816" s="438"/>
      <c r="D816" s="438"/>
      <c r="E816" s="438"/>
      <c r="F816" s="438"/>
      <c r="G816" s="438"/>
      <c r="H816" s="108"/>
      <c r="I816" s="108"/>
      <c r="J816" s="440"/>
      <c r="K816" s="440"/>
      <c r="L816" s="440"/>
      <c r="M816" s="440"/>
      <c r="N816" s="440"/>
      <c r="O816" s="440"/>
      <c r="P816" s="440"/>
      <c r="Q816" s="440"/>
      <c r="R816" s="108"/>
      <c r="S816" s="440"/>
      <c r="T816" s="440"/>
      <c r="U816" s="440"/>
      <c r="V816" s="440"/>
      <c r="W816" s="440"/>
      <c r="X816" s="440"/>
      <c r="Y816" s="108"/>
      <c r="Z816" s="108"/>
    </row>
    <row r="817" ht="18.75" customHeight="1">
      <c r="A817" s="437"/>
      <c r="B817" s="438"/>
      <c r="C817" s="438"/>
      <c r="D817" s="438"/>
      <c r="E817" s="438"/>
      <c r="F817" s="438"/>
      <c r="G817" s="438"/>
      <c r="H817" s="108"/>
      <c r="I817" s="108"/>
      <c r="J817" s="440"/>
      <c r="K817" s="440"/>
      <c r="L817" s="440"/>
      <c r="M817" s="440"/>
      <c r="N817" s="440"/>
      <c r="O817" s="440"/>
      <c r="P817" s="440"/>
      <c r="Q817" s="440"/>
      <c r="R817" s="108"/>
      <c r="S817" s="440"/>
      <c r="T817" s="440"/>
      <c r="U817" s="440"/>
      <c r="V817" s="440"/>
      <c r="W817" s="440"/>
      <c r="X817" s="440"/>
      <c r="Y817" s="108"/>
      <c r="Z817" s="108"/>
    </row>
    <row r="818" ht="18.75" customHeight="1">
      <c r="A818" s="437"/>
      <c r="B818" s="438"/>
      <c r="C818" s="438"/>
      <c r="D818" s="438"/>
      <c r="E818" s="438"/>
      <c r="F818" s="438"/>
      <c r="G818" s="438"/>
      <c r="H818" s="108"/>
      <c r="I818" s="108"/>
      <c r="J818" s="440"/>
      <c r="K818" s="440"/>
      <c r="L818" s="440"/>
      <c r="M818" s="440"/>
      <c r="N818" s="440"/>
      <c r="O818" s="440"/>
      <c r="P818" s="440"/>
      <c r="Q818" s="440"/>
      <c r="R818" s="108"/>
      <c r="S818" s="440"/>
      <c r="T818" s="440"/>
      <c r="U818" s="440"/>
      <c r="V818" s="440"/>
      <c r="W818" s="440"/>
      <c r="X818" s="440"/>
      <c r="Y818" s="108"/>
      <c r="Z818" s="108"/>
    </row>
    <row r="819" ht="18.75" customHeight="1">
      <c r="A819" s="437"/>
      <c r="B819" s="438"/>
      <c r="C819" s="438"/>
      <c r="D819" s="438"/>
      <c r="E819" s="438"/>
      <c r="F819" s="438"/>
      <c r="G819" s="438"/>
      <c r="H819" s="108"/>
      <c r="I819" s="108"/>
      <c r="J819" s="440"/>
      <c r="K819" s="440"/>
      <c r="L819" s="440"/>
      <c r="M819" s="440"/>
      <c r="N819" s="440"/>
      <c r="O819" s="440"/>
      <c r="P819" s="440"/>
      <c r="Q819" s="440"/>
      <c r="R819" s="108"/>
      <c r="S819" s="440"/>
      <c r="T819" s="440"/>
      <c r="U819" s="440"/>
      <c r="V819" s="440"/>
      <c r="W819" s="440"/>
      <c r="X819" s="440"/>
      <c r="Y819" s="108"/>
      <c r="Z819" s="108"/>
    </row>
    <row r="820" ht="18.75" customHeight="1">
      <c r="A820" s="437"/>
      <c r="B820" s="438"/>
      <c r="C820" s="438"/>
      <c r="D820" s="438"/>
      <c r="E820" s="438"/>
      <c r="F820" s="438"/>
      <c r="G820" s="438"/>
      <c r="H820" s="108"/>
      <c r="I820" s="108"/>
      <c r="J820" s="440"/>
      <c r="K820" s="440"/>
      <c r="L820" s="440"/>
      <c r="M820" s="440"/>
      <c r="N820" s="440"/>
      <c r="O820" s="440"/>
      <c r="P820" s="440"/>
      <c r="Q820" s="440"/>
      <c r="R820" s="108"/>
      <c r="S820" s="440"/>
      <c r="T820" s="440"/>
      <c r="U820" s="440"/>
      <c r="V820" s="440"/>
      <c r="W820" s="440"/>
      <c r="X820" s="440"/>
      <c r="Y820" s="108"/>
      <c r="Z820" s="108"/>
    </row>
    <row r="821" ht="18.75" customHeight="1">
      <c r="A821" s="437"/>
      <c r="B821" s="438"/>
      <c r="C821" s="438"/>
      <c r="D821" s="438"/>
      <c r="E821" s="438"/>
      <c r="F821" s="438"/>
      <c r="G821" s="438"/>
      <c r="H821" s="108"/>
      <c r="I821" s="108"/>
      <c r="J821" s="440"/>
      <c r="K821" s="440"/>
      <c r="L821" s="440"/>
      <c r="M821" s="440"/>
      <c r="N821" s="440"/>
      <c r="O821" s="440"/>
      <c r="P821" s="440"/>
      <c r="Q821" s="440"/>
      <c r="R821" s="108"/>
      <c r="S821" s="440"/>
      <c r="T821" s="440"/>
      <c r="U821" s="440"/>
      <c r="V821" s="440"/>
      <c r="W821" s="440"/>
      <c r="X821" s="440"/>
      <c r="Y821" s="108"/>
      <c r="Z821" s="108"/>
    </row>
    <row r="822" ht="18.75" customHeight="1">
      <c r="A822" s="437"/>
      <c r="B822" s="438"/>
      <c r="C822" s="438"/>
      <c r="D822" s="438"/>
      <c r="E822" s="438"/>
      <c r="F822" s="438"/>
      <c r="G822" s="438"/>
      <c r="H822" s="108"/>
      <c r="I822" s="108"/>
      <c r="J822" s="440"/>
      <c r="K822" s="440"/>
      <c r="L822" s="440"/>
      <c r="M822" s="440"/>
      <c r="N822" s="440"/>
      <c r="O822" s="440"/>
      <c r="P822" s="440"/>
      <c r="Q822" s="440"/>
      <c r="R822" s="108"/>
      <c r="S822" s="440"/>
      <c r="T822" s="440"/>
      <c r="U822" s="440"/>
      <c r="V822" s="440"/>
      <c r="W822" s="440"/>
      <c r="X822" s="440"/>
      <c r="Y822" s="108"/>
      <c r="Z822" s="108"/>
    </row>
    <row r="823" ht="18.75" customHeight="1">
      <c r="A823" s="437"/>
      <c r="B823" s="438"/>
      <c r="C823" s="438"/>
      <c r="D823" s="438"/>
      <c r="E823" s="438"/>
      <c r="F823" s="438"/>
      <c r="G823" s="438"/>
      <c r="H823" s="108"/>
      <c r="I823" s="108"/>
      <c r="J823" s="440"/>
      <c r="K823" s="440"/>
      <c r="L823" s="440"/>
      <c r="M823" s="440"/>
      <c r="N823" s="440"/>
      <c r="O823" s="440"/>
      <c r="P823" s="440"/>
      <c r="Q823" s="440"/>
      <c r="R823" s="108"/>
      <c r="S823" s="440"/>
      <c r="T823" s="440"/>
      <c r="U823" s="440"/>
      <c r="V823" s="440"/>
      <c r="W823" s="440"/>
      <c r="X823" s="440"/>
      <c r="Y823" s="108"/>
      <c r="Z823" s="108"/>
    </row>
    <row r="824" ht="18.75" customHeight="1">
      <c r="A824" s="437"/>
      <c r="B824" s="438"/>
      <c r="C824" s="438"/>
      <c r="D824" s="438"/>
      <c r="E824" s="438"/>
      <c r="F824" s="438"/>
      <c r="G824" s="438"/>
      <c r="H824" s="108"/>
      <c r="I824" s="108"/>
      <c r="J824" s="440"/>
      <c r="K824" s="440"/>
      <c r="L824" s="440"/>
      <c r="M824" s="440"/>
      <c r="N824" s="440"/>
      <c r="O824" s="440"/>
      <c r="P824" s="440"/>
      <c r="Q824" s="440"/>
      <c r="R824" s="108"/>
      <c r="S824" s="440"/>
      <c r="T824" s="440"/>
      <c r="U824" s="440"/>
      <c r="V824" s="440"/>
      <c r="W824" s="440"/>
      <c r="X824" s="440"/>
      <c r="Y824" s="108"/>
      <c r="Z824" s="108"/>
    </row>
    <row r="825" ht="18.75" customHeight="1">
      <c r="A825" s="437"/>
      <c r="B825" s="438"/>
      <c r="C825" s="438"/>
      <c r="D825" s="438"/>
      <c r="E825" s="438"/>
      <c r="F825" s="438"/>
      <c r="G825" s="438"/>
      <c r="H825" s="108"/>
      <c r="I825" s="108"/>
      <c r="J825" s="440"/>
      <c r="K825" s="440"/>
      <c r="L825" s="440"/>
      <c r="M825" s="440"/>
      <c r="N825" s="440"/>
      <c r="O825" s="440"/>
      <c r="P825" s="440"/>
      <c r="Q825" s="440"/>
      <c r="R825" s="108"/>
      <c r="S825" s="440"/>
      <c r="T825" s="440"/>
      <c r="U825" s="440"/>
      <c r="V825" s="440"/>
      <c r="W825" s="440"/>
      <c r="X825" s="440"/>
      <c r="Y825" s="108"/>
      <c r="Z825" s="108"/>
    </row>
    <row r="826" ht="18.75" customHeight="1">
      <c r="A826" s="437"/>
      <c r="B826" s="438"/>
      <c r="C826" s="438"/>
      <c r="D826" s="438"/>
      <c r="E826" s="438"/>
      <c r="F826" s="438"/>
      <c r="G826" s="438"/>
      <c r="H826" s="108"/>
      <c r="I826" s="108"/>
      <c r="J826" s="440"/>
      <c r="K826" s="440"/>
      <c r="L826" s="440"/>
      <c r="M826" s="440"/>
      <c r="N826" s="440"/>
      <c r="O826" s="440"/>
      <c r="P826" s="440"/>
      <c r="Q826" s="440"/>
      <c r="R826" s="108"/>
      <c r="S826" s="440"/>
      <c r="T826" s="440"/>
      <c r="U826" s="440"/>
      <c r="V826" s="440"/>
      <c r="W826" s="440"/>
      <c r="X826" s="440"/>
      <c r="Y826" s="108"/>
      <c r="Z826" s="108"/>
    </row>
    <row r="827" ht="18.75" customHeight="1">
      <c r="A827" s="437"/>
      <c r="B827" s="438"/>
      <c r="C827" s="438"/>
      <c r="D827" s="438"/>
      <c r="E827" s="438"/>
      <c r="F827" s="438"/>
      <c r="G827" s="438"/>
      <c r="H827" s="108"/>
      <c r="I827" s="108"/>
      <c r="J827" s="440"/>
      <c r="K827" s="440"/>
      <c r="L827" s="440"/>
      <c r="M827" s="440"/>
      <c r="N827" s="440"/>
      <c r="O827" s="440"/>
      <c r="P827" s="440"/>
      <c r="Q827" s="440"/>
      <c r="R827" s="108"/>
      <c r="S827" s="440"/>
      <c r="T827" s="440"/>
      <c r="U827" s="440"/>
      <c r="V827" s="440"/>
      <c r="W827" s="440"/>
      <c r="X827" s="440"/>
      <c r="Y827" s="108"/>
      <c r="Z827" s="108"/>
    </row>
    <row r="828" ht="18.75" customHeight="1">
      <c r="A828" s="437"/>
      <c r="B828" s="438"/>
      <c r="C828" s="438"/>
      <c r="D828" s="438"/>
      <c r="E828" s="438"/>
      <c r="F828" s="438"/>
      <c r="G828" s="438"/>
      <c r="H828" s="108"/>
      <c r="I828" s="108"/>
      <c r="J828" s="440"/>
      <c r="K828" s="440"/>
      <c r="L828" s="440"/>
      <c r="M828" s="440"/>
      <c r="N828" s="440"/>
      <c r="O828" s="440"/>
      <c r="P828" s="440"/>
      <c r="Q828" s="440"/>
      <c r="R828" s="108"/>
      <c r="S828" s="440"/>
      <c r="T828" s="440"/>
      <c r="U828" s="440"/>
      <c r="V828" s="440"/>
      <c r="W828" s="440"/>
      <c r="X828" s="440"/>
      <c r="Y828" s="108"/>
      <c r="Z828" s="108"/>
    </row>
    <row r="829" ht="18.75" customHeight="1">
      <c r="A829" s="437"/>
      <c r="B829" s="438"/>
      <c r="C829" s="438"/>
      <c r="D829" s="438"/>
      <c r="E829" s="438"/>
      <c r="F829" s="438"/>
      <c r="G829" s="438"/>
      <c r="H829" s="108"/>
      <c r="I829" s="108"/>
      <c r="J829" s="440"/>
      <c r="K829" s="440"/>
      <c r="L829" s="440"/>
      <c r="M829" s="440"/>
      <c r="N829" s="440"/>
      <c r="O829" s="440"/>
      <c r="P829" s="440"/>
      <c r="Q829" s="440"/>
      <c r="R829" s="108"/>
      <c r="S829" s="440"/>
      <c r="T829" s="440"/>
      <c r="U829" s="440"/>
      <c r="V829" s="440"/>
      <c r="W829" s="440"/>
      <c r="X829" s="440"/>
      <c r="Y829" s="108"/>
      <c r="Z829" s="108"/>
    </row>
    <row r="830" ht="18.75" customHeight="1">
      <c r="A830" s="437"/>
      <c r="B830" s="438"/>
      <c r="C830" s="438"/>
      <c r="D830" s="438"/>
      <c r="E830" s="438"/>
      <c r="F830" s="438"/>
      <c r="G830" s="438"/>
      <c r="H830" s="108"/>
      <c r="I830" s="108"/>
      <c r="J830" s="440"/>
      <c r="K830" s="440"/>
      <c r="L830" s="440"/>
      <c r="M830" s="440"/>
      <c r="N830" s="440"/>
      <c r="O830" s="440"/>
      <c r="P830" s="440"/>
      <c r="Q830" s="440"/>
      <c r="R830" s="108"/>
      <c r="S830" s="440"/>
      <c r="T830" s="440"/>
      <c r="U830" s="440"/>
      <c r="V830" s="440"/>
      <c r="W830" s="440"/>
      <c r="X830" s="440"/>
      <c r="Y830" s="108"/>
      <c r="Z830" s="108"/>
    </row>
    <row r="831" ht="18.75" customHeight="1">
      <c r="A831" s="437"/>
      <c r="B831" s="438"/>
      <c r="C831" s="438"/>
      <c r="D831" s="438"/>
      <c r="E831" s="438"/>
      <c r="F831" s="438"/>
      <c r="G831" s="438"/>
      <c r="H831" s="108"/>
      <c r="I831" s="108"/>
      <c r="J831" s="440"/>
      <c r="K831" s="440"/>
      <c r="L831" s="440"/>
      <c r="M831" s="440"/>
      <c r="N831" s="440"/>
      <c r="O831" s="440"/>
      <c r="P831" s="440"/>
      <c r="Q831" s="440"/>
      <c r="R831" s="108"/>
      <c r="S831" s="440"/>
      <c r="T831" s="440"/>
      <c r="U831" s="440"/>
      <c r="V831" s="440"/>
      <c r="W831" s="440"/>
      <c r="X831" s="440"/>
      <c r="Y831" s="108"/>
      <c r="Z831" s="108"/>
    </row>
    <row r="832" ht="18.75" customHeight="1">
      <c r="A832" s="437"/>
      <c r="B832" s="438"/>
      <c r="C832" s="438"/>
      <c r="D832" s="438"/>
      <c r="E832" s="438"/>
      <c r="F832" s="438"/>
      <c r="G832" s="438"/>
      <c r="H832" s="108"/>
      <c r="I832" s="108"/>
      <c r="J832" s="440"/>
      <c r="K832" s="440"/>
      <c r="L832" s="440"/>
      <c r="M832" s="440"/>
      <c r="N832" s="440"/>
      <c r="O832" s="440"/>
      <c r="P832" s="440"/>
      <c r="Q832" s="440"/>
      <c r="R832" s="108"/>
      <c r="S832" s="440"/>
      <c r="T832" s="440"/>
      <c r="U832" s="440"/>
      <c r="V832" s="440"/>
      <c r="W832" s="440"/>
      <c r="X832" s="440"/>
      <c r="Y832" s="108"/>
      <c r="Z832" s="108"/>
    </row>
    <row r="833" ht="18.75" customHeight="1">
      <c r="A833" s="437"/>
      <c r="B833" s="438"/>
      <c r="C833" s="438"/>
      <c r="D833" s="438"/>
      <c r="E833" s="438"/>
      <c r="F833" s="438"/>
      <c r="G833" s="438"/>
      <c r="H833" s="108"/>
      <c r="I833" s="108"/>
      <c r="J833" s="440"/>
      <c r="K833" s="440"/>
      <c r="L833" s="440"/>
      <c r="M833" s="440"/>
      <c r="N833" s="440"/>
      <c r="O833" s="440"/>
      <c r="P833" s="440"/>
      <c r="Q833" s="440"/>
      <c r="R833" s="108"/>
      <c r="S833" s="440"/>
      <c r="T833" s="440"/>
      <c r="U833" s="440"/>
      <c r="V833" s="440"/>
      <c r="W833" s="440"/>
      <c r="X833" s="440"/>
      <c r="Y833" s="108"/>
      <c r="Z833" s="108"/>
    </row>
    <row r="834" ht="18.75" customHeight="1">
      <c r="A834" s="437"/>
      <c r="B834" s="438"/>
      <c r="C834" s="438"/>
      <c r="D834" s="438"/>
      <c r="E834" s="438"/>
      <c r="F834" s="438"/>
      <c r="G834" s="438"/>
      <c r="H834" s="108"/>
      <c r="I834" s="108"/>
      <c r="J834" s="440"/>
      <c r="K834" s="440"/>
      <c r="L834" s="440"/>
      <c r="M834" s="440"/>
      <c r="N834" s="440"/>
      <c r="O834" s="440"/>
      <c r="P834" s="440"/>
      <c r="Q834" s="440"/>
      <c r="R834" s="108"/>
      <c r="S834" s="440"/>
      <c r="T834" s="440"/>
      <c r="U834" s="440"/>
      <c r="V834" s="440"/>
      <c r="W834" s="440"/>
      <c r="X834" s="440"/>
      <c r="Y834" s="108"/>
      <c r="Z834" s="108"/>
    </row>
    <row r="835" ht="18.75" customHeight="1">
      <c r="A835" s="437"/>
      <c r="B835" s="438"/>
      <c r="C835" s="438"/>
      <c r="D835" s="438"/>
      <c r="E835" s="438"/>
      <c r="F835" s="438"/>
      <c r="G835" s="438"/>
      <c r="H835" s="108"/>
      <c r="I835" s="108"/>
      <c r="J835" s="440"/>
      <c r="K835" s="440"/>
      <c r="L835" s="440"/>
      <c r="M835" s="440"/>
      <c r="N835" s="440"/>
      <c r="O835" s="440"/>
      <c r="P835" s="440"/>
      <c r="Q835" s="440"/>
      <c r="R835" s="108"/>
      <c r="S835" s="440"/>
      <c r="T835" s="440"/>
      <c r="U835" s="440"/>
      <c r="V835" s="440"/>
      <c r="W835" s="440"/>
      <c r="X835" s="440"/>
      <c r="Y835" s="108"/>
      <c r="Z835" s="108"/>
    </row>
    <row r="836" ht="18.75" customHeight="1">
      <c r="A836" s="437"/>
      <c r="B836" s="438"/>
      <c r="C836" s="438"/>
      <c r="D836" s="438"/>
      <c r="E836" s="438"/>
      <c r="F836" s="438"/>
      <c r="G836" s="438"/>
      <c r="H836" s="108"/>
      <c r="I836" s="108"/>
      <c r="J836" s="440"/>
      <c r="K836" s="440"/>
      <c r="L836" s="440"/>
      <c r="M836" s="440"/>
      <c r="N836" s="440"/>
      <c r="O836" s="440"/>
      <c r="P836" s="440"/>
      <c r="Q836" s="440"/>
      <c r="R836" s="108"/>
      <c r="S836" s="440"/>
      <c r="T836" s="440"/>
      <c r="U836" s="440"/>
      <c r="V836" s="440"/>
      <c r="W836" s="440"/>
      <c r="X836" s="440"/>
      <c r="Y836" s="108"/>
      <c r="Z836" s="108"/>
    </row>
    <row r="837" ht="18.75" customHeight="1">
      <c r="A837" s="437"/>
      <c r="B837" s="438"/>
      <c r="C837" s="438"/>
      <c r="D837" s="438"/>
      <c r="E837" s="438"/>
      <c r="F837" s="438"/>
      <c r="G837" s="438"/>
      <c r="H837" s="108"/>
      <c r="I837" s="108"/>
      <c r="J837" s="440"/>
      <c r="K837" s="440"/>
      <c r="L837" s="440"/>
      <c r="M837" s="440"/>
      <c r="N837" s="440"/>
      <c r="O837" s="440"/>
      <c r="P837" s="440"/>
      <c r="Q837" s="440"/>
      <c r="R837" s="108"/>
      <c r="S837" s="440"/>
      <c r="T837" s="440"/>
      <c r="U837" s="440"/>
      <c r="V837" s="440"/>
      <c r="W837" s="440"/>
      <c r="X837" s="440"/>
      <c r="Y837" s="108"/>
      <c r="Z837" s="108"/>
    </row>
    <row r="838" ht="18.75" customHeight="1">
      <c r="A838" s="437"/>
      <c r="B838" s="438"/>
      <c r="C838" s="438"/>
      <c r="D838" s="438"/>
      <c r="E838" s="438"/>
      <c r="F838" s="438"/>
      <c r="G838" s="438"/>
      <c r="H838" s="108"/>
      <c r="I838" s="108"/>
      <c r="J838" s="440"/>
      <c r="K838" s="440"/>
      <c r="L838" s="440"/>
      <c r="M838" s="440"/>
      <c r="N838" s="440"/>
      <c r="O838" s="440"/>
      <c r="P838" s="440"/>
      <c r="Q838" s="440"/>
      <c r="R838" s="108"/>
      <c r="S838" s="440"/>
      <c r="T838" s="440"/>
      <c r="U838" s="440"/>
      <c r="V838" s="440"/>
      <c r="W838" s="440"/>
      <c r="X838" s="440"/>
      <c r="Y838" s="108"/>
      <c r="Z838" s="108"/>
    </row>
    <row r="839" ht="18.75" customHeight="1">
      <c r="A839" s="437"/>
      <c r="B839" s="438"/>
      <c r="C839" s="438"/>
      <c r="D839" s="438"/>
      <c r="E839" s="438"/>
      <c r="F839" s="438"/>
      <c r="G839" s="438"/>
      <c r="H839" s="108"/>
      <c r="I839" s="108"/>
      <c r="J839" s="440"/>
      <c r="K839" s="440"/>
      <c r="L839" s="440"/>
      <c r="M839" s="440"/>
      <c r="N839" s="440"/>
      <c r="O839" s="440"/>
      <c r="P839" s="440"/>
      <c r="Q839" s="440"/>
      <c r="R839" s="108"/>
      <c r="S839" s="440"/>
      <c r="T839" s="440"/>
      <c r="U839" s="440"/>
      <c r="V839" s="440"/>
      <c r="W839" s="440"/>
      <c r="X839" s="440"/>
      <c r="Y839" s="108"/>
      <c r="Z839" s="108"/>
    </row>
    <row r="840" ht="18.75" customHeight="1">
      <c r="A840" s="437"/>
      <c r="B840" s="438"/>
      <c r="C840" s="438"/>
      <c r="D840" s="438"/>
      <c r="E840" s="438"/>
      <c r="F840" s="438"/>
      <c r="G840" s="438"/>
      <c r="H840" s="108"/>
      <c r="I840" s="108"/>
      <c r="J840" s="440"/>
      <c r="K840" s="440"/>
      <c r="L840" s="440"/>
      <c r="M840" s="440"/>
      <c r="N840" s="440"/>
      <c r="O840" s="440"/>
      <c r="P840" s="440"/>
      <c r="Q840" s="440"/>
      <c r="R840" s="108"/>
      <c r="S840" s="440"/>
      <c r="T840" s="440"/>
      <c r="U840" s="440"/>
      <c r="V840" s="440"/>
      <c r="W840" s="440"/>
      <c r="X840" s="440"/>
      <c r="Y840" s="108"/>
      <c r="Z840" s="108"/>
    </row>
    <row r="841" ht="18.75" customHeight="1">
      <c r="A841" s="437"/>
      <c r="B841" s="438"/>
      <c r="C841" s="438"/>
      <c r="D841" s="438"/>
      <c r="E841" s="438"/>
      <c r="F841" s="438"/>
      <c r="G841" s="438"/>
      <c r="H841" s="108"/>
      <c r="I841" s="108"/>
      <c r="J841" s="440"/>
      <c r="K841" s="440"/>
      <c r="L841" s="440"/>
      <c r="M841" s="440"/>
      <c r="N841" s="440"/>
      <c r="O841" s="440"/>
      <c r="P841" s="440"/>
      <c r="Q841" s="440"/>
      <c r="R841" s="108"/>
      <c r="S841" s="440"/>
      <c r="T841" s="440"/>
      <c r="U841" s="440"/>
      <c r="V841" s="440"/>
      <c r="W841" s="440"/>
      <c r="X841" s="440"/>
      <c r="Y841" s="108"/>
      <c r="Z841" s="108"/>
    </row>
    <row r="842" ht="18.75" customHeight="1">
      <c r="A842" s="437"/>
      <c r="B842" s="438"/>
      <c r="C842" s="438"/>
      <c r="D842" s="438"/>
      <c r="E842" s="438"/>
      <c r="F842" s="438"/>
      <c r="G842" s="438"/>
      <c r="H842" s="108"/>
      <c r="I842" s="108"/>
      <c r="J842" s="440"/>
      <c r="K842" s="440"/>
      <c r="L842" s="440"/>
      <c r="M842" s="440"/>
      <c r="N842" s="440"/>
      <c r="O842" s="440"/>
      <c r="P842" s="440"/>
      <c r="Q842" s="440"/>
      <c r="R842" s="108"/>
      <c r="S842" s="440"/>
      <c r="T842" s="440"/>
      <c r="U842" s="440"/>
      <c r="V842" s="440"/>
      <c r="W842" s="440"/>
      <c r="X842" s="440"/>
      <c r="Y842" s="108"/>
      <c r="Z842" s="108"/>
    </row>
    <row r="843" ht="18.75" customHeight="1">
      <c r="A843" s="437"/>
      <c r="B843" s="438"/>
      <c r="C843" s="438"/>
      <c r="D843" s="438"/>
      <c r="E843" s="438"/>
      <c r="F843" s="438"/>
      <c r="G843" s="438"/>
      <c r="H843" s="108"/>
      <c r="I843" s="108"/>
      <c r="J843" s="440"/>
      <c r="K843" s="440"/>
      <c r="L843" s="440"/>
      <c r="M843" s="440"/>
      <c r="N843" s="440"/>
      <c r="O843" s="440"/>
      <c r="P843" s="440"/>
      <c r="Q843" s="440"/>
      <c r="R843" s="108"/>
      <c r="S843" s="440"/>
      <c r="T843" s="440"/>
      <c r="U843" s="440"/>
      <c r="V843" s="440"/>
      <c r="W843" s="440"/>
      <c r="X843" s="440"/>
      <c r="Y843" s="108"/>
      <c r="Z843" s="108"/>
    </row>
    <row r="844" ht="18.75" customHeight="1">
      <c r="A844" s="437"/>
      <c r="B844" s="438"/>
      <c r="C844" s="438"/>
      <c r="D844" s="438"/>
      <c r="E844" s="438"/>
      <c r="F844" s="438"/>
      <c r="G844" s="438"/>
      <c r="H844" s="108"/>
      <c r="I844" s="108"/>
      <c r="J844" s="440"/>
      <c r="K844" s="440"/>
      <c r="L844" s="440"/>
      <c r="M844" s="440"/>
      <c r="N844" s="440"/>
      <c r="O844" s="440"/>
      <c r="P844" s="440"/>
      <c r="Q844" s="440"/>
      <c r="R844" s="108"/>
      <c r="S844" s="440"/>
      <c r="T844" s="440"/>
      <c r="U844" s="440"/>
      <c r="V844" s="440"/>
      <c r="W844" s="440"/>
      <c r="X844" s="440"/>
      <c r="Y844" s="108"/>
      <c r="Z844" s="108"/>
    </row>
    <row r="845" ht="18.75" customHeight="1">
      <c r="A845" s="437"/>
      <c r="B845" s="438"/>
      <c r="C845" s="438"/>
      <c r="D845" s="438"/>
      <c r="E845" s="438"/>
      <c r="F845" s="438"/>
      <c r="G845" s="438"/>
      <c r="H845" s="108"/>
      <c r="I845" s="108"/>
      <c r="J845" s="440"/>
      <c r="K845" s="440"/>
      <c r="L845" s="440"/>
      <c r="M845" s="440"/>
      <c r="N845" s="440"/>
      <c r="O845" s="440"/>
      <c r="P845" s="440"/>
      <c r="Q845" s="440"/>
      <c r="R845" s="108"/>
      <c r="S845" s="440"/>
      <c r="T845" s="440"/>
      <c r="U845" s="440"/>
      <c r="V845" s="440"/>
      <c r="W845" s="440"/>
      <c r="X845" s="440"/>
      <c r="Y845" s="108"/>
      <c r="Z845" s="108"/>
    </row>
    <row r="846" ht="18.75" customHeight="1">
      <c r="A846" s="437"/>
      <c r="B846" s="438"/>
      <c r="C846" s="438"/>
      <c r="D846" s="438"/>
      <c r="E846" s="438"/>
      <c r="F846" s="438"/>
      <c r="G846" s="438"/>
      <c r="H846" s="108"/>
      <c r="I846" s="108"/>
      <c r="J846" s="440"/>
      <c r="K846" s="440"/>
      <c r="L846" s="440"/>
      <c r="M846" s="440"/>
      <c r="N846" s="440"/>
      <c r="O846" s="440"/>
      <c r="P846" s="440"/>
      <c r="Q846" s="440"/>
      <c r="R846" s="108"/>
      <c r="S846" s="440"/>
      <c r="T846" s="440"/>
      <c r="U846" s="440"/>
      <c r="V846" s="440"/>
      <c r="W846" s="440"/>
      <c r="X846" s="440"/>
      <c r="Y846" s="108"/>
      <c r="Z846" s="108"/>
    </row>
    <row r="847" ht="18.75" customHeight="1">
      <c r="A847" s="437"/>
      <c r="B847" s="438"/>
      <c r="C847" s="438"/>
      <c r="D847" s="438"/>
      <c r="E847" s="438"/>
      <c r="F847" s="438"/>
      <c r="G847" s="438"/>
      <c r="H847" s="108"/>
      <c r="I847" s="108"/>
      <c r="J847" s="440"/>
      <c r="K847" s="440"/>
      <c r="L847" s="440"/>
      <c r="M847" s="440"/>
      <c r="N847" s="440"/>
      <c r="O847" s="440"/>
      <c r="P847" s="440"/>
      <c r="Q847" s="440"/>
      <c r="R847" s="108"/>
      <c r="S847" s="440"/>
      <c r="T847" s="440"/>
      <c r="U847" s="440"/>
      <c r="V847" s="440"/>
      <c r="W847" s="440"/>
      <c r="X847" s="440"/>
      <c r="Y847" s="108"/>
      <c r="Z847" s="108"/>
    </row>
    <row r="848" ht="18.75" customHeight="1">
      <c r="A848" s="437"/>
      <c r="B848" s="438"/>
      <c r="C848" s="438"/>
      <c r="D848" s="438"/>
      <c r="E848" s="438"/>
      <c r="F848" s="438"/>
      <c r="G848" s="438"/>
      <c r="H848" s="108"/>
      <c r="I848" s="108"/>
      <c r="J848" s="440"/>
      <c r="K848" s="440"/>
      <c r="L848" s="440"/>
      <c r="M848" s="440"/>
      <c r="N848" s="440"/>
      <c r="O848" s="440"/>
      <c r="P848" s="440"/>
      <c r="Q848" s="440"/>
      <c r="R848" s="108"/>
      <c r="S848" s="440"/>
      <c r="T848" s="440"/>
      <c r="U848" s="440"/>
      <c r="V848" s="440"/>
      <c r="W848" s="440"/>
      <c r="X848" s="440"/>
      <c r="Y848" s="108"/>
      <c r="Z848" s="108"/>
    </row>
    <row r="849" ht="18.75" customHeight="1">
      <c r="A849" s="437"/>
      <c r="B849" s="438"/>
      <c r="C849" s="438"/>
      <c r="D849" s="438"/>
      <c r="E849" s="438"/>
      <c r="F849" s="438"/>
      <c r="G849" s="438"/>
      <c r="H849" s="108"/>
      <c r="I849" s="108"/>
      <c r="J849" s="440"/>
      <c r="K849" s="440"/>
      <c r="L849" s="440"/>
      <c r="M849" s="440"/>
      <c r="N849" s="440"/>
      <c r="O849" s="440"/>
      <c r="P849" s="440"/>
      <c r="Q849" s="440"/>
      <c r="R849" s="108"/>
      <c r="S849" s="440"/>
      <c r="T849" s="440"/>
      <c r="U849" s="440"/>
      <c r="V849" s="440"/>
      <c r="W849" s="440"/>
      <c r="X849" s="440"/>
      <c r="Y849" s="108"/>
      <c r="Z849" s="108"/>
    </row>
    <row r="850" ht="18.75" customHeight="1">
      <c r="A850" s="437"/>
      <c r="B850" s="438"/>
      <c r="C850" s="438"/>
      <c r="D850" s="438"/>
      <c r="E850" s="438"/>
      <c r="F850" s="438"/>
      <c r="G850" s="438"/>
      <c r="H850" s="108"/>
      <c r="I850" s="108"/>
      <c r="J850" s="440"/>
      <c r="K850" s="440"/>
      <c r="L850" s="440"/>
      <c r="M850" s="440"/>
      <c r="N850" s="440"/>
      <c r="O850" s="440"/>
      <c r="P850" s="440"/>
      <c r="Q850" s="440"/>
      <c r="R850" s="108"/>
      <c r="S850" s="440"/>
      <c r="T850" s="440"/>
      <c r="U850" s="440"/>
      <c r="V850" s="440"/>
      <c r="W850" s="440"/>
      <c r="X850" s="440"/>
      <c r="Y850" s="108"/>
      <c r="Z850" s="108"/>
    </row>
    <row r="851" ht="18.75" customHeight="1">
      <c r="A851" s="437"/>
      <c r="B851" s="438"/>
      <c r="C851" s="438"/>
      <c r="D851" s="438"/>
      <c r="E851" s="438"/>
      <c r="F851" s="438"/>
      <c r="G851" s="438"/>
      <c r="H851" s="108"/>
      <c r="I851" s="108"/>
      <c r="J851" s="440"/>
      <c r="K851" s="440"/>
      <c r="L851" s="440"/>
      <c r="M851" s="440"/>
      <c r="N851" s="440"/>
      <c r="O851" s="440"/>
      <c r="P851" s="440"/>
      <c r="Q851" s="440"/>
      <c r="R851" s="108"/>
      <c r="S851" s="440"/>
      <c r="T851" s="440"/>
      <c r="U851" s="440"/>
      <c r="V851" s="440"/>
      <c r="W851" s="440"/>
      <c r="X851" s="440"/>
      <c r="Y851" s="108"/>
      <c r="Z851" s="108"/>
    </row>
    <row r="852" ht="18.75" customHeight="1">
      <c r="A852" s="437"/>
      <c r="B852" s="438"/>
      <c r="C852" s="438"/>
      <c r="D852" s="438"/>
      <c r="E852" s="438"/>
      <c r="F852" s="438"/>
      <c r="G852" s="438"/>
      <c r="H852" s="108"/>
      <c r="I852" s="108"/>
      <c r="J852" s="440"/>
      <c r="K852" s="440"/>
      <c r="L852" s="440"/>
      <c r="M852" s="440"/>
      <c r="N852" s="440"/>
      <c r="O852" s="440"/>
      <c r="P852" s="440"/>
      <c r="Q852" s="440"/>
      <c r="R852" s="108"/>
      <c r="S852" s="440"/>
      <c r="T852" s="440"/>
      <c r="U852" s="440"/>
      <c r="V852" s="440"/>
      <c r="W852" s="440"/>
      <c r="X852" s="440"/>
      <c r="Y852" s="108"/>
      <c r="Z852" s="108"/>
    </row>
    <row r="853" ht="18.75" customHeight="1">
      <c r="A853" s="437"/>
      <c r="B853" s="438"/>
      <c r="C853" s="438"/>
      <c r="D853" s="438"/>
      <c r="E853" s="438"/>
      <c r="F853" s="438"/>
      <c r="G853" s="438"/>
      <c r="H853" s="108"/>
      <c r="I853" s="108"/>
      <c r="J853" s="440"/>
      <c r="K853" s="440"/>
      <c r="L853" s="440"/>
      <c r="M853" s="440"/>
      <c r="N853" s="440"/>
      <c r="O853" s="440"/>
      <c r="P853" s="440"/>
      <c r="Q853" s="440"/>
      <c r="R853" s="108"/>
      <c r="S853" s="440"/>
      <c r="T853" s="440"/>
      <c r="U853" s="440"/>
      <c r="V853" s="440"/>
      <c r="W853" s="440"/>
      <c r="X853" s="440"/>
      <c r="Y853" s="108"/>
      <c r="Z853" s="108"/>
    </row>
    <row r="854" ht="18.75" customHeight="1">
      <c r="A854" s="437"/>
      <c r="B854" s="438"/>
      <c r="C854" s="438"/>
      <c r="D854" s="438"/>
      <c r="E854" s="438"/>
      <c r="F854" s="438"/>
      <c r="G854" s="438"/>
      <c r="H854" s="108"/>
      <c r="I854" s="108"/>
      <c r="J854" s="440"/>
      <c r="K854" s="440"/>
      <c r="L854" s="440"/>
      <c r="M854" s="440"/>
      <c r="N854" s="440"/>
      <c r="O854" s="440"/>
      <c r="P854" s="440"/>
      <c r="Q854" s="440"/>
      <c r="R854" s="108"/>
      <c r="S854" s="440"/>
      <c r="T854" s="440"/>
      <c r="U854" s="440"/>
      <c r="V854" s="440"/>
      <c r="W854" s="440"/>
      <c r="X854" s="440"/>
      <c r="Y854" s="108"/>
      <c r="Z854" s="108"/>
    </row>
    <row r="855" ht="18.75" customHeight="1">
      <c r="A855" s="437"/>
      <c r="B855" s="438"/>
      <c r="C855" s="438"/>
      <c r="D855" s="438"/>
      <c r="E855" s="438"/>
      <c r="F855" s="438"/>
      <c r="G855" s="438"/>
      <c r="H855" s="108"/>
      <c r="I855" s="108"/>
      <c r="J855" s="440"/>
      <c r="K855" s="440"/>
      <c r="L855" s="440"/>
      <c r="M855" s="440"/>
      <c r="N855" s="440"/>
      <c r="O855" s="440"/>
      <c r="P855" s="440"/>
      <c r="Q855" s="440"/>
      <c r="R855" s="108"/>
      <c r="S855" s="440"/>
      <c r="T855" s="440"/>
      <c r="U855" s="440"/>
      <c r="V855" s="440"/>
      <c r="W855" s="440"/>
      <c r="X855" s="440"/>
      <c r="Y855" s="108"/>
      <c r="Z855" s="108"/>
    </row>
    <row r="856" ht="18.75" customHeight="1">
      <c r="A856" s="437"/>
      <c r="B856" s="438"/>
      <c r="C856" s="438"/>
      <c r="D856" s="438"/>
      <c r="E856" s="438"/>
      <c r="F856" s="438"/>
      <c r="G856" s="438"/>
      <c r="H856" s="108"/>
      <c r="I856" s="108"/>
      <c r="J856" s="440"/>
      <c r="K856" s="440"/>
      <c r="L856" s="440"/>
      <c r="M856" s="440"/>
      <c r="N856" s="440"/>
      <c r="O856" s="440"/>
      <c r="P856" s="440"/>
      <c r="Q856" s="440"/>
      <c r="R856" s="108"/>
      <c r="S856" s="440"/>
      <c r="T856" s="440"/>
      <c r="U856" s="440"/>
      <c r="V856" s="440"/>
      <c r="W856" s="440"/>
      <c r="X856" s="440"/>
      <c r="Y856" s="108"/>
      <c r="Z856" s="108"/>
    </row>
    <row r="857" ht="18.75" customHeight="1">
      <c r="A857" s="437"/>
      <c r="B857" s="438"/>
      <c r="C857" s="438"/>
      <c r="D857" s="438"/>
      <c r="E857" s="438"/>
      <c r="F857" s="438"/>
      <c r="G857" s="438"/>
      <c r="H857" s="108"/>
      <c r="I857" s="108"/>
      <c r="J857" s="440"/>
      <c r="K857" s="440"/>
      <c r="L857" s="440"/>
      <c r="M857" s="440"/>
      <c r="N857" s="440"/>
      <c r="O857" s="440"/>
      <c r="P857" s="440"/>
      <c r="Q857" s="440"/>
      <c r="R857" s="108"/>
      <c r="S857" s="440"/>
      <c r="T857" s="440"/>
      <c r="U857" s="440"/>
      <c r="V857" s="440"/>
      <c r="W857" s="440"/>
      <c r="X857" s="440"/>
      <c r="Y857" s="108"/>
      <c r="Z857" s="108"/>
    </row>
    <row r="858" ht="18.75" customHeight="1">
      <c r="A858" s="437"/>
      <c r="B858" s="438"/>
      <c r="C858" s="438"/>
      <c r="D858" s="438"/>
      <c r="E858" s="438"/>
      <c r="F858" s="438"/>
      <c r="G858" s="438"/>
      <c r="H858" s="108"/>
      <c r="I858" s="108"/>
      <c r="J858" s="440"/>
      <c r="K858" s="440"/>
      <c r="L858" s="440"/>
      <c r="M858" s="440"/>
      <c r="N858" s="440"/>
      <c r="O858" s="440"/>
      <c r="P858" s="440"/>
      <c r="Q858" s="440"/>
      <c r="R858" s="108"/>
      <c r="S858" s="440"/>
      <c r="T858" s="440"/>
      <c r="U858" s="440"/>
      <c r="V858" s="440"/>
      <c r="W858" s="440"/>
      <c r="X858" s="440"/>
      <c r="Y858" s="108"/>
      <c r="Z858" s="108"/>
    </row>
    <row r="859" ht="18.75" customHeight="1">
      <c r="A859" s="437"/>
      <c r="B859" s="438"/>
      <c r="C859" s="438"/>
      <c r="D859" s="438"/>
      <c r="E859" s="438"/>
      <c r="F859" s="438"/>
      <c r="G859" s="438"/>
      <c r="H859" s="108"/>
      <c r="I859" s="108"/>
      <c r="J859" s="440"/>
      <c r="K859" s="440"/>
      <c r="L859" s="440"/>
      <c r="M859" s="440"/>
      <c r="N859" s="440"/>
      <c r="O859" s="440"/>
      <c r="P859" s="440"/>
      <c r="Q859" s="440"/>
      <c r="R859" s="108"/>
      <c r="S859" s="440"/>
      <c r="T859" s="440"/>
      <c r="U859" s="440"/>
      <c r="V859" s="440"/>
      <c r="W859" s="440"/>
      <c r="X859" s="440"/>
      <c r="Y859" s="108"/>
      <c r="Z859" s="108"/>
    </row>
    <row r="860" ht="18.75" customHeight="1">
      <c r="A860" s="437"/>
      <c r="B860" s="438"/>
      <c r="C860" s="438"/>
      <c r="D860" s="438"/>
      <c r="E860" s="438"/>
      <c r="F860" s="438"/>
      <c r="G860" s="438"/>
      <c r="H860" s="108"/>
      <c r="I860" s="108"/>
      <c r="J860" s="440"/>
      <c r="K860" s="440"/>
      <c r="L860" s="440"/>
      <c r="M860" s="440"/>
      <c r="N860" s="440"/>
      <c r="O860" s="440"/>
      <c r="P860" s="440"/>
      <c r="Q860" s="440"/>
      <c r="R860" s="108"/>
      <c r="S860" s="440"/>
      <c r="T860" s="440"/>
      <c r="U860" s="440"/>
      <c r="V860" s="440"/>
      <c r="W860" s="440"/>
      <c r="X860" s="440"/>
      <c r="Y860" s="108"/>
      <c r="Z860" s="108"/>
    </row>
    <row r="861" ht="18.75" customHeight="1">
      <c r="A861" s="437"/>
      <c r="B861" s="438"/>
      <c r="C861" s="438"/>
      <c r="D861" s="438"/>
      <c r="E861" s="438"/>
      <c r="F861" s="438"/>
      <c r="G861" s="438"/>
      <c r="H861" s="108"/>
      <c r="I861" s="108"/>
      <c r="J861" s="440"/>
      <c r="K861" s="440"/>
      <c r="L861" s="440"/>
      <c r="M861" s="440"/>
      <c r="N861" s="440"/>
      <c r="O861" s="440"/>
      <c r="P861" s="440"/>
      <c r="Q861" s="440"/>
      <c r="R861" s="108"/>
      <c r="S861" s="440"/>
      <c r="T861" s="440"/>
      <c r="U861" s="440"/>
      <c r="V861" s="440"/>
      <c r="W861" s="440"/>
      <c r="X861" s="440"/>
      <c r="Y861" s="108"/>
      <c r="Z861" s="108"/>
    </row>
    <row r="862" ht="18.75" customHeight="1">
      <c r="A862" s="437"/>
      <c r="B862" s="438"/>
      <c r="C862" s="438"/>
      <c r="D862" s="438"/>
      <c r="E862" s="438"/>
      <c r="F862" s="438"/>
      <c r="G862" s="438"/>
      <c r="H862" s="108"/>
      <c r="I862" s="108"/>
      <c r="J862" s="440"/>
      <c r="K862" s="440"/>
      <c r="L862" s="440"/>
      <c r="M862" s="440"/>
      <c r="N862" s="440"/>
      <c r="O862" s="440"/>
      <c r="P862" s="440"/>
      <c r="Q862" s="440"/>
      <c r="R862" s="108"/>
      <c r="S862" s="440"/>
      <c r="T862" s="440"/>
      <c r="U862" s="440"/>
      <c r="V862" s="440"/>
      <c r="W862" s="440"/>
      <c r="X862" s="440"/>
      <c r="Y862" s="108"/>
      <c r="Z862" s="108"/>
    </row>
    <row r="863" ht="18.75" customHeight="1">
      <c r="A863" s="437"/>
      <c r="B863" s="438"/>
      <c r="C863" s="438"/>
      <c r="D863" s="438"/>
      <c r="E863" s="438"/>
      <c r="F863" s="438"/>
      <c r="G863" s="438"/>
      <c r="H863" s="108"/>
      <c r="I863" s="108"/>
      <c r="J863" s="440"/>
      <c r="K863" s="440"/>
      <c r="L863" s="440"/>
      <c r="M863" s="440"/>
      <c r="N863" s="440"/>
      <c r="O863" s="440"/>
      <c r="P863" s="440"/>
      <c r="Q863" s="440"/>
      <c r="R863" s="108"/>
      <c r="S863" s="440"/>
      <c r="T863" s="440"/>
      <c r="U863" s="440"/>
      <c r="V863" s="440"/>
      <c r="W863" s="440"/>
      <c r="X863" s="440"/>
      <c r="Y863" s="108"/>
      <c r="Z863" s="108"/>
    </row>
    <row r="864" ht="18.75" customHeight="1">
      <c r="A864" s="437"/>
      <c r="B864" s="438"/>
      <c r="C864" s="438"/>
      <c r="D864" s="438"/>
      <c r="E864" s="438"/>
      <c r="F864" s="438"/>
      <c r="G864" s="438"/>
      <c r="H864" s="108"/>
      <c r="I864" s="108"/>
      <c r="J864" s="440"/>
      <c r="K864" s="440"/>
      <c r="L864" s="440"/>
      <c r="M864" s="440"/>
      <c r="N864" s="440"/>
      <c r="O864" s="440"/>
      <c r="P864" s="440"/>
      <c r="Q864" s="440"/>
      <c r="R864" s="108"/>
      <c r="S864" s="440"/>
      <c r="T864" s="440"/>
      <c r="U864" s="440"/>
      <c r="V864" s="440"/>
      <c r="W864" s="440"/>
      <c r="X864" s="440"/>
      <c r="Y864" s="108"/>
      <c r="Z864" s="108"/>
    </row>
    <row r="865" ht="18.75" customHeight="1">
      <c r="A865" s="437"/>
      <c r="B865" s="438"/>
      <c r="C865" s="438"/>
      <c r="D865" s="438"/>
      <c r="E865" s="438"/>
      <c r="F865" s="438"/>
      <c r="G865" s="438"/>
      <c r="H865" s="108"/>
      <c r="I865" s="108"/>
      <c r="J865" s="440"/>
      <c r="K865" s="440"/>
      <c r="L865" s="440"/>
      <c r="M865" s="440"/>
      <c r="N865" s="440"/>
      <c r="O865" s="440"/>
      <c r="P865" s="440"/>
      <c r="Q865" s="440"/>
      <c r="R865" s="108"/>
      <c r="S865" s="440"/>
      <c r="T865" s="440"/>
      <c r="U865" s="440"/>
      <c r="V865" s="440"/>
      <c r="W865" s="440"/>
      <c r="X865" s="440"/>
      <c r="Y865" s="108"/>
      <c r="Z865" s="108"/>
    </row>
    <row r="866" ht="18.75" customHeight="1">
      <c r="A866" s="437"/>
      <c r="B866" s="438"/>
      <c r="C866" s="438"/>
      <c r="D866" s="438"/>
      <c r="E866" s="438"/>
      <c r="F866" s="438"/>
      <c r="G866" s="438"/>
      <c r="H866" s="108"/>
      <c r="I866" s="108"/>
      <c r="J866" s="440"/>
      <c r="K866" s="440"/>
      <c r="L866" s="440"/>
      <c r="M866" s="440"/>
      <c r="N866" s="440"/>
      <c r="O866" s="440"/>
      <c r="P866" s="440"/>
      <c r="Q866" s="440"/>
      <c r="R866" s="108"/>
      <c r="S866" s="440"/>
      <c r="T866" s="440"/>
      <c r="U866" s="440"/>
      <c r="V866" s="440"/>
      <c r="W866" s="440"/>
      <c r="X866" s="440"/>
      <c r="Y866" s="108"/>
      <c r="Z866" s="108"/>
    </row>
    <row r="867" ht="18.75" customHeight="1">
      <c r="A867" s="437"/>
      <c r="B867" s="438"/>
      <c r="C867" s="438"/>
      <c r="D867" s="438"/>
      <c r="E867" s="438"/>
      <c r="F867" s="438"/>
      <c r="G867" s="438"/>
      <c r="H867" s="108"/>
      <c r="I867" s="108"/>
      <c r="J867" s="440"/>
      <c r="K867" s="440"/>
      <c r="L867" s="440"/>
      <c r="M867" s="440"/>
      <c r="N867" s="440"/>
      <c r="O867" s="440"/>
      <c r="P867" s="440"/>
      <c r="Q867" s="440"/>
      <c r="R867" s="108"/>
      <c r="S867" s="440"/>
      <c r="T867" s="440"/>
      <c r="U867" s="440"/>
      <c r="V867" s="440"/>
      <c r="W867" s="440"/>
      <c r="X867" s="440"/>
      <c r="Y867" s="108"/>
      <c r="Z867" s="108"/>
    </row>
    <row r="868" ht="18.75" customHeight="1">
      <c r="A868" s="437"/>
      <c r="B868" s="438"/>
      <c r="C868" s="438"/>
      <c r="D868" s="438"/>
      <c r="E868" s="438"/>
      <c r="F868" s="438"/>
      <c r="G868" s="438"/>
      <c r="H868" s="108"/>
      <c r="I868" s="108"/>
      <c r="J868" s="440"/>
      <c r="K868" s="440"/>
      <c r="L868" s="440"/>
      <c r="M868" s="440"/>
      <c r="N868" s="440"/>
      <c r="O868" s="440"/>
      <c r="P868" s="440"/>
      <c r="Q868" s="440"/>
      <c r="R868" s="108"/>
      <c r="S868" s="440"/>
      <c r="T868" s="440"/>
      <c r="U868" s="440"/>
      <c r="V868" s="440"/>
      <c r="W868" s="440"/>
      <c r="X868" s="440"/>
      <c r="Y868" s="108"/>
      <c r="Z868" s="108"/>
    </row>
    <row r="869" ht="18.75" customHeight="1">
      <c r="A869" s="437"/>
      <c r="B869" s="438"/>
      <c r="C869" s="438"/>
      <c r="D869" s="438"/>
      <c r="E869" s="438"/>
      <c r="F869" s="438"/>
      <c r="G869" s="438"/>
      <c r="H869" s="108"/>
      <c r="I869" s="108"/>
      <c r="J869" s="440"/>
      <c r="K869" s="440"/>
      <c r="L869" s="440"/>
      <c r="M869" s="440"/>
      <c r="N869" s="440"/>
      <c r="O869" s="440"/>
      <c r="P869" s="440"/>
      <c r="Q869" s="440"/>
      <c r="R869" s="108"/>
      <c r="S869" s="440"/>
      <c r="T869" s="440"/>
      <c r="U869" s="440"/>
      <c r="V869" s="440"/>
      <c r="W869" s="440"/>
      <c r="X869" s="440"/>
      <c r="Y869" s="108"/>
      <c r="Z869" s="108"/>
    </row>
    <row r="870" ht="18.75" customHeight="1">
      <c r="A870" s="437"/>
      <c r="B870" s="438"/>
      <c r="C870" s="438"/>
      <c r="D870" s="438"/>
      <c r="E870" s="438"/>
      <c r="F870" s="438"/>
      <c r="G870" s="438"/>
      <c r="H870" s="108"/>
      <c r="I870" s="108"/>
      <c r="J870" s="440"/>
      <c r="K870" s="440"/>
      <c r="L870" s="440"/>
      <c r="M870" s="440"/>
      <c r="N870" s="440"/>
      <c r="O870" s="440"/>
      <c r="P870" s="440"/>
      <c r="Q870" s="440"/>
      <c r="R870" s="108"/>
      <c r="S870" s="440"/>
      <c r="T870" s="440"/>
      <c r="U870" s="440"/>
      <c r="V870" s="440"/>
      <c r="W870" s="440"/>
      <c r="X870" s="440"/>
      <c r="Y870" s="108"/>
      <c r="Z870" s="108"/>
    </row>
    <row r="871" ht="18.75" customHeight="1">
      <c r="A871" s="437"/>
      <c r="B871" s="438"/>
      <c r="C871" s="438"/>
      <c r="D871" s="438"/>
      <c r="E871" s="438"/>
      <c r="F871" s="438"/>
      <c r="G871" s="438"/>
      <c r="H871" s="108"/>
      <c r="I871" s="108"/>
      <c r="J871" s="440"/>
      <c r="K871" s="440"/>
      <c r="L871" s="440"/>
      <c r="M871" s="440"/>
      <c r="N871" s="440"/>
      <c r="O871" s="440"/>
      <c r="P871" s="440"/>
      <c r="Q871" s="440"/>
      <c r="R871" s="108"/>
      <c r="S871" s="440"/>
      <c r="T871" s="440"/>
      <c r="U871" s="440"/>
      <c r="V871" s="440"/>
      <c r="W871" s="440"/>
      <c r="X871" s="440"/>
      <c r="Y871" s="108"/>
      <c r="Z871" s="108"/>
    </row>
    <row r="872" ht="18.75" customHeight="1">
      <c r="A872" s="437"/>
      <c r="B872" s="438"/>
      <c r="C872" s="438"/>
      <c r="D872" s="438"/>
      <c r="E872" s="438"/>
      <c r="F872" s="438"/>
      <c r="G872" s="438"/>
      <c r="H872" s="108"/>
      <c r="I872" s="108"/>
      <c r="J872" s="440"/>
      <c r="K872" s="440"/>
      <c r="L872" s="440"/>
      <c r="M872" s="440"/>
      <c r="N872" s="440"/>
      <c r="O872" s="440"/>
      <c r="P872" s="440"/>
      <c r="Q872" s="440"/>
      <c r="R872" s="108"/>
      <c r="S872" s="440"/>
      <c r="T872" s="440"/>
      <c r="U872" s="440"/>
      <c r="V872" s="440"/>
      <c r="W872" s="440"/>
      <c r="X872" s="440"/>
      <c r="Y872" s="108"/>
      <c r="Z872" s="108"/>
    </row>
    <row r="873" ht="18.75" customHeight="1">
      <c r="A873" s="437"/>
      <c r="B873" s="438"/>
      <c r="C873" s="438"/>
      <c r="D873" s="438"/>
      <c r="E873" s="438"/>
      <c r="F873" s="438"/>
      <c r="G873" s="438"/>
      <c r="H873" s="108"/>
      <c r="I873" s="108"/>
      <c r="J873" s="440"/>
      <c r="K873" s="440"/>
      <c r="L873" s="440"/>
      <c r="M873" s="440"/>
      <c r="N873" s="440"/>
      <c r="O873" s="440"/>
      <c r="P873" s="440"/>
      <c r="Q873" s="440"/>
      <c r="R873" s="108"/>
      <c r="S873" s="440"/>
      <c r="T873" s="440"/>
      <c r="U873" s="440"/>
      <c r="V873" s="440"/>
      <c r="W873" s="440"/>
      <c r="X873" s="440"/>
      <c r="Y873" s="108"/>
      <c r="Z873" s="108"/>
    </row>
    <row r="874" ht="18.75" customHeight="1">
      <c r="A874" s="437"/>
      <c r="B874" s="438"/>
      <c r="C874" s="438"/>
      <c r="D874" s="438"/>
      <c r="E874" s="438"/>
      <c r="F874" s="438"/>
      <c r="G874" s="438"/>
      <c r="H874" s="108"/>
      <c r="I874" s="108"/>
      <c r="J874" s="440"/>
      <c r="K874" s="440"/>
      <c r="L874" s="440"/>
      <c r="M874" s="440"/>
      <c r="N874" s="440"/>
      <c r="O874" s="440"/>
      <c r="P874" s="440"/>
      <c r="Q874" s="440"/>
      <c r="R874" s="108"/>
      <c r="S874" s="440"/>
      <c r="T874" s="440"/>
      <c r="U874" s="440"/>
      <c r="V874" s="440"/>
      <c r="W874" s="440"/>
      <c r="X874" s="440"/>
      <c r="Y874" s="108"/>
      <c r="Z874" s="108"/>
    </row>
    <row r="875" ht="18.75" customHeight="1">
      <c r="A875" s="437"/>
      <c r="B875" s="438"/>
      <c r="C875" s="438"/>
      <c r="D875" s="438"/>
      <c r="E875" s="438"/>
      <c r="F875" s="438"/>
      <c r="G875" s="438"/>
      <c r="H875" s="108"/>
      <c r="I875" s="108"/>
      <c r="J875" s="440"/>
      <c r="K875" s="440"/>
      <c r="L875" s="440"/>
      <c r="M875" s="440"/>
      <c r="N875" s="440"/>
      <c r="O875" s="440"/>
      <c r="P875" s="440"/>
      <c r="Q875" s="440"/>
      <c r="R875" s="108"/>
      <c r="S875" s="440"/>
      <c r="T875" s="440"/>
      <c r="U875" s="440"/>
      <c r="V875" s="440"/>
      <c r="W875" s="440"/>
      <c r="X875" s="440"/>
      <c r="Y875" s="108"/>
      <c r="Z875" s="108"/>
    </row>
    <row r="876" ht="18.75" customHeight="1">
      <c r="A876" s="437"/>
      <c r="B876" s="438"/>
      <c r="C876" s="438"/>
      <c r="D876" s="438"/>
      <c r="E876" s="438"/>
      <c r="F876" s="438"/>
      <c r="G876" s="438"/>
      <c r="H876" s="108"/>
      <c r="I876" s="108"/>
      <c r="J876" s="440"/>
      <c r="K876" s="440"/>
      <c r="L876" s="440"/>
      <c r="M876" s="440"/>
      <c r="N876" s="440"/>
      <c r="O876" s="440"/>
      <c r="P876" s="440"/>
      <c r="Q876" s="440"/>
      <c r="R876" s="108"/>
      <c r="S876" s="440"/>
      <c r="T876" s="440"/>
      <c r="U876" s="440"/>
      <c r="V876" s="440"/>
      <c r="W876" s="440"/>
      <c r="X876" s="440"/>
      <c r="Y876" s="108"/>
      <c r="Z876" s="108"/>
    </row>
    <row r="877" ht="18.75" customHeight="1">
      <c r="A877" s="437"/>
      <c r="B877" s="438"/>
      <c r="C877" s="438"/>
      <c r="D877" s="438"/>
      <c r="E877" s="438"/>
      <c r="F877" s="438"/>
      <c r="G877" s="438"/>
      <c r="H877" s="108"/>
      <c r="I877" s="108"/>
      <c r="J877" s="440"/>
      <c r="K877" s="440"/>
      <c r="L877" s="440"/>
      <c r="M877" s="440"/>
      <c r="N877" s="440"/>
      <c r="O877" s="440"/>
      <c r="P877" s="440"/>
      <c r="Q877" s="440"/>
      <c r="R877" s="108"/>
      <c r="S877" s="440"/>
      <c r="T877" s="440"/>
      <c r="U877" s="440"/>
      <c r="V877" s="440"/>
      <c r="W877" s="440"/>
      <c r="X877" s="440"/>
      <c r="Y877" s="108"/>
      <c r="Z877" s="108"/>
    </row>
    <row r="878" ht="18.75" customHeight="1">
      <c r="A878" s="437"/>
      <c r="B878" s="438"/>
      <c r="C878" s="438"/>
      <c r="D878" s="438"/>
      <c r="E878" s="438"/>
      <c r="F878" s="438"/>
      <c r="G878" s="438"/>
      <c r="H878" s="108"/>
      <c r="I878" s="108"/>
      <c r="J878" s="440"/>
      <c r="K878" s="440"/>
      <c r="L878" s="440"/>
      <c r="M878" s="440"/>
      <c r="N878" s="440"/>
      <c r="O878" s="440"/>
      <c r="P878" s="440"/>
      <c r="Q878" s="440"/>
      <c r="R878" s="108"/>
      <c r="S878" s="440"/>
      <c r="T878" s="440"/>
      <c r="U878" s="440"/>
      <c r="V878" s="440"/>
      <c r="W878" s="440"/>
      <c r="X878" s="440"/>
      <c r="Y878" s="108"/>
      <c r="Z878" s="108"/>
    </row>
    <row r="879" ht="18.75" customHeight="1">
      <c r="A879" s="437"/>
      <c r="B879" s="438"/>
      <c r="C879" s="438"/>
      <c r="D879" s="438"/>
      <c r="E879" s="438"/>
      <c r="F879" s="438"/>
      <c r="G879" s="438"/>
      <c r="H879" s="108"/>
      <c r="I879" s="108"/>
      <c r="J879" s="440"/>
      <c r="K879" s="440"/>
      <c r="L879" s="440"/>
      <c r="M879" s="440"/>
      <c r="N879" s="440"/>
      <c r="O879" s="440"/>
      <c r="P879" s="440"/>
      <c r="Q879" s="440"/>
      <c r="R879" s="108"/>
      <c r="S879" s="440"/>
      <c r="T879" s="440"/>
      <c r="U879" s="440"/>
      <c r="V879" s="440"/>
      <c r="W879" s="440"/>
      <c r="X879" s="440"/>
      <c r="Y879" s="108"/>
      <c r="Z879" s="108"/>
    </row>
    <row r="880" ht="18.75" customHeight="1">
      <c r="A880" s="437"/>
      <c r="B880" s="438"/>
      <c r="C880" s="438"/>
      <c r="D880" s="438"/>
      <c r="E880" s="438"/>
      <c r="F880" s="438"/>
      <c r="G880" s="438"/>
      <c r="H880" s="108"/>
      <c r="I880" s="108"/>
      <c r="J880" s="440"/>
      <c r="K880" s="440"/>
      <c r="L880" s="440"/>
      <c r="M880" s="440"/>
      <c r="N880" s="440"/>
      <c r="O880" s="440"/>
      <c r="P880" s="440"/>
      <c r="Q880" s="440"/>
      <c r="R880" s="108"/>
      <c r="S880" s="440"/>
      <c r="T880" s="440"/>
      <c r="U880" s="440"/>
      <c r="V880" s="440"/>
      <c r="W880" s="440"/>
      <c r="X880" s="440"/>
      <c r="Y880" s="108"/>
      <c r="Z880" s="108"/>
    </row>
    <row r="881" ht="18.75" customHeight="1">
      <c r="A881" s="437"/>
      <c r="B881" s="438"/>
      <c r="C881" s="438"/>
      <c r="D881" s="438"/>
      <c r="E881" s="438"/>
      <c r="F881" s="438"/>
      <c r="G881" s="438"/>
      <c r="H881" s="108"/>
      <c r="I881" s="108"/>
      <c r="J881" s="440"/>
      <c r="K881" s="440"/>
      <c r="L881" s="440"/>
      <c r="M881" s="440"/>
      <c r="N881" s="440"/>
      <c r="O881" s="440"/>
      <c r="P881" s="440"/>
      <c r="Q881" s="440"/>
      <c r="R881" s="108"/>
      <c r="S881" s="440"/>
      <c r="T881" s="440"/>
      <c r="U881" s="440"/>
      <c r="V881" s="440"/>
      <c r="W881" s="440"/>
      <c r="X881" s="440"/>
      <c r="Y881" s="108"/>
      <c r="Z881" s="108"/>
    </row>
    <row r="882" ht="18.75" customHeight="1">
      <c r="A882" s="437"/>
      <c r="B882" s="438"/>
      <c r="C882" s="438"/>
      <c r="D882" s="438"/>
      <c r="E882" s="438"/>
      <c r="F882" s="438"/>
      <c r="G882" s="438"/>
      <c r="H882" s="108"/>
      <c r="I882" s="108"/>
      <c r="J882" s="440"/>
      <c r="K882" s="440"/>
      <c r="L882" s="440"/>
      <c r="M882" s="440"/>
      <c r="N882" s="440"/>
      <c r="O882" s="440"/>
      <c r="P882" s="440"/>
      <c r="Q882" s="440"/>
      <c r="R882" s="108"/>
      <c r="S882" s="440"/>
      <c r="T882" s="440"/>
      <c r="U882" s="440"/>
      <c r="V882" s="440"/>
      <c r="W882" s="440"/>
      <c r="X882" s="440"/>
      <c r="Y882" s="108"/>
      <c r="Z882" s="108"/>
    </row>
    <row r="883" ht="18.75" customHeight="1">
      <c r="A883" s="437"/>
      <c r="B883" s="438"/>
      <c r="C883" s="438"/>
      <c r="D883" s="438"/>
      <c r="E883" s="438"/>
      <c r="F883" s="438"/>
      <c r="G883" s="438"/>
      <c r="H883" s="108"/>
      <c r="I883" s="108"/>
      <c r="J883" s="440"/>
      <c r="K883" s="440"/>
      <c r="L883" s="440"/>
      <c r="M883" s="440"/>
      <c r="N883" s="440"/>
      <c r="O883" s="440"/>
      <c r="P883" s="440"/>
      <c r="Q883" s="440"/>
      <c r="R883" s="108"/>
      <c r="S883" s="440"/>
      <c r="T883" s="440"/>
      <c r="U883" s="440"/>
      <c r="V883" s="440"/>
      <c r="W883" s="440"/>
      <c r="X883" s="440"/>
      <c r="Y883" s="108"/>
      <c r="Z883" s="108"/>
    </row>
    <row r="884" ht="18.75" customHeight="1">
      <c r="A884" s="437"/>
      <c r="B884" s="438"/>
      <c r="C884" s="438"/>
      <c r="D884" s="438"/>
      <c r="E884" s="438"/>
      <c r="F884" s="438"/>
      <c r="G884" s="438"/>
      <c r="H884" s="108"/>
      <c r="I884" s="108"/>
      <c r="J884" s="440"/>
      <c r="K884" s="440"/>
      <c r="L884" s="440"/>
      <c r="M884" s="440"/>
      <c r="N884" s="440"/>
      <c r="O884" s="440"/>
      <c r="P884" s="440"/>
      <c r="Q884" s="440"/>
      <c r="R884" s="108"/>
      <c r="S884" s="440"/>
      <c r="T884" s="440"/>
      <c r="U884" s="440"/>
      <c r="V884" s="440"/>
      <c r="W884" s="440"/>
      <c r="X884" s="440"/>
      <c r="Y884" s="108"/>
      <c r="Z884" s="108"/>
    </row>
    <row r="885" ht="18.75" customHeight="1">
      <c r="A885" s="437"/>
      <c r="B885" s="438"/>
      <c r="C885" s="438"/>
      <c r="D885" s="438"/>
      <c r="E885" s="438"/>
      <c r="F885" s="438"/>
      <c r="G885" s="438"/>
      <c r="H885" s="108"/>
      <c r="I885" s="108"/>
      <c r="J885" s="440"/>
      <c r="K885" s="440"/>
      <c r="L885" s="440"/>
      <c r="M885" s="440"/>
      <c r="N885" s="440"/>
      <c r="O885" s="440"/>
      <c r="P885" s="440"/>
      <c r="Q885" s="440"/>
      <c r="R885" s="108"/>
      <c r="S885" s="440"/>
      <c r="T885" s="440"/>
      <c r="U885" s="440"/>
      <c r="V885" s="440"/>
      <c r="W885" s="440"/>
      <c r="X885" s="440"/>
      <c r="Y885" s="108"/>
      <c r="Z885" s="108"/>
    </row>
    <row r="886" ht="18.75" customHeight="1">
      <c r="A886" s="437"/>
      <c r="B886" s="438"/>
      <c r="C886" s="438"/>
      <c r="D886" s="438"/>
      <c r="E886" s="438"/>
      <c r="F886" s="438"/>
      <c r="G886" s="438"/>
      <c r="H886" s="108"/>
      <c r="I886" s="108"/>
      <c r="J886" s="440"/>
      <c r="K886" s="440"/>
      <c r="L886" s="440"/>
      <c r="M886" s="440"/>
      <c r="N886" s="440"/>
      <c r="O886" s="440"/>
      <c r="P886" s="440"/>
      <c r="Q886" s="440"/>
      <c r="R886" s="108"/>
      <c r="S886" s="440"/>
      <c r="T886" s="440"/>
      <c r="U886" s="440"/>
      <c r="V886" s="440"/>
      <c r="W886" s="440"/>
      <c r="X886" s="440"/>
      <c r="Y886" s="108"/>
      <c r="Z886" s="108"/>
    </row>
    <row r="887" ht="18.75" customHeight="1">
      <c r="A887" s="437"/>
      <c r="B887" s="438"/>
      <c r="C887" s="438"/>
      <c r="D887" s="438"/>
      <c r="E887" s="438"/>
      <c r="F887" s="438"/>
      <c r="G887" s="438"/>
      <c r="H887" s="108"/>
      <c r="I887" s="108"/>
      <c r="J887" s="440"/>
      <c r="K887" s="440"/>
      <c r="L887" s="440"/>
      <c r="M887" s="440"/>
      <c r="N887" s="440"/>
      <c r="O887" s="440"/>
      <c r="P887" s="440"/>
      <c r="Q887" s="440"/>
      <c r="R887" s="108"/>
      <c r="S887" s="440"/>
      <c r="T887" s="440"/>
      <c r="U887" s="440"/>
      <c r="V887" s="440"/>
      <c r="W887" s="440"/>
      <c r="X887" s="440"/>
      <c r="Y887" s="108"/>
      <c r="Z887" s="108"/>
    </row>
    <row r="888" ht="18.75" customHeight="1">
      <c r="A888" s="437"/>
      <c r="B888" s="438"/>
      <c r="C888" s="438"/>
      <c r="D888" s="438"/>
      <c r="E888" s="438"/>
      <c r="F888" s="438"/>
      <c r="G888" s="438"/>
      <c r="H888" s="108"/>
      <c r="I888" s="108"/>
      <c r="J888" s="440"/>
      <c r="K888" s="440"/>
      <c r="L888" s="440"/>
      <c r="M888" s="440"/>
      <c r="N888" s="440"/>
      <c r="O888" s="440"/>
      <c r="P888" s="440"/>
      <c r="Q888" s="440"/>
      <c r="R888" s="108"/>
      <c r="S888" s="440"/>
      <c r="T888" s="440"/>
      <c r="U888" s="440"/>
      <c r="V888" s="440"/>
      <c r="W888" s="440"/>
      <c r="X888" s="440"/>
      <c r="Y888" s="108"/>
      <c r="Z888" s="108"/>
    </row>
    <row r="889" ht="18.75" customHeight="1">
      <c r="A889" s="437"/>
      <c r="B889" s="438"/>
      <c r="C889" s="438"/>
      <c r="D889" s="438"/>
      <c r="E889" s="438"/>
      <c r="F889" s="438"/>
      <c r="G889" s="438"/>
      <c r="H889" s="108"/>
      <c r="I889" s="108"/>
      <c r="J889" s="440"/>
      <c r="K889" s="440"/>
      <c r="L889" s="440"/>
      <c r="M889" s="440"/>
      <c r="N889" s="440"/>
      <c r="O889" s="440"/>
      <c r="P889" s="440"/>
      <c r="Q889" s="440"/>
      <c r="R889" s="108"/>
      <c r="S889" s="440"/>
      <c r="T889" s="440"/>
      <c r="U889" s="440"/>
      <c r="V889" s="440"/>
      <c r="W889" s="440"/>
      <c r="X889" s="440"/>
      <c r="Y889" s="108"/>
      <c r="Z889" s="108"/>
    </row>
    <row r="890" ht="18.75" customHeight="1">
      <c r="A890" s="437"/>
      <c r="B890" s="438"/>
      <c r="C890" s="438"/>
      <c r="D890" s="438"/>
      <c r="E890" s="438"/>
      <c r="F890" s="438"/>
      <c r="G890" s="438"/>
      <c r="H890" s="108"/>
      <c r="I890" s="108"/>
      <c r="J890" s="440"/>
      <c r="K890" s="440"/>
      <c r="L890" s="440"/>
      <c r="M890" s="440"/>
      <c r="N890" s="440"/>
      <c r="O890" s="440"/>
      <c r="P890" s="440"/>
      <c r="Q890" s="440"/>
      <c r="R890" s="108"/>
      <c r="S890" s="440"/>
      <c r="T890" s="440"/>
      <c r="U890" s="440"/>
      <c r="V890" s="440"/>
      <c r="W890" s="440"/>
      <c r="X890" s="440"/>
      <c r="Y890" s="108"/>
      <c r="Z890" s="108"/>
    </row>
    <row r="891" ht="18.75" customHeight="1">
      <c r="A891" s="437"/>
      <c r="B891" s="438"/>
      <c r="C891" s="438"/>
      <c r="D891" s="438"/>
      <c r="E891" s="438"/>
      <c r="F891" s="438"/>
      <c r="G891" s="438"/>
      <c r="H891" s="108"/>
      <c r="I891" s="108"/>
      <c r="J891" s="440"/>
      <c r="K891" s="440"/>
      <c r="L891" s="440"/>
      <c r="M891" s="440"/>
      <c r="N891" s="440"/>
      <c r="O891" s="440"/>
      <c r="P891" s="440"/>
      <c r="Q891" s="440"/>
      <c r="R891" s="108"/>
      <c r="S891" s="440"/>
      <c r="T891" s="440"/>
      <c r="U891" s="440"/>
      <c r="V891" s="440"/>
      <c r="W891" s="440"/>
      <c r="X891" s="440"/>
      <c r="Y891" s="108"/>
      <c r="Z891" s="108"/>
    </row>
    <row r="892" ht="18.75" customHeight="1">
      <c r="A892" s="437"/>
      <c r="B892" s="438"/>
      <c r="C892" s="438"/>
      <c r="D892" s="438"/>
      <c r="E892" s="438"/>
      <c r="F892" s="438"/>
      <c r="G892" s="438"/>
      <c r="H892" s="108"/>
      <c r="I892" s="108"/>
      <c r="J892" s="440"/>
      <c r="K892" s="440"/>
      <c r="L892" s="440"/>
      <c r="M892" s="440"/>
      <c r="N892" s="440"/>
      <c r="O892" s="440"/>
      <c r="P892" s="440"/>
      <c r="Q892" s="440"/>
      <c r="R892" s="108"/>
      <c r="S892" s="440"/>
      <c r="T892" s="440"/>
      <c r="U892" s="440"/>
      <c r="V892" s="440"/>
      <c r="W892" s="440"/>
      <c r="X892" s="440"/>
      <c r="Y892" s="108"/>
      <c r="Z892" s="108"/>
    </row>
    <row r="893" ht="18.75" customHeight="1">
      <c r="A893" s="437"/>
      <c r="B893" s="438"/>
      <c r="C893" s="438"/>
      <c r="D893" s="438"/>
      <c r="E893" s="438"/>
      <c r="F893" s="438"/>
      <c r="G893" s="438"/>
      <c r="H893" s="108"/>
      <c r="I893" s="108"/>
      <c r="J893" s="440"/>
      <c r="K893" s="440"/>
      <c r="L893" s="440"/>
      <c r="M893" s="440"/>
      <c r="N893" s="440"/>
      <c r="O893" s="440"/>
      <c r="P893" s="440"/>
      <c r="Q893" s="440"/>
      <c r="R893" s="108"/>
      <c r="S893" s="440"/>
      <c r="T893" s="440"/>
      <c r="U893" s="440"/>
      <c r="V893" s="440"/>
      <c r="W893" s="440"/>
      <c r="X893" s="440"/>
      <c r="Y893" s="108"/>
      <c r="Z893" s="108"/>
    </row>
    <row r="894" ht="18.75" customHeight="1">
      <c r="A894" s="437"/>
      <c r="B894" s="438"/>
      <c r="C894" s="438"/>
      <c r="D894" s="438"/>
      <c r="E894" s="438"/>
      <c r="F894" s="438"/>
      <c r="G894" s="438"/>
      <c r="H894" s="108"/>
      <c r="I894" s="108"/>
      <c r="J894" s="440"/>
      <c r="K894" s="440"/>
      <c r="L894" s="440"/>
      <c r="M894" s="440"/>
      <c r="N894" s="440"/>
      <c r="O894" s="440"/>
      <c r="P894" s="440"/>
      <c r="Q894" s="440"/>
      <c r="R894" s="108"/>
      <c r="S894" s="440"/>
      <c r="T894" s="440"/>
      <c r="U894" s="440"/>
      <c r="V894" s="440"/>
      <c r="W894" s="440"/>
      <c r="X894" s="440"/>
      <c r="Y894" s="108"/>
      <c r="Z894" s="108"/>
    </row>
    <row r="895" ht="18.75" customHeight="1">
      <c r="A895" s="437"/>
      <c r="B895" s="438"/>
      <c r="C895" s="438"/>
      <c r="D895" s="438"/>
      <c r="E895" s="438"/>
      <c r="F895" s="438"/>
      <c r="G895" s="438"/>
      <c r="H895" s="108"/>
      <c r="I895" s="108"/>
      <c r="J895" s="440"/>
      <c r="K895" s="440"/>
      <c r="L895" s="440"/>
      <c r="M895" s="440"/>
      <c r="N895" s="440"/>
      <c r="O895" s="440"/>
      <c r="P895" s="440"/>
      <c r="Q895" s="440"/>
      <c r="R895" s="108"/>
      <c r="S895" s="440"/>
      <c r="T895" s="440"/>
      <c r="U895" s="440"/>
      <c r="V895" s="440"/>
      <c r="W895" s="440"/>
      <c r="X895" s="440"/>
      <c r="Y895" s="108"/>
      <c r="Z895" s="108"/>
    </row>
    <row r="896" ht="18.75" customHeight="1">
      <c r="A896" s="437"/>
      <c r="B896" s="438"/>
      <c r="C896" s="438"/>
      <c r="D896" s="438"/>
      <c r="E896" s="438"/>
      <c r="F896" s="438"/>
      <c r="G896" s="438"/>
      <c r="H896" s="108"/>
      <c r="I896" s="108"/>
      <c r="J896" s="440"/>
      <c r="K896" s="440"/>
      <c r="L896" s="440"/>
      <c r="M896" s="440"/>
      <c r="N896" s="440"/>
      <c r="O896" s="440"/>
      <c r="P896" s="440"/>
      <c r="Q896" s="440"/>
      <c r="R896" s="108"/>
      <c r="S896" s="440"/>
      <c r="T896" s="440"/>
      <c r="U896" s="440"/>
      <c r="V896" s="440"/>
      <c r="W896" s="440"/>
      <c r="X896" s="440"/>
      <c r="Y896" s="108"/>
      <c r="Z896" s="108"/>
    </row>
    <row r="897" ht="18.75" customHeight="1">
      <c r="A897" s="437"/>
      <c r="B897" s="438"/>
      <c r="C897" s="438"/>
      <c r="D897" s="438"/>
      <c r="E897" s="438"/>
      <c r="F897" s="438"/>
      <c r="G897" s="438"/>
      <c r="H897" s="108"/>
      <c r="I897" s="108"/>
      <c r="J897" s="440"/>
      <c r="K897" s="440"/>
      <c r="L897" s="440"/>
      <c r="M897" s="440"/>
      <c r="N897" s="440"/>
      <c r="O897" s="440"/>
      <c r="P897" s="440"/>
      <c r="Q897" s="440"/>
      <c r="R897" s="108"/>
      <c r="S897" s="440"/>
      <c r="T897" s="440"/>
      <c r="U897" s="440"/>
      <c r="V897" s="440"/>
      <c r="W897" s="440"/>
      <c r="X897" s="440"/>
      <c r="Y897" s="108"/>
      <c r="Z897" s="108"/>
    </row>
    <row r="898" ht="18.75" customHeight="1">
      <c r="A898" s="437"/>
      <c r="B898" s="438"/>
      <c r="C898" s="438"/>
      <c r="D898" s="438"/>
      <c r="E898" s="438"/>
      <c r="F898" s="438"/>
      <c r="G898" s="438"/>
      <c r="H898" s="108"/>
      <c r="I898" s="108"/>
      <c r="J898" s="440"/>
      <c r="K898" s="440"/>
      <c r="L898" s="440"/>
      <c r="M898" s="440"/>
      <c r="N898" s="440"/>
      <c r="O898" s="440"/>
      <c r="P898" s="440"/>
      <c r="Q898" s="440"/>
      <c r="R898" s="108"/>
      <c r="S898" s="440"/>
      <c r="T898" s="440"/>
      <c r="U898" s="440"/>
      <c r="V898" s="440"/>
      <c r="W898" s="440"/>
      <c r="X898" s="440"/>
      <c r="Y898" s="108"/>
      <c r="Z898" s="108"/>
    </row>
    <row r="899" ht="18.75" customHeight="1">
      <c r="A899" s="437"/>
      <c r="B899" s="438"/>
      <c r="C899" s="438"/>
      <c r="D899" s="438"/>
      <c r="E899" s="438"/>
      <c r="F899" s="438"/>
      <c r="G899" s="438"/>
      <c r="H899" s="108"/>
      <c r="I899" s="108"/>
      <c r="J899" s="440"/>
      <c r="K899" s="440"/>
      <c r="L899" s="440"/>
      <c r="M899" s="440"/>
      <c r="N899" s="440"/>
      <c r="O899" s="440"/>
      <c r="P899" s="440"/>
      <c r="Q899" s="440"/>
      <c r="R899" s="108"/>
      <c r="S899" s="440"/>
      <c r="T899" s="440"/>
      <c r="U899" s="440"/>
      <c r="V899" s="440"/>
      <c r="W899" s="440"/>
      <c r="X899" s="440"/>
      <c r="Y899" s="108"/>
      <c r="Z899" s="108"/>
    </row>
    <row r="900" ht="18.75" customHeight="1">
      <c r="A900" s="437"/>
      <c r="B900" s="438"/>
      <c r="C900" s="438"/>
      <c r="D900" s="438"/>
      <c r="E900" s="438"/>
      <c r="F900" s="438"/>
      <c r="G900" s="438"/>
      <c r="H900" s="108"/>
      <c r="I900" s="108"/>
      <c r="J900" s="440"/>
      <c r="K900" s="440"/>
      <c r="L900" s="440"/>
      <c r="M900" s="440"/>
      <c r="N900" s="440"/>
      <c r="O900" s="440"/>
      <c r="P900" s="440"/>
      <c r="Q900" s="440"/>
      <c r="R900" s="108"/>
      <c r="S900" s="440"/>
      <c r="T900" s="440"/>
      <c r="U900" s="440"/>
      <c r="V900" s="440"/>
      <c r="W900" s="440"/>
      <c r="X900" s="440"/>
      <c r="Y900" s="108"/>
      <c r="Z900" s="108"/>
    </row>
    <row r="901" ht="18.75" customHeight="1">
      <c r="A901" s="437"/>
      <c r="B901" s="438"/>
      <c r="C901" s="438"/>
      <c r="D901" s="438"/>
      <c r="E901" s="438"/>
      <c r="F901" s="438"/>
      <c r="G901" s="438"/>
      <c r="H901" s="108"/>
      <c r="I901" s="108"/>
      <c r="J901" s="440"/>
      <c r="K901" s="440"/>
      <c r="L901" s="440"/>
      <c r="M901" s="440"/>
      <c r="N901" s="440"/>
      <c r="O901" s="440"/>
      <c r="P901" s="440"/>
      <c r="Q901" s="440"/>
      <c r="R901" s="108"/>
      <c r="S901" s="440"/>
      <c r="T901" s="440"/>
      <c r="U901" s="440"/>
      <c r="V901" s="440"/>
      <c r="W901" s="440"/>
      <c r="X901" s="440"/>
      <c r="Y901" s="108"/>
      <c r="Z901" s="108"/>
    </row>
    <row r="902" ht="18.75" customHeight="1">
      <c r="A902" s="437"/>
      <c r="B902" s="438"/>
      <c r="C902" s="438"/>
      <c r="D902" s="438"/>
      <c r="E902" s="438"/>
      <c r="F902" s="438"/>
      <c r="G902" s="438"/>
      <c r="H902" s="108"/>
      <c r="I902" s="108"/>
      <c r="J902" s="440"/>
      <c r="K902" s="440"/>
      <c r="L902" s="440"/>
      <c r="M902" s="440"/>
      <c r="N902" s="440"/>
      <c r="O902" s="440"/>
      <c r="P902" s="440"/>
      <c r="Q902" s="440"/>
      <c r="R902" s="108"/>
      <c r="S902" s="440"/>
      <c r="T902" s="440"/>
      <c r="U902" s="440"/>
      <c r="V902" s="440"/>
      <c r="W902" s="440"/>
      <c r="X902" s="440"/>
      <c r="Y902" s="108"/>
      <c r="Z902" s="108"/>
    </row>
    <row r="903" ht="18.75" customHeight="1">
      <c r="A903" s="437"/>
      <c r="B903" s="438"/>
      <c r="C903" s="438"/>
      <c r="D903" s="438"/>
      <c r="E903" s="438"/>
      <c r="F903" s="438"/>
      <c r="G903" s="438"/>
      <c r="H903" s="108"/>
      <c r="I903" s="108"/>
      <c r="J903" s="440"/>
      <c r="K903" s="440"/>
      <c r="L903" s="440"/>
      <c r="M903" s="440"/>
      <c r="N903" s="440"/>
      <c r="O903" s="440"/>
      <c r="P903" s="440"/>
      <c r="Q903" s="440"/>
      <c r="R903" s="108"/>
      <c r="S903" s="440"/>
      <c r="T903" s="440"/>
      <c r="U903" s="440"/>
      <c r="V903" s="440"/>
      <c r="W903" s="440"/>
      <c r="X903" s="440"/>
      <c r="Y903" s="108"/>
      <c r="Z903" s="108"/>
    </row>
    <row r="904" ht="18.75" customHeight="1">
      <c r="A904" s="437"/>
      <c r="B904" s="438"/>
      <c r="C904" s="438"/>
      <c r="D904" s="438"/>
      <c r="E904" s="438"/>
      <c r="F904" s="438"/>
      <c r="G904" s="438"/>
      <c r="H904" s="108"/>
      <c r="I904" s="108"/>
      <c r="J904" s="440"/>
      <c r="K904" s="440"/>
      <c r="L904" s="440"/>
      <c r="M904" s="440"/>
      <c r="N904" s="440"/>
      <c r="O904" s="440"/>
      <c r="P904" s="440"/>
      <c r="Q904" s="440"/>
      <c r="R904" s="108"/>
      <c r="S904" s="440"/>
      <c r="T904" s="440"/>
      <c r="U904" s="440"/>
      <c r="V904" s="440"/>
      <c r="W904" s="440"/>
      <c r="X904" s="440"/>
      <c r="Y904" s="108"/>
      <c r="Z904" s="108"/>
    </row>
    <row r="905" ht="18.75" customHeight="1">
      <c r="A905" s="437"/>
      <c r="B905" s="438"/>
      <c r="C905" s="438"/>
      <c r="D905" s="438"/>
      <c r="E905" s="438"/>
      <c r="F905" s="438"/>
      <c r="G905" s="438"/>
      <c r="H905" s="108"/>
      <c r="I905" s="108"/>
      <c r="J905" s="440"/>
      <c r="K905" s="440"/>
      <c r="L905" s="440"/>
      <c r="M905" s="440"/>
      <c r="N905" s="440"/>
      <c r="O905" s="440"/>
      <c r="P905" s="440"/>
      <c r="Q905" s="440"/>
      <c r="R905" s="108"/>
      <c r="S905" s="440"/>
      <c r="T905" s="440"/>
      <c r="U905" s="440"/>
      <c r="V905" s="440"/>
      <c r="W905" s="440"/>
      <c r="X905" s="440"/>
      <c r="Y905" s="108"/>
      <c r="Z905" s="108"/>
    </row>
    <row r="906" ht="18.75" customHeight="1">
      <c r="A906" s="437"/>
      <c r="B906" s="438"/>
      <c r="C906" s="438"/>
      <c r="D906" s="438"/>
      <c r="E906" s="438"/>
      <c r="F906" s="438"/>
      <c r="G906" s="438"/>
      <c r="H906" s="108"/>
      <c r="I906" s="108"/>
      <c r="J906" s="440"/>
      <c r="K906" s="440"/>
      <c r="L906" s="440"/>
      <c r="M906" s="440"/>
      <c r="N906" s="440"/>
      <c r="O906" s="440"/>
      <c r="P906" s="440"/>
      <c r="Q906" s="440"/>
      <c r="R906" s="108"/>
      <c r="S906" s="440"/>
      <c r="T906" s="440"/>
      <c r="U906" s="440"/>
      <c r="V906" s="440"/>
      <c r="W906" s="440"/>
      <c r="X906" s="440"/>
      <c r="Y906" s="108"/>
      <c r="Z906" s="108"/>
    </row>
    <row r="907" ht="18.75" customHeight="1">
      <c r="A907" s="437"/>
      <c r="B907" s="438"/>
      <c r="C907" s="438"/>
      <c r="D907" s="438"/>
      <c r="E907" s="438"/>
      <c r="F907" s="438"/>
      <c r="G907" s="438"/>
      <c r="H907" s="108"/>
      <c r="I907" s="108"/>
      <c r="J907" s="440"/>
      <c r="K907" s="440"/>
      <c r="L907" s="440"/>
      <c r="M907" s="440"/>
      <c r="N907" s="440"/>
      <c r="O907" s="440"/>
      <c r="P907" s="440"/>
      <c r="Q907" s="440"/>
      <c r="R907" s="108"/>
      <c r="S907" s="440"/>
      <c r="T907" s="440"/>
      <c r="U907" s="440"/>
      <c r="V907" s="440"/>
      <c r="W907" s="440"/>
      <c r="X907" s="440"/>
      <c r="Y907" s="108"/>
      <c r="Z907" s="108"/>
    </row>
    <row r="908" ht="18.75" customHeight="1">
      <c r="A908" s="437"/>
      <c r="B908" s="438"/>
      <c r="C908" s="438"/>
      <c r="D908" s="438"/>
      <c r="E908" s="438"/>
      <c r="F908" s="438"/>
      <c r="G908" s="438"/>
      <c r="H908" s="108"/>
      <c r="I908" s="108"/>
      <c r="J908" s="440"/>
      <c r="K908" s="440"/>
      <c r="L908" s="440"/>
      <c r="M908" s="440"/>
      <c r="N908" s="440"/>
      <c r="O908" s="440"/>
      <c r="P908" s="440"/>
      <c r="Q908" s="440"/>
      <c r="R908" s="108"/>
      <c r="S908" s="440"/>
      <c r="T908" s="440"/>
      <c r="U908" s="440"/>
      <c r="V908" s="440"/>
      <c r="W908" s="440"/>
      <c r="X908" s="440"/>
      <c r="Y908" s="108"/>
      <c r="Z908" s="108"/>
    </row>
    <row r="909" ht="18.75" customHeight="1">
      <c r="A909" s="437"/>
      <c r="B909" s="438"/>
      <c r="C909" s="438"/>
      <c r="D909" s="438"/>
      <c r="E909" s="438"/>
      <c r="F909" s="438"/>
      <c r="G909" s="438"/>
      <c r="H909" s="108"/>
      <c r="I909" s="108"/>
      <c r="J909" s="440"/>
      <c r="K909" s="440"/>
      <c r="L909" s="440"/>
      <c r="M909" s="440"/>
      <c r="N909" s="440"/>
      <c r="O909" s="440"/>
      <c r="P909" s="440"/>
      <c r="Q909" s="440"/>
      <c r="R909" s="108"/>
      <c r="S909" s="440"/>
      <c r="T909" s="440"/>
      <c r="U909" s="440"/>
      <c r="V909" s="440"/>
      <c r="W909" s="440"/>
      <c r="X909" s="440"/>
      <c r="Y909" s="108"/>
      <c r="Z909" s="108"/>
    </row>
    <row r="910" ht="18.75" customHeight="1">
      <c r="A910" s="437"/>
      <c r="B910" s="438"/>
      <c r="C910" s="438"/>
      <c r="D910" s="438"/>
      <c r="E910" s="438"/>
      <c r="F910" s="438"/>
      <c r="G910" s="438"/>
      <c r="H910" s="108"/>
      <c r="I910" s="108"/>
      <c r="J910" s="440"/>
      <c r="K910" s="440"/>
      <c r="L910" s="440"/>
      <c r="M910" s="440"/>
      <c r="N910" s="440"/>
      <c r="O910" s="440"/>
      <c r="P910" s="440"/>
      <c r="Q910" s="440"/>
      <c r="R910" s="108"/>
      <c r="S910" s="440"/>
      <c r="T910" s="440"/>
      <c r="U910" s="440"/>
      <c r="V910" s="440"/>
      <c r="W910" s="440"/>
      <c r="X910" s="440"/>
      <c r="Y910" s="108"/>
      <c r="Z910" s="108"/>
    </row>
    <row r="911" ht="18.75" customHeight="1">
      <c r="A911" s="437"/>
      <c r="B911" s="438"/>
      <c r="C911" s="438"/>
      <c r="D911" s="438"/>
      <c r="E911" s="438"/>
      <c r="F911" s="438"/>
      <c r="G911" s="438"/>
      <c r="H911" s="108"/>
      <c r="I911" s="108"/>
      <c r="J911" s="440"/>
      <c r="K911" s="440"/>
      <c r="L911" s="440"/>
      <c r="M911" s="440"/>
      <c r="N911" s="440"/>
      <c r="O911" s="440"/>
      <c r="P911" s="440"/>
      <c r="Q911" s="440"/>
      <c r="R911" s="108"/>
      <c r="S911" s="440"/>
      <c r="T911" s="440"/>
      <c r="U911" s="440"/>
      <c r="V911" s="440"/>
      <c r="W911" s="440"/>
      <c r="X911" s="440"/>
      <c r="Y911" s="108"/>
      <c r="Z911" s="108"/>
    </row>
    <row r="912" ht="18.75" customHeight="1">
      <c r="A912" s="437"/>
      <c r="B912" s="438"/>
      <c r="C912" s="438"/>
      <c r="D912" s="438"/>
      <c r="E912" s="438"/>
      <c r="F912" s="438"/>
      <c r="G912" s="438"/>
      <c r="H912" s="108"/>
      <c r="I912" s="108"/>
      <c r="J912" s="440"/>
      <c r="K912" s="440"/>
      <c r="L912" s="440"/>
      <c r="M912" s="440"/>
      <c r="N912" s="440"/>
      <c r="O912" s="440"/>
      <c r="P912" s="440"/>
      <c r="Q912" s="440"/>
      <c r="R912" s="108"/>
      <c r="S912" s="440"/>
      <c r="T912" s="440"/>
      <c r="U912" s="440"/>
      <c r="V912" s="440"/>
      <c r="W912" s="440"/>
      <c r="X912" s="440"/>
      <c r="Y912" s="108"/>
      <c r="Z912" s="108"/>
    </row>
    <row r="913" ht="18.75" customHeight="1">
      <c r="A913" s="437"/>
      <c r="B913" s="438"/>
      <c r="C913" s="438"/>
      <c r="D913" s="438"/>
      <c r="E913" s="438"/>
      <c r="F913" s="438"/>
      <c r="G913" s="438"/>
      <c r="H913" s="108"/>
      <c r="I913" s="108"/>
      <c r="J913" s="440"/>
      <c r="K913" s="440"/>
      <c r="L913" s="440"/>
      <c r="M913" s="440"/>
      <c r="N913" s="440"/>
      <c r="O913" s="440"/>
      <c r="P913" s="440"/>
      <c r="Q913" s="440"/>
      <c r="R913" s="108"/>
      <c r="S913" s="440"/>
      <c r="T913" s="440"/>
      <c r="U913" s="440"/>
      <c r="V913" s="440"/>
      <c r="W913" s="440"/>
      <c r="X913" s="440"/>
      <c r="Y913" s="108"/>
      <c r="Z913" s="108"/>
    </row>
    <row r="914" ht="18.75" customHeight="1">
      <c r="A914" s="437"/>
      <c r="B914" s="438"/>
      <c r="C914" s="438"/>
      <c r="D914" s="438"/>
      <c r="E914" s="438"/>
      <c r="F914" s="438"/>
      <c r="G914" s="438"/>
      <c r="H914" s="108"/>
      <c r="I914" s="108"/>
      <c r="J914" s="440"/>
      <c r="K914" s="440"/>
      <c r="L914" s="440"/>
      <c r="M914" s="440"/>
      <c r="N914" s="440"/>
      <c r="O914" s="440"/>
      <c r="P914" s="440"/>
      <c r="Q914" s="440"/>
      <c r="R914" s="108"/>
      <c r="S914" s="440"/>
      <c r="T914" s="440"/>
      <c r="U914" s="440"/>
      <c r="V914" s="440"/>
      <c r="W914" s="440"/>
      <c r="X914" s="440"/>
      <c r="Y914" s="108"/>
      <c r="Z914" s="108"/>
    </row>
    <row r="915" ht="18.75" customHeight="1">
      <c r="A915" s="437"/>
      <c r="B915" s="438"/>
      <c r="C915" s="438"/>
      <c r="D915" s="438"/>
      <c r="E915" s="438"/>
      <c r="F915" s="438"/>
      <c r="G915" s="438"/>
      <c r="H915" s="108"/>
      <c r="I915" s="108"/>
      <c r="J915" s="440"/>
      <c r="K915" s="440"/>
      <c r="L915" s="440"/>
      <c r="M915" s="440"/>
      <c r="N915" s="440"/>
      <c r="O915" s="440"/>
      <c r="P915" s="440"/>
      <c r="Q915" s="440"/>
      <c r="R915" s="108"/>
      <c r="S915" s="440"/>
      <c r="T915" s="440"/>
      <c r="U915" s="440"/>
      <c r="V915" s="440"/>
      <c r="W915" s="440"/>
      <c r="X915" s="440"/>
      <c r="Y915" s="108"/>
      <c r="Z915" s="108"/>
    </row>
    <row r="916" ht="18.75" customHeight="1">
      <c r="A916" s="437"/>
      <c r="B916" s="438"/>
      <c r="C916" s="438"/>
      <c r="D916" s="438"/>
      <c r="E916" s="438"/>
      <c r="F916" s="438"/>
      <c r="G916" s="438"/>
      <c r="H916" s="108"/>
      <c r="I916" s="108"/>
      <c r="J916" s="440"/>
      <c r="K916" s="440"/>
      <c r="L916" s="440"/>
      <c r="M916" s="440"/>
      <c r="N916" s="440"/>
      <c r="O916" s="440"/>
      <c r="P916" s="440"/>
      <c r="Q916" s="440"/>
      <c r="R916" s="108"/>
      <c r="S916" s="440"/>
      <c r="T916" s="440"/>
      <c r="U916" s="440"/>
      <c r="V916" s="440"/>
      <c r="W916" s="440"/>
      <c r="X916" s="440"/>
      <c r="Y916" s="108"/>
      <c r="Z916" s="108"/>
    </row>
    <row r="917" ht="18.75" customHeight="1">
      <c r="A917" s="437"/>
      <c r="B917" s="438"/>
      <c r="C917" s="438"/>
      <c r="D917" s="438"/>
      <c r="E917" s="438"/>
      <c r="F917" s="438"/>
      <c r="G917" s="438"/>
      <c r="H917" s="108"/>
      <c r="I917" s="108"/>
      <c r="J917" s="440"/>
      <c r="K917" s="440"/>
      <c r="L917" s="440"/>
      <c r="M917" s="440"/>
      <c r="N917" s="440"/>
      <c r="O917" s="440"/>
      <c r="P917" s="440"/>
      <c r="Q917" s="440"/>
      <c r="R917" s="108"/>
      <c r="S917" s="440"/>
      <c r="T917" s="440"/>
      <c r="U917" s="440"/>
      <c r="V917" s="440"/>
      <c r="W917" s="440"/>
      <c r="X917" s="440"/>
      <c r="Y917" s="108"/>
      <c r="Z917" s="108"/>
    </row>
    <row r="918" ht="18.75" customHeight="1">
      <c r="A918" s="437"/>
      <c r="B918" s="438"/>
      <c r="C918" s="438"/>
      <c r="D918" s="438"/>
      <c r="E918" s="438"/>
      <c r="F918" s="438"/>
      <c r="G918" s="438"/>
      <c r="H918" s="108"/>
      <c r="I918" s="108"/>
      <c r="J918" s="440"/>
      <c r="K918" s="440"/>
      <c r="L918" s="440"/>
      <c r="M918" s="440"/>
      <c r="N918" s="440"/>
      <c r="O918" s="440"/>
      <c r="P918" s="440"/>
      <c r="Q918" s="440"/>
      <c r="R918" s="108"/>
      <c r="S918" s="440"/>
      <c r="T918" s="440"/>
      <c r="U918" s="440"/>
      <c r="V918" s="440"/>
      <c r="W918" s="440"/>
      <c r="X918" s="440"/>
      <c r="Y918" s="108"/>
      <c r="Z918" s="108"/>
    </row>
    <row r="919" ht="18.75" customHeight="1">
      <c r="A919" s="437"/>
      <c r="B919" s="438"/>
      <c r="C919" s="438"/>
      <c r="D919" s="438"/>
      <c r="E919" s="438"/>
      <c r="F919" s="438"/>
      <c r="G919" s="438"/>
      <c r="H919" s="108"/>
      <c r="I919" s="108"/>
      <c r="J919" s="440"/>
      <c r="K919" s="440"/>
      <c r="L919" s="440"/>
      <c r="M919" s="440"/>
      <c r="N919" s="440"/>
      <c r="O919" s="440"/>
      <c r="P919" s="440"/>
      <c r="Q919" s="440"/>
      <c r="R919" s="108"/>
      <c r="S919" s="440"/>
      <c r="T919" s="440"/>
      <c r="U919" s="440"/>
      <c r="V919" s="440"/>
      <c r="W919" s="440"/>
      <c r="X919" s="440"/>
      <c r="Y919" s="108"/>
      <c r="Z919" s="108"/>
    </row>
    <row r="920" ht="18.75" customHeight="1">
      <c r="A920" s="437"/>
      <c r="B920" s="438"/>
      <c r="C920" s="438"/>
      <c r="D920" s="438"/>
      <c r="E920" s="438"/>
      <c r="F920" s="438"/>
      <c r="G920" s="438"/>
      <c r="H920" s="108"/>
      <c r="I920" s="108"/>
      <c r="J920" s="440"/>
      <c r="K920" s="440"/>
      <c r="L920" s="440"/>
      <c r="M920" s="440"/>
      <c r="N920" s="440"/>
      <c r="O920" s="440"/>
      <c r="P920" s="440"/>
      <c r="Q920" s="440"/>
      <c r="R920" s="108"/>
      <c r="S920" s="440"/>
      <c r="T920" s="440"/>
      <c r="U920" s="440"/>
      <c r="V920" s="440"/>
      <c r="W920" s="440"/>
      <c r="X920" s="440"/>
      <c r="Y920" s="108"/>
      <c r="Z920" s="108"/>
    </row>
    <row r="921" ht="18.75" customHeight="1">
      <c r="A921" s="437"/>
      <c r="B921" s="438"/>
      <c r="C921" s="438"/>
      <c r="D921" s="438"/>
      <c r="E921" s="438"/>
      <c r="F921" s="438"/>
      <c r="G921" s="438"/>
      <c r="H921" s="108"/>
      <c r="I921" s="108"/>
      <c r="J921" s="440"/>
      <c r="K921" s="440"/>
      <c r="L921" s="440"/>
      <c r="M921" s="440"/>
      <c r="N921" s="440"/>
      <c r="O921" s="440"/>
      <c r="P921" s="440"/>
      <c r="Q921" s="440"/>
      <c r="R921" s="108"/>
      <c r="S921" s="440"/>
      <c r="T921" s="440"/>
      <c r="U921" s="440"/>
      <c r="V921" s="440"/>
      <c r="W921" s="440"/>
      <c r="X921" s="440"/>
      <c r="Y921" s="108"/>
      <c r="Z921" s="108"/>
    </row>
    <row r="922" ht="18.75" customHeight="1">
      <c r="A922" s="437"/>
      <c r="B922" s="438"/>
      <c r="C922" s="438"/>
      <c r="D922" s="438"/>
      <c r="E922" s="438"/>
      <c r="F922" s="438"/>
      <c r="G922" s="438"/>
      <c r="H922" s="108"/>
      <c r="I922" s="108"/>
      <c r="J922" s="440"/>
      <c r="K922" s="440"/>
      <c r="L922" s="440"/>
      <c r="M922" s="440"/>
      <c r="N922" s="440"/>
      <c r="O922" s="440"/>
      <c r="P922" s="440"/>
      <c r="Q922" s="440"/>
      <c r="R922" s="108"/>
      <c r="S922" s="440"/>
      <c r="T922" s="440"/>
      <c r="U922" s="440"/>
      <c r="V922" s="440"/>
      <c r="W922" s="440"/>
      <c r="X922" s="440"/>
      <c r="Y922" s="108"/>
      <c r="Z922" s="108"/>
    </row>
    <row r="923" ht="18.75" customHeight="1">
      <c r="A923" s="437"/>
      <c r="B923" s="438"/>
      <c r="C923" s="438"/>
      <c r="D923" s="438"/>
      <c r="E923" s="438"/>
      <c r="F923" s="438"/>
      <c r="G923" s="438"/>
      <c r="H923" s="108"/>
      <c r="I923" s="108"/>
      <c r="J923" s="440"/>
      <c r="K923" s="440"/>
      <c r="L923" s="440"/>
      <c r="M923" s="440"/>
      <c r="N923" s="440"/>
      <c r="O923" s="440"/>
      <c r="P923" s="440"/>
      <c r="Q923" s="440"/>
      <c r="R923" s="108"/>
      <c r="S923" s="440"/>
      <c r="T923" s="440"/>
      <c r="U923" s="440"/>
      <c r="V923" s="440"/>
      <c r="W923" s="440"/>
      <c r="X923" s="440"/>
      <c r="Y923" s="108"/>
      <c r="Z923" s="108"/>
    </row>
    <row r="924" ht="18.75" customHeight="1">
      <c r="A924" s="437"/>
      <c r="B924" s="438"/>
      <c r="C924" s="438"/>
      <c r="D924" s="438"/>
      <c r="E924" s="438"/>
      <c r="F924" s="438"/>
      <c r="G924" s="438"/>
      <c r="H924" s="108"/>
      <c r="I924" s="108"/>
      <c r="J924" s="440"/>
      <c r="K924" s="440"/>
      <c r="L924" s="440"/>
      <c r="M924" s="440"/>
      <c r="N924" s="440"/>
      <c r="O924" s="440"/>
      <c r="P924" s="440"/>
      <c r="Q924" s="440"/>
      <c r="R924" s="108"/>
      <c r="S924" s="440"/>
      <c r="T924" s="440"/>
      <c r="U924" s="440"/>
      <c r="V924" s="440"/>
      <c r="W924" s="440"/>
      <c r="X924" s="440"/>
      <c r="Y924" s="108"/>
      <c r="Z924" s="108"/>
    </row>
    <row r="925" ht="18.75" customHeight="1">
      <c r="A925" s="437"/>
      <c r="B925" s="438"/>
      <c r="C925" s="438"/>
      <c r="D925" s="438"/>
      <c r="E925" s="438"/>
      <c r="F925" s="438"/>
      <c r="G925" s="438"/>
      <c r="H925" s="108"/>
      <c r="I925" s="108"/>
      <c r="J925" s="440"/>
      <c r="K925" s="440"/>
      <c r="L925" s="440"/>
      <c r="M925" s="440"/>
      <c r="N925" s="440"/>
      <c r="O925" s="440"/>
      <c r="P925" s="440"/>
      <c r="Q925" s="440"/>
      <c r="R925" s="108"/>
      <c r="S925" s="440"/>
      <c r="T925" s="440"/>
      <c r="U925" s="440"/>
      <c r="V925" s="440"/>
      <c r="W925" s="440"/>
      <c r="X925" s="440"/>
      <c r="Y925" s="108"/>
      <c r="Z925" s="108"/>
    </row>
    <row r="926" ht="18.75" customHeight="1">
      <c r="A926" s="437"/>
      <c r="B926" s="438"/>
      <c r="C926" s="438"/>
      <c r="D926" s="438"/>
      <c r="E926" s="438"/>
      <c r="F926" s="438"/>
      <c r="G926" s="438"/>
      <c r="H926" s="108"/>
      <c r="I926" s="108"/>
      <c r="J926" s="440"/>
      <c r="K926" s="440"/>
      <c r="L926" s="440"/>
      <c r="M926" s="440"/>
      <c r="N926" s="440"/>
      <c r="O926" s="440"/>
      <c r="P926" s="440"/>
      <c r="Q926" s="440"/>
      <c r="R926" s="108"/>
      <c r="S926" s="440"/>
      <c r="T926" s="440"/>
      <c r="U926" s="440"/>
      <c r="V926" s="440"/>
      <c r="W926" s="440"/>
      <c r="X926" s="440"/>
      <c r="Y926" s="108"/>
      <c r="Z926" s="108"/>
    </row>
    <row r="927" ht="18.75" customHeight="1">
      <c r="A927" s="437"/>
      <c r="B927" s="438"/>
      <c r="C927" s="438"/>
      <c r="D927" s="438"/>
      <c r="E927" s="438"/>
      <c r="F927" s="438"/>
      <c r="G927" s="438"/>
      <c r="H927" s="108"/>
      <c r="I927" s="108"/>
      <c r="J927" s="440"/>
      <c r="K927" s="440"/>
      <c r="L927" s="440"/>
      <c r="M927" s="440"/>
      <c r="N927" s="440"/>
      <c r="O927" s="440"/>
      <c r="P927" s="440"/>
      <c r="Q927" s="440"/>
      <c r="R927" s="108"/>
      <c r="S927" s="440"/>
      <c r="T927" s="440"/>
      <c r="U927" s="440"/>
      <c r="V927" s="440"/>
      <c r="W927" s="440"/>
      <c r="X927" s="440"/>
      <c r="Y927" s="108"/>
      <c r="Z927" s="108"/>
    </row>
    <row r="928" ht="18.75" customHeight="1">
      <c r="A928" s="437"/>
      <c r="B928" s="438"/>
      <c r="C928" s="438"/>
      <c r="D928" s="438"/>
      <c r="E928" s="438"/>
      <c r="F928" s="438"/>
      <c r="G928" s="438"/>
      <c r="H928" s="108"/>
      <c r="I928" s="108"/>
      <c r="J928" s="440"/>
      <c r="K928" s="440"/>
      <c r="L928" s="440"/>
      <c r="M928" s="440"/>
      <c r="N928" s="440"/>
      <c r="O928" s="440"/>
      <c r="P928" s="440"/>
      <c r="Q928" s="440"/>
      <c r="R928" s="108"/>
      <c r="S928" s="440"/>
      <c r="T928" s="440"/>
      <c r="U928" s="440"/>
      <c r="V928" s="440"/>
      <c r="W928" s="440"/>
      <c r="X928" s="440"/>
      <c r="Y928" s="108"/>
      <c r="Z928" s="108"/>
    </row>
    <row r="929" ht="18.75" customHeight="1">
      <c r="A929" s="437"/>
      <c r="B929" s="438"/>
      <c r="C929" s="438"/>
      <c r="D929" s="438"/>
      <c r="E929" s="438"/>
      <c r="F929" s="438"/>
      <c r="G929" s="438"/>
      <c r="H929" s="108"/>
      <c r="I929" s="108"/>
      <c r="J929" s="440"/>
      <c r="K929" s="440"/>
      <c r="L929" s="440"/>
      <c r="M929" s="440"/>
      <c r="N929" s="440"/>
      <c r="O929" s="440"/>
      <c r="P929" s="440"/>
      <c r="Q929" s="440"/>
      <c r="R929" s="108"/>
      <c r="S929" s="440"/>
      <c r="T929" s="440"/>
      <c r="U929" s="440"/>
      <c r="V929" s="440"/>
      <c r="W929" s="440"/>
      <c r="X929" s="440"/>
      <c r="Y929" s="108"/>
      <c r="Z929" s="108"/>
    </row>
    <row r="930" ht="18.75" customHeight="1">
      <c r="A930" s="437"/>
      <c r="B930" s="438"/>
      <c r="C930" s="438"/>
      <c r="D930" s="438"/>
      <c r="E930" s="438"/>
      <c r="F930" s="438"/>
      <c r="G930" s="438"/>
      <c r="H930" s="108"/>
      <c r="I930" s="108"/>
      <c r="J930" s="440"/>
      <c r="K930" s="440"/>
      <c r="L930" s="440"/>
      <c r="M930" s="440"/>
      <c r="N930" s="440"/>
      <c r="O930" s="440"/>
      <c r="P930" s="440"/>
      <c r="Q930" s="440"/>
      <c r="R930" s="108"/>
      <c r="S930" s="440"/>
      <c r="T930" s="440"/>
      <c r="U930" s="440"/>
      <c r="V930" s="440"/>
      <c r="W930" s="440"/>
      <c r="X930" s="440"/>
      <c r="Y930" s="108"/>
      <c r="Z930" s="108"/>
    </row>
    <row r="931" ht="18.75" customHeight="1">
      <c r="A931" s="437"/>
      <c r="B931" s="438"/>
      <c r="C931" s="438"/>
      <c r="D931" s="438"/>
      <c r="E931" s="438"/>
      <c r="F931" s="438"/>
      <c r="G931" s="438"/>
      <c r="H931" s="108"/>
      <c r="I931" s="108"/>
      <c r="J931" s="440"/>
      <c r="K931" s="440"/>
      <c r="L931" s="440"/>
      <c r="M931" s="440"/>
      <c r="N931" s="440"/>
      <c r="O931" s="440"/>
      <c r="P931" s="440"/>
      <c r="Q931" s="440"/>
      <c r="R931" s="108"/>
      <c r="S931" s="440"/>
      <c r="T931" s="440"/>
      <c r="U931" s="440"/>
      <c r="V931" s="440"/>
      <c r="W931" s="440"/>
      <c r="X931" s="440"/>
      <c r="Y931" s="108"/>
      <c r="Z931" s="108"/>
    </row>
    <row r="932" ht="18.75" customHeight="1">
      <c r="A932" s="437"/>
      <c r="B932" s="438"/>
      <c r="C932" s="438"/>
      <c r="D932" s="438"/>
      <c r="E932" s="438"/>
      <c r="F932" s="438"/>
      <c r="G932" s="438"/>
      <c r="H932" s="108"/>
      <c r="I932" s="108"/>
      <c r="J932" s="440"/>
      <c r="K932" s="440"/>
      <c r="L932" s="440"/>
      <c r="M932" s="440"/>
      <c r="N932" s="440"/>
      <c r="O932" s="440"/>
      <c r="P932" s="440"/>
      <c r="Q932" s="440"/>
      <c r="R932" s="108"/>
      <c r="S932" s="440"/>
      <c r="T932" s="440"/>
      <c r="U932" s="440"/>
      <c r="V932" s="440"/>
      <c r="W932" s="440"/>
      <c r="X932" s="440"/>
      <c r="Y932" s="108"/>
      <c r="Z932" s="108"/>
    </row>
    <row r="933" ht="18.75" customHeight="1">
      <c r="A933" s="437"/>
      <c r="B933" s="438"/>
      <c r="C933" s="438"/>
      <c r="D933" s="438"/>
      <c r="E933" s="438"/>
      <c r="F933" s="438"/>
      <c r="G933" s="438"/>
      <c r="H933" s="108"/>
      <c r="I933" s="108"/>
      <c r="J933" s="440"/>
      <c r="K933" s="440"/>
      <c r="L933" s="440"/>
      <c r="M933" s="440"/>
      <c r="N933" s="440"/>
      <c r="O933" s="440"/>
      <c r="P933" s="440"/>
      <c r="Q933" s="440"/>
      <c r="R933" s="108"/>
      <c r="S933" s="440"/>
      <c r="T933" s="440"/>
      <c r="U933" s="440"/>
      <c r="V933" s="440"/>
      <c r="W933" s="440"/>
      <c r="X933" s="440"/>
      <c r="Y933" s="108"/>
      <c r="Z933" s="108"/>
    </row>
    <row r="934" ht="18.75" customHeight="1">
      <c r="A934" s="437"/>
      <c r="B934" s="438"/>
      <c r="C934" s="438"/>
      <c r="D934" s="438"/>
      <c r="E934" s="438"/>
      <c r="F934" s="438"/>
      <c r="G934" s="438"/>
      <c r="H934" s="108"/>
      <c r="I934" s="108"/>
      <c r="J934" s="440"/>
      <c r="K934" s="440"/>
      <c r="L934" s="440"/>
      <c r="M934" s="440"/>
      <c r="N934" s="440"/>
      <c r="O934" s="440"/>
      <c r="P934" s="440"/>
      <c r="Q934" s="440"/>
      <c r="R934" s="108"/>
      <c r="S934" s="440"/>
      <c r="T934" s="440"/>
      <c r="U934" s="440"/>
      <c r="V934" s="440"/>
      <c r="W934" s="440"/>
      <c r="X934" s="440"/>
      <c r="Y934" s="108"/>
      <c r="Z934" s="108"/>
    </row>
    <row r="935" ht="18.75" customHeight="1">
      <c r="A935" s="437"/>
      <c r="B935" s="438"/>
      <c r="C935" s="438"/>
      <c r="D935" s="438"/>
      <c r="E935" s="438"/>
      <c r="F935" s="438"/>
      <c r="G935" s="438"/>
      <c r="H935" s="108"/>
      <c r="I935" s="108"/>
      <c r="J935" s="440"/>
      <c r="K935" s="440"/>
      <c r="L935" s="440"/>
      <c r="M935" s="440"/>
      <c r="N935" s="440"/>
      <c r="O935" s="440"/>
      <c r="P935" s="440"/>
      <c r="Q935" s="440"/>
      <c r="R935" s="108"/>
      <c r="S935" s="440"/>
      <c r="T935" s="440"/>
      <c r="U935" s="440"/>
      <c r="V935" s="440"/>
      <c r="W935" s="440"/>
      <c r="X935" s="440"/>
      <c r="Y935" s="108"/>
      <c r="Z935" s="108"/>
    </row>
    <row r="936" ht="18.75" customHeight="1">
      <c r="A936" s="437"/>
      <c r="B936" s="438"/>
      <c r="C936" s="438"/>
      <c r="D936" s="438"/>
      <c r="E936" s="438"/>
      <c r="F936" s="438"/>
      <c r="G936" s="438"/>
      <c r="H936" s="108"/>
      <c r="I936" s="108"/>
      <c r="J936" s="440"/>
      <c r="K936" s="440"/>
      <c r="L936" s="440"/>
      <c r="M936" s="440"/>
      <c r="N936" s="440"/>
      <c r="O936" s="440"/>
      <c r="P936" s="440"/>
      <c r="Q936" s="440"/>
      <c r="R936" s="108"/>
      <c r="S936" s="440"/>
      <c r="T936" s="440"/>
      <c r="U936" s="440"/>
      <c r="V936" s="440"/>
      <c r="W936" s="440"/>
      <c r="X936" s="440"/>
      <c r="Y936" s="108"/>
      <c r="Z936" s="108"/>
    </row>
    <row r="937" ht="18.75" customHeight="1">
      <c r="A937" s="437"/>
      <c r="B937" s="438"/>
      <c r="C937" s="438"/>
      <c r="D937" s="438"/>
      <c r="E937" s="438"/>
      <c r="F937" s="438"/>
      <c r="G937" s="438"/>
      <c r="H937" s="108"/>
      <c r="I937" s="108"/>
      <c r="J937" s="440"/>
      <c r="K937" s="440"/>
      <c r="L937" s="440"/>
      <c r="M937" s="440"/>
      <c r="N937" s="440"/>
      <c r="O937" s="440"/>
      <c r="P937" s="440"/>
      <c r="Q937" s="440"/>
      <c r="R937" s="108"/>
      <c r="S937" s="440"/>
      <c r="T937" s="440"/>
      <c r="U937" s="440"/>
      <c r="V937" s="440"/>
      <c r="W937" s="440"/>
      <c r="X937" s="440"/>
      <c r="Y937" s="108"/>
      <c r="Z937" s="108"/>
    </row>
    <row r="938" ht="18.75" customHeight="1">
      <c r="A938" s="437"/>
      <c r="B938" s="438"/>
      <c r="C938" s="438"/>
      <c r="D938" s="438"/>
      <c r="E938" s="438"/>
      <c r="F938" s="438"/>
      <c r="G938" s="438"/>
      <c r="H938" s="108"/>
      <c r="I938" s="108"/>
      <c r="J938" s="440"/>
      <c r="K938" s="440"/>
      <c r="L938" s="440"/>
      <c r="M938" s="440"/>
      <c r="N938" s="440"/>
      <c r="O938" s="440"/>
      <c r="P938" s="440"/>
      <c r="Q938" s="440"/>
      <c r="R938" s="108"/>
      <c r="S938" s="440"/>
      <c r="T938" s="440"/>
      <c r="U938" s="440"/>
      <c r="V938" s="440"/>
      <c r="W938" s="440"/>
      <c r="X938" s="440"/>
      <c r="Y938" s="108"/>
      <c r="Z938" s="108"/>
    </row>
    <row r="939" ht="18.75" customHeight="1">
      <c r="A939" s="437"/>
      <c r="B939" s="438"/>
      <c r="C939" s="438"/>
      <c r="D939" s="438"/>
      <c r="E939" s="438"/>
      <c r="F939" s="438"/>
      <c r="G939" s="438"/>
      <c r="H939" s="108"/>
      <c r="I939" s="108"/>
      <c r="J939" s="440"/>
      <c r="K939" s="440"/>
      <c r="L939" s="440"/>
      <c r="M939" s="440"/>
      <c r="N939" s="440"/>
      <c r="O939" s="440"/>
      <c r="P939" s="440"/>
      <c r="Q939" s="440"/>
      <c r="R939" s="108"/>
      <c r="S939" s="440"/>
      <c r="T939" s="440"/>
      <c r="U939" s="440"/>
      <c r="V939" s="440"/>
      <c r="W939" s="440"/>
      <c r="X939" s="440"/>
      <c r="Y939" s="108"/>
      <c r="Z939" s="108"/>
    </row>
    <row r="940" ht="18.75" customHeight="1">
      <c r="A940" s="437"/>
      <c r="B940" s="438"/>
      <c r="C940" s="438"/>
      <c r="D940" s="438"/>
      <c r="E940" s="438"/>
      <c r="F940" s="438"/>
      <c r="G940" s="438"/>
      <c r="H940" s="108"/>
      <c r="I940" s="108"/>
      <c r="J940" s="440"/>
      <c r="K940" s="440"/>
      <c r="L940" s="440"/>
      <c r="M940" s="440"/>
      <c r="N940" s="440"/>
      <c r="O940" s="440"/>
      <c r="P940" s="440"/>
      <c r="Q940" s="440"/>
      <c r="R940" s="108"/>
      <c r="S940" s="440"/>
      <c r="T940" s="440"/>
      <c r="U940" s="440"/>
      <c r="V940" s="440"/>
      <c r="W940" s="440"/>
      <c r="X940" s="440"/>
      <c r="Y940" s="108"/>
      <c r="Z940" s="108"/>
    </row>
    <row r="941" ht="18.75" customHeight="1">
      <c r="A941" s="437"/>
      <c r="B941" s="438"/>
      <c r="C941" s="438"/>
      <c r="D941" s="438"/>
      <c r="E941" s="438"/>
      <c r="F941" s="438"/>
      <c r="G941" s="438"/>
      <c r="H941" s="108"/>
      <c r="I941" s="108"/>
      <c r="J941" s="440"/>
      <c r="K941" s="440"/>
      <c r="L941" s="440"/>
      <c r="M941" s="440"/>
      <c r="N941" s="440"/>
      <c r="O941" s="440"/>
      <c r="P941" s="440"/>
      <c r="Q941" s="440"/>
      <c r="R941" s="108"/>
      <c r="S941" s="440"/>
      <c r="T941" s="440"/>
      <c r="U941" s="440"/>
      <c r="V941" s="440"/>
      <c r="W941" s="440"/>
      <c r="X941" s="440"/>
      <c r="Y941" s="108"/>
      <c r="Z941" s="108"/>
    </row>
    <row r="942" ht="18.75" customHeight="1">
      <c r="A942" s="437"/>
      <c r="B942" s="438"/>
      <c r="C942" s="438"/>
      <c r="D942" s="438"/>
      <c r="E942" s="438"/>
      <c r="F942" s="438"/>
      <c r="G942" s="438"/>
      <c r="H942" s="108"/>
      <c r="I942" s="108"/>
      <c r="J942" s="440"/>
      <c r="K942" s="440"/>
      <c r="L942" s="440"/>
      <c r="M942" s="440"/>
      <c r="N942" s="440"/>
      <c r="O942" s="440"/>
      <c r="P942" s="440"/>
      <c r="Q942" s="440"/>
      <c r="R942" s="108"/>
      <c r="S942" s="440"/>
      <c r="T942" s="440"/>
      <c r="U942" s="440"/>
      <c r="V942" s="440"/>
      <c r="W942" s="440"/>
      <c r="X942" s="440"/>
      <c r="Y942" s="108"/>
      <c r="Z942" s="108"/>
    </row>
    <row r="943" ht="18.75" customHeight="1">
      <c r="A943" s="437"/>
      <c r="B943" s="438"/>
      <c r="C943" s="438"/>
      <c r="D943" s="438"/>
      <c r="E943" s="438"/>
      <c r="F943" s="438"/>
      <c r="G943" s="438"/>
      <c r="H943" s="108"/>
      <c r="I943" s="108"/>
      <c r="J943" s="440"/>
      <c r="K943" s="440"/>
      <c r="L943" s="440"/>
      <c r="M943" s="440"/>
      <c r="N943" s="440"/>
      <c r="O943" s="440"/>
      <c r="P943" s="440"/>
      <c r="Q943" s="440"/>
      <c r="R943" s="108"/>
      <c r="S943" s="440"/>
      <c r="T943" s="440"/>
      <c r="U943" s="440"/>
      <c r="V943" s="440"/>
      <c r="W943" s="440"/>
      <c r="X943" s="440"/>
      <c r="Y943" s="108"/>
      <c r="Z943" s="108"/>
    </row>
    <row r="944" ht="18.75" customHeight="1">
      <c r="A944" s="437"/>
      <c r="B944" s="438"/>
      <c r="C944" s="438"/>
      <c r="D944" s="438"/>
      <c r="E944" s="438"/>
      <c r="F944" s="438"/>
      <c r="G944" s="438"/>
      <c r="H944" s="108"/>
      <c r="I944" s="108"/>
      <c r="J944" s="440"/>
      <c r="K944" s="440"/>
      <c r="L944" s="440"/>
      <c r="M944" s="440"/>
      <c r="N944" s="440"/>
      <c r="O944" s="440"/>
      <c r="P944" s="440"/>
      <c r="Q944" s="440"/>
      <c r="R944" s="108"/>
      <c r="S944" s="440"/>
      <c r="T944" s="440"/>
      <c r="U944" s="440"/>
      <c r="V944" s="440"/>
      <c r="W944" s="440"/>
      <c r="X944" s="440"/>
      <c r="Y944" s="108"/>
      <c r="Z944" s="108"/>
    </row>
    <row r="945" ht="18.75" customHeight="1">
      <c r="A945" s="437"/>
      <c r="B945" s="438"/>
      <c r="C945" s="438"/>
      <c r="D945" s="438"/>
      <c r="E945" s="438"/>
      <c r="F945" s="438"/>
      <c r="G945" s="438"/>
      <c r="H945" s="108"/>
      <c r="I945" s="108"/>
      <c r="J945" s="440"/>
      <c r="K945" s="440"/>
      <c r="L945" s="440"/>
      <c r="M945" s="440"/>
      <c r="N945" s="440"/>
      <c r="O945" s="440"/>
      <c r="P945" s="440"/>
      <c r="Q945" s="440"/>
      <c r="R945" s="108"/>
      <c r="S945" s="440"/>
      <c r="T945" s="440"/>
      <c r="U945" s="440"/>
      <c r="V945" s="440"/>
      <c r="W945" s="440"/>
      <c r="X945" s="440"/>
      <c r="Y945" s="108"/>
      <c r="Z945" s="108"/>
    </row>
    <row r="946" ht="18.75" customHeight="1">
      <c r="A946" s="437"/>
      <c r="B946" s="438"/>
      <c r="C946" s="438"/>
      <c r="D946" s="438"/>
      <c r="E946" s="438"/>
      <c r="F946" s="438"/>
      <c r="G946" s="438"/>
      <c r="H946" s="108"/>
      <c r="I946" s="108"/>
      <c r="J946" s="440"/>
      <c r="K946" s="440"/>
      <c r="L946" s="440"/>
      <c r="M946" s="440"/>
      <c r="N946" s="440"/>
      <c r="O946" s="440"/>
      <c r="P946" s="440"/>
      <c r="Q946" s="440"/>
      <c r="R946" s="108"/>
      <c r="S946" s="440"/>
      <c r="T946" s="440"/>
      <c r="U946" s="440"/>
      <c r="V946" s="440"/>
      <c r="W946" s="440"/>
      <c r="X946" s="440"/>
      <c r="Y946" s="108"/>
      <c r="Z946" s="108"/>
    </row>
    <row r="947" ht="18.75" customHeight="1">
      <c r="A947" s="437"/>
      <c r="B947" s="438"/>
      <c r="C947" s="438"/>
      <c r="D947" s="438"/>
      <c r="E947" s="438"/>
      <c r="F947" s="438"/>
      <c r="G947" s="438"/>
      <c r="H947" s="108"/>
      <c r="I947" s="108"/>
      <c r="J947" s="440"/>
      <c r="K947" s="440"/>
      <c r="L947" s="440"/>
      <c r="M947" s="440"/>
      <c r="N947" s="440"/>
      <c r="O947" s="440"/>
      <c r="P947" s="440"/>
      <c r="Q947" s="440"/>
      <c r="R947" s="108"/>
      <c r="S947" s="440"/>
      <c r="T947" s="440"/>
      <c r="U947" s="440"/>
      <c r="V947" s="440"/>
      <c r="W947" s="440"/>
      <c r="X947" s="440"/>
      <c r="Y947" s="108"/>
      <c r="Z947" s="108"/>
    </row>
    <row r="948" ht="18.75" customHeight="1">
      <c r="A948" s="437"/>
      <c r="B948" s="438"/>
      <c r="C948" s="438"/>
      <c r="D948" s="438"/>
      <c r="E948" s="438"/>
      <c r="F948" s="438"/>
      <c r="G948" s="438"/>
      <c r="H948" s="108"/>
      <c r="I948" s="108"/>
      <c r="J948" s="440"/>
      <c r="K948" s="440"/>
      <c r="L948" s="440"/>
      <c r="M948" s="440"/>
      <c r="N948" s="440"/>
      <c r="O948" s="440"/>
      <c r="P948" s="440"/>
      <c r="Q948" s="440"/>
      <c r="R948" s="108"/>
      <c r="S948" s="440"/>
      <c r="T948" s="440"/>
      <c r="U948" s="440"/>
      <c r="V948" s="440"/>
      <c r="W948" s="440"/>
      <c r="X948" s="440"/>
      <c r="Y948" s="108"/>
      <c r="Z948" s="108"/>
    </row>
    <row r="949" ht="18.75" customHeight="1">
      <c r="A949" s="437"/>
      <c r="B949" s="438"/>
      <c r="C949" s="438"/>
      <c r="D949" s="438"/>
      <c r="E949" s="438"/>
      <c r="F949" s="438"/>
      <c r="G949" s="438"/>
      <c r="H949" s="108"/>
      <c r="I949" s="108"/>
      <c r="J949" s="440"/>
      <c r="K949" s="440"/>
      <c r="L949" s="440"/>
      <c r="M949" s="440"/>
      <c r="N949" s="440"/>
      <c r="O949" s="440"/>
      <c r="P949" s="440"/>
      <c r="Q949" s="440"/>
      <c r="R949" s="108"/>
      <c r="S949" s="440"/>
      <c r="T949" s="440"/>
      <c r="U949" s="440"/>
      <c r="V949" s="440"/>
      <c r="W949" s="440"/>
      <c r="X949" s="440"/>
      <c r="Y949" s="108"/>
      <c r="Z949" s="108"/>
    </row>
    <row r="950" ht="18.75" customHeight="1">
      <c r="A950" s="437"/>
      <c r="B950" s="438"/>
      <c r="C950" s="438"/>
      <c r="D950" s="438"/>
      <c r="E950" s="438"/>
      <c r="F950" s="438"/>
      <c r="G950" s="438"/>
      <c r="H950" s="108"/>
      <c r="I950" s="108"/>
      <c r="J950" s="440"/>
      <c r="K950" s="440"/>
      <c r="L950" s="440"/>
      <c r="M950" s="440"/>
      <c r="N950" s="440"/>
      <c r="O950" s="440"/>
      <c r="P950" s="440"/>
      <c r="Q950" s="440"/>
      <c r="R950" s="108"/>
      <c r="S950" s="440"/>
      <c r="T950" s="440"/>
      <c r="U950" s="440"/>
      <c r="V950" s="440"/>
      <c r="W950" s="440"/>
      <c r="X950" s="440"/>
      <c r="Y950" s="108"/>
      <c r="Z950" s="108"/>
    </row>
    <row r="951" ht="18.75" customHeight="1">
      <c r="A951" s="437"/>
      <c r="B951" s="438"/>
      <c r="C951" s="438"/>
      <c r="D951" s="438"/>
      <c r="E951" s="438"/>
      <c r="F951" s="438"/>
      <c r="G951" s="438"/>
      <c r="H951" s="108"/>
      <c r="I951" s="108"/>
      <c r="J951" s="440"/>
      <c r="K951" s="440"/>
      <c r="L951" s="440"/>
      <c r="M951" s="440"/>
      <c r="N951" s="440"/>
      <c r="O951" s="440"/>
      <c r="P951" s="440"/>
      <c r="Q951" s="440"/>
      <c r="R951" s="108"/>
      <c r="S951" s="440"/>
      <c r="T951" s="440"/>
      <c r="U951" s="440"/>
      <c r="V951" s="440"/>
      <c r="W951" s="440"/>
      <c r="X951" s="440"/>
      <c r="Y951" s="108"/>
      <c r="Z951" s="108"/>
    </row>
    <row r="952" ht="18.75" customHeight="1">
      <c r="A952" s="437"/>
      <c r="B952" s="438"/>
      <c r="C952" s="438"/>
      <c r="D952" s="438"/>
      <c r="E952" s="438"/>
      <c r="F952" s="438"/>
      <c r="G952" s="438"/>
      <c r="H952" s="108"/>
      <c r="I952" s="108"/>
      <c r="J952" s="440"/>
      <c r="K952" s="440"/>
      <c r="L952" s="440"/>
      <c r="M952" s="440"/>
      <c r="N952" s="440"/>
      <c r="O952" s="440"/>
      <c r="P952" s="440"/>
      <c r="Q952" s="440"/>
      <c r="R952" s="108"/>
      <c r="S952" s="440"/>
      <c r="T952" s="440"/>
      <c r="U952" s="440"/>
      <c r="V952" s="440"/>
      <c r="W952" s="440"/>
      <c r="X952" s="440"/>
      <c r="Y952" s="108"/>
      <c r="Z952" s="108"/>
    </row>
    <row r="953" ht="18.75" customHeight="1">
      <c r="A953" s="437"/>
      <c r="B953" s="438"/>
      <c r="C953" s="438"/>
      <c r="D953" s="438"/>
      <c r="E953" s="438"/>
      <c r="F953" s="438"/>
      <c r="G953" s="438"/>
      <c r="H953" s="108"/>
      <c r="I953" s="108"/>
      <c r="J953" s="440"/>
      <c r="K953" s="440"/>
      <c r="L953" s="440"/>
      <c r="M953" s="440"/>
      <c r="N953" s="440"/>
      <c r="O953" s="440"/>
      <c r="P953" s="440"/>
      <c r="Q953" s="440"/>
      <c r="R953" s="108"/>
      <c r="S953" s="440"/>
      <c r="T953" s="440"/>
      <c r="U953" s="440"/>
      <c r="V953" s="440"/>
      <c r="W953" s="440"/>
      <c r="X953" s="440"/>
      <c r="Y953" s="108"/>
      <c r="Z953" s="108"/>
    </row>
    <row r="954" ht="18.75" customHeight="1">
      <c r="A954" s="437"/>
      <c r="B954" s="438"/>
      <c r="C954" s="438"/>
      <c r="D954" s="438"/>
      <c r="E954" s="438"/>
      <c r="F954" s="438"/>
      <c r="G954" s="438"/>
      <c r="H954" s="108"/>
      <c r="I954" s="108"/>
      <c r="J954" s="440"/>
      <c r="K954" s="440"/>
      <c r="L954" s="440"/>
      <c r="M954" s="440"/>
      <c r="N954" s="440"/>
      <c r="O954" s="440"/>
      <c r="P954" s="440"/>
      <c r="Q954" s="440"/>
      <c r="R954" s="108"/>
      <c r="S954" s="440"/>
      <c r="T954" s="440"/>
      <c r="U954" s="440"/>
      <c r="V954" s="440"/>
      <c r="W954" s="440"/>
      <c r="X954" s="440"/>
      <c r="Y954" s="108"/>
      <c r="Z954" s="108"/>
    </row>
    <row r="955" ht="18.75" customHeight="1">
      <c r="A955" s="437"/>
      <c r="B955" s="438"/>
      <c r="C955" s="438"/>
      <c r="D955" s="438"/>
      <c r="E955" s="438"/>
      <c r="F955" s="438"/>
      <c r="G955" s="438"/>
      <c r="H955" s="108"/>
      <c r="I955" s="108"/>
      <c r="J955" s="440"/>
      <c r="K955" s="440"/>
      <c r="L955" s="440"/>
      <c r="M955" s="440"/>
      <c r="N955" s="440"/>
      <c r="O955" s="440"/>
      <c r="P955" s="440"/>
      <c r="Q955" s="440"/>
      <c r="R955" s="108"/>
      <c r="S955" s="440"/>
      <c r="T955" s="440"/>
      <c r="U955" s="440"/>
      <c r="V955" s="440"/>
      <c r="W955" s="440"/>
      <c r="X955" s="440"/>
      <c r="Y955" s="108"/>
      <c r="Z955" s="108"/>
    </row>
    <row r="956" ht="18.75" customHeight="1">
      <c r="A956" s="437"/>
      <c r="B956" s="438"/>
      <c r="C956" s="438"/>
      <c r="D956" s="438"/>
      <c r="E956" s="438"/>
      <c r="F956" s="438"/>
      <c r="G956" s="438"/>
      <c r="H956" s="108"/>
      <c r="I956" s="108"/>
      <c r="J956" s="440"/>
      <c r="K956" s="440"/>
      <c r="L956" s="440"/>
      <c r="M956" s="440"/>
      <c r="N956" s="440"/>
      <c r="O956" s="440"/>
      <c r="P956" s="440"/>
      <c r="Q956" s="440"/>
      <c r="R956" s="108"/>
      <c r="S956" s="440"/>
      <c r="T956" s="440"/>
      <c r="U956" s="440"/>
      <c r="V956" s="440"/>
      <c r="W956" s="440"/>
      <c r="X956" s="440"/>
      <c r="Y956" s="108"/>
      <c r="Z956" s="108"/>
    </row>
    <row r="957" ht="18.75" customHeight="1">
      <c r="A957" s="437"/>
      <c r="B957" s="438"/>
      <c r="C957" s="438"/>
      <c r="D957" s="438"/>
      <c r="E957" s="438"/>
      <c r="F957" s="438"/>
      <c r="G957" s="438"/>
      <c r="H957" s="108"/>
      <c r="I957" s="108"/>
      <c r="J957" s="440"/>
      <c r="K957" s="440"/>
      <c r="L957" s="440"/>
      <c r="M957" s="440"/>
      <c r="N957" s="440"/>
      <c r="O957" s="440"/>
      <c r="P957" s="440"/>
      <c r="Q957" s="440"/>
      <c r="R957" s="108"/>
      <c r="S957" s="440"/>
      <c r="T957" s="440"/>
      <c r="U957" s="440"/>
      <c r="V957" s="440"/>
      <c r="W957" s="440"/>
      <c r="X957" s="440"/>
      <c r="Y957" s="108"/>
      <c r="Z957" s="108"/>
    </row>
    <row r="958" ht="18.75" customHeight="1">
      <c r="A958" s="437"/>
      <c r="B958" s="438"/>
      <c r="C958" s="438"/>
      <c r="D958" s="438"/>
      <c r="E958" s="438"/>
      <c r="F958" s="438"/>
      <c r="G958" s="438"/>
      <c r="H958" s="108"/>
      <c r="I958" s="108"/>
      <c r="J958" s="440"/>
      <c r="K958" s="440"/>
      <c r="L958" s="440"/>
      <c r="M958" s="440"/>
      <c r="N958" s="440"/>
      <c r="O958" s="440"/>
      <c r="P958" s="440"/>
      <c r="Q958" s="440"/>
      <c r="R958" s="108"/>
      <c r="S958" s="440"/>
      <c r="T958" s="440"/>
      <c r="U958" s="440"/>
      <c r="V958" s="440"/>
      <c r="W958" s="440"/>
      <c r="X958" s="440"/>
      <c r="Y958" s="108"/>
      <c r="Z958" s="108"/>
    </row>
    <row r="959" ht="18.75" customHeight="1">
      <c r="A959" s="437"/>
      <c r="B959" s="438"/>
      <c r="C959" s="438"/>
      <c r="D959" s="438"/>
      <c r="E959" s="438"/>
      <c r="F959" s="438"/>
      <c r="G959" s="438"/>
      <c r="H959" s="108"/>
      <c r="I959" s="108"/>
      <c r="J959" s="440"/>
      <c r="K959" s="440"/>
      <c r="L959" s="440"/>
      <c r="M959" s="440"/>
      <c r="N959" s="440"/>
      <c r="O959" s="440"/>
      <c r="P959" s="440"/>
      <c r="Q959" s="440"/>
      <c r="R959" s="108"/>
      <c r="S959" s="440"/>
      <c r="T959" s="440"/>
      <c r="U959" s="440"/>
      <c r="V959" s="440"/>
      <c r="W959" s="440"/>
      <c r="X959" s="440"/>
      <c r="Y959" s="108"/>
      <c r="Z959" s="108"/>
    </row>
    <row r="960" ht="18.75" customHeight="1">
      <c r="A960" s="437"/>
      <c r="B960" s="438"/>
      <c r="C960" s="438"/>
      <c r="D960" s="438"/>
      <c r="E960" s="438"/>
      <c r="F960" s="438"/>
      <c r="G960" s="438"/>
      <c r="H960" s="108"/>
      <c r="I960" s="108"/>
      <c r="J960" s="440"/>
      <c r="K960" s="440"/>
      <c r="L960" s="440"/>
      <c r="M960" s="440"/>
      <c r="N960" s="440"/>
      <c r="O960" s="440"/>
      <c r="P960" s="440"/>
      <c r="Q960" s="440"/>
      <c r="R960" s="108"/>
      <c r="S960" s="440"/>
      <c r="T960" s="440"/>
      <c r="U960" s="440"/>
      <c r="V960" s="440"/>
      <c r="W960" s="440"/>
      <c r="X960" s="440"/>
      <c r="Y960" s="108"/>
      <c r="Z960" s="108"/>
    </row>
    <row r="961" ht="18.75" customHeight="1">
      <c r="A961" s="437"/>
      <c r="B961" s="438"/>
      <c r="C961" s="438"/>
      <c r="D961" s="438"/>
      <c r="E961" s="438"/>
      <c r="F961" s="438"/>
      <c r="G961" s="438"/>
      <c r="H961" s="108"/>
      <c r="I961" s="108"/>
      <c r="J961" s="440"/>
      <c r="K961" s="440"/>
      <c r="L961" s="440"/>
      <c r="M961" s="440"/>
      <c r="N961" s="440"/>
      <c r="O961" s="440"/>
      <c r="P961" s="440"/>
      <c r="Q961" s="440"/>
      <c r="R961" s="108"/>
      <c r="S961" s="440"/>
      <c r="T961" s="440"/>
      <c r="U961" s="440"/>
      <c r="V961" s="440"/>
      <c r="W961" s="440"/>
      <c r="X961" s="440"/>
      <c r="Y961" s="108"/>
      <c r="Z961" s="108"/>
    </row>
    <row r="962" ht="18.75" customHeight="1">
      <c r="A962" s="437"/>
      <c r="B962" s="438"/>
      <c r="C962" s="438"/>
      <c r="D962" s="438"/>
      <c r="E962" s="438"/>
      <c r="F962" s="438"/>
      <c r="G962" s="438"/>
      <c r="H962" s="108"/>
      <c r="I962" s="108"/>
      <c r="J962" s="440"/>
      <c r="K962" s="440"/>
      <c r="L962" s="440"/>
      <c r="M962" s="440"/>
      <c r="N962" s="440"/>
      <c r="O962" s="440"/>
      <c r="P962" s="440"/>
      <c r="Q962" s="440"/>
      <c r="R962" s="108"/>
      <c r="S962" s="440"/>
      <c r="T962" s="440"/>
      <c r="U962" s="440"/>
      <c r="V962" s="440"/>
      <c r="W962" s="440"/>
      <c r="X962" s="440"/>
      <c r="Y962" s="108"/>
      <c r="Z962" s="108"/>
    </row>
    <row r="963" ht="18.75" customHeight="1">
      <c r="A963" s="437"/>
      <c r="B963" s="438"/>
      <c r="C963" s="438"/>
      <c r="D963" s="438"/>
      <c r="E963" s="438"/>
      <c r="F963" s="438"/>
      <c r="G963" s="438"/>
      <c r="H963" s="108"/>
      <c r="I963" s="108"/>
      <c r="J963" s="440"/>
      <c r="K963" s="440"/>
      <c r="L963" s="440"/>
      <c r="M963" s="440"/>
      <c r="N963" s="440"/>
      <c r="O963" s="440"/>
      <c r="P963" s="440"/>
      <c r="Q963" s="440"/>
      <c r="R963" s="108"/>
      <c r="S963" s="440"/>
      <c r="T963" s="440"/>
      <c r="U963" s="440"/>
      <c r="V963" s="440"/>
      <c r="W963" s="440"/>
      <c r="X963" s="440"/>
      <c r="Y963" s="108"/>
      <c r="Z963" s="108"/>
    </row>
    <row r="964" ht="18.75" customHeight="1">
      <c r="A964" s="437"/>
      <c r="B964" s="438"/>
      <c r="C964" s="438"/>
      <c r="D964" s="438"/>
      <c r="E964" s="438"/>
      <c r="F964" s="438"/>
      <c r="G964" s="438"/>
      <c r="H964" s="108"/>
      <c r="I964" s="108"/>
      <c r="J964" s="440"/>
      <c r="K964" s="440"/>
      <c r="L964" s="440"/>
      <c r="M964" s="440"/>
      <c r="N964" s="440"/>
      <c r="O964" s="440"/>
      <c r="P964" s="440"/>
      <c r="Q964" s="440"/>
      <c r="R964" s="108"/>
      <c r="S964" s="440"/>
      <c r="T964" s="440"/>
      <c r="U964" s="440"/>
      <c r="V964" s="440"/>
      <c r="W964" s="440"/>
      <c r="X964" s="440"/>
      <c r="Y964" s="108"/>
      <c r="Z964" s="108"/>
    </row>
    <row r="965" ht="18.75" customHeight="1">
      <c r="A965" s="437"/>
      <c r="B965" s="438"/>
      <c r="C965" s="438"/>
      <c r="D965" s="438"/>
      <c r="E965" s="438"/>
      <c r="F965" s="438"/>
      <c r="G965" s="438"/>
      <c r="H965" s="108"/>
      <c r="I965" s="108"/>
      <c r="J965" s="440"/>
      <c r="K965" s="440"/>
      <c r="L965" s="440"/>
      <c r="M965" s="440"/>
      <c r="N965" s="440"/>
      <c r="O965" s="440"/>
      <c r="P965" s="440"/>
      <c r="Q965" s="440"/>
      <c r="R965" s="108"/>
      <c r="S965" s="440"/>
      <c r="T965" s="440"/>
      <c r="U965" s="440"/>
      <c r="V965" s="440"/>
      <c r="W965" s="440"/>
      <c r="X965" s="440"/>
      <c r="Y965" s="108"/>
      <c r="Z965" s="108"/>
    </row>
    <row r="966" ht="18.75" customHeight="1">
      <c r="A966" s="437"/>
      <c r="B966" s="438"/>
      <c r="C966" s="438"/>
      <c r="D966" s="438"/>
      <c r="E966" s="438"/>
      <c r="F966" s="438"/>
      <c r="G966" s="438"/>
      <c r="H966" s="108"/>
      <c r="I966" s="108"/>
      <c r="J966" s="440"/>
      <c r="K966" s="440"/>
      <c r="L966" s="440"/>
      <c r="M966" s="440"/>
      <c r="N966" s="440"/>
      <c r="O966" s="440"/>
      <c r="P966" s="440"/>
      <c r="Q966" s="440"/>
      <c r="R966" s="108"/>
      <c r="S966" s="440"/>
      <c r="T966" s="440"/>
      <c r="U966" s="440"/>
      <c r="V966" s="440"/>
      <c r="W966" s="440"/>
      <c r="X966" s="440"/>
      <c r="Y966" s="108"/>
      <c r="Z966" s="108"/>
    </row>
    <row r="967" ht="18.75" customHeight="1">
      <c r="A967" s="437"/>
      <c r="B967" s="438"/>
      <c r="C967" s="438"/>
      <c r="D967" s="438"/>
      <c r="E967" s="438"/>
      <c r="F967" s="438"/>
      <c r="G967" s="438"/>
      <c r="H967" s="108"/>
      <c r="I967" s="108"/>
      <c r="J967" s="440"/>
      <c r="K967" s="440"/>
      <c r="L967" s="440"/>
      <c r="M967" s="440"/>
      <c r="N967" s="440"/>
      <c r="O967" s="440"/>
      <c r="P967" s="440"/>
      <c r="Q967" s="440"/>
      <c r="R967" s="108"/>
      <c r="S967" s="440"/>
      <c r="T967" s="440"/>
      <c r="U967" s="440"/>
      <c r="V967" s="440"/>
      <c r="W967" s="440"/>
      <c r="X967" s="440"/>
      <c r="Y967" s="108"/>
      <c r="Z967" s="108"/>
    </row>
    <row r="968" ht="18.75" customHeight="1">
      <c r="A968" s="437"/>
      <c r="B968" s="438"/>
      <c r="C968" s="438"/>
      <c r="D968" s="438"/>
      <c r="E968" s="438"/>
      <c r="F968" s="438"/>
      <c r="G968" s="438"/>
      <c r="H968" s="108"/>
      <c r="I968" s="108"/>
      <c r="J968" s="440"/>
      <c r="K968" s="440"/>
      <c r="L968" s="440"/>
      <c r="M968" s="440"/>
      <c r="N968" s="440"/>
      <c r="O968" s="440"/>
      <c r="P968" s="440"/>
      <c r="Q968" s="440"/>
      <c r="R968" s="108"/>
      <c r="S968" s="440"/>
      <c r="T968" s="440"/>
      <c r="U968" s="440"/>
      <c r="V968" s="440"/>
      <c r="W968" s="440"/>
      <c r="X968" s="440"/>
      <c r="Y968" s="108"/>
      <c r="Z968" s="108"/>
    </row>
    <row r="969" ht="18.75" customHeight="1">
      <c r="A969" s="437"/>
      <c r="B969" s="438"/>
      <c r="C969" s="438"/>
      <c r="D969" s="438"/>
      <c r="E969" s="438"/>
      <c r="F969" s="438"/>
      <c r="G969" s="438"/>
      <c r="H969" s="108"/>
      <c r="I969" s="108"/>
      <c r="J969" s="440"/>
      <c r="K969" s="440"/>
      <c r="L969" s="440"/>
      <c r="M969" s="440"/>
      <c r="N969" s="440"/>
      <c r="O969" s="440"/>
      <c r="P969" s="440"/>
      <c r="Q969" s="440"/>
      <c r="R969" s="108"/>
      <c r="S969" s="440"/>
      <c r="T969" s="440"/>
      <c r="U969" s="440"/>
      <c r="V969" s="440"/>
      <c r="W969" s="440"/>
      <c r="X969" s="440"/>
      <c r="Y969" s="108"/>
      <c r="Z969" s="108"/>
    </row>
    <row r="970" ht="18.75" customHeight="1">
      <c r="A970" s="437"/>
      <c r="B970" s="438"/>
      <c r="C970" s="438"/>
      <c r="D970" s="438"/>
      <c r="E970" s="438"/>
      <c r="F970" s="438"/>
      <c r="G970" s="438"/>
      <c r="H970" s="108"/>
      <c r="I970" s="108"/>
      <c r="J970" s="440"/>
      <c r="K970" s="440"/>
      <c r="L970" s="440"/>
      <c r="M970" s="440"/>
      <c r="N970" s="440"/>
      <c r="O970" s="440"/>
      <c r="P970" s="440"/>
      <c r="Q970" s="440"/>
      <c r="R970" s="108"/>
      <c r="S970" s="440"/>
      <c r="T970" s="440"/>
      <c r="U970" s="440"/>
      <c r="V970" s="440"/>
      <c r="W970" s="440"/>
      <c r="X970" s="440"/>
      <c r="Y970" s="108"/>
      <c r="Z970" s="108"/>
    </row>
    <row r="971" ht="18.75" customHeight="1">
      <c r="A971" s="437"/>
      <c r="B971" s="438"/>
      <c r="C971" s="438"/>
      <c r="D971" s="438"/>
      <c r="E971" s="438"/>
      <c r="F971" s="438"/>
      <c r="G971" s="438"/>
      <c r="H971" s="108"/>
      <c r="I971" s="108"/>
      <c r="J971" s="440"/>
      <c r="K971" s="440"/>
      <c r="L971" s="440"/>
      <c r="M971" s="440"/>
      <c r="N971" s="440"/>
      <c r="O971" s="440"/>
      <c r="P971" s="440"/>
      <c r="Q971" s="440"/>
      <c r="R971" s="108"/>
      <c r="S971" s="440"/>
      <c r="T971" s="440"/>
      <c r="U971" s="440"/>
      <c r="V971" s="440"/>
      <c r="W971" s="440"/>
      <c r="X971" s="440"/>
      <c r="Y971" s="108"/>
      <c r="Z971" s="108"/>
    </row>
    <row r="972" ht="18.75" customHeight="1">
      <c r="A972" s="437"/>
      <c r="B972" s="438"/>
      <c r="C972" s="438"/>
      <c r="D972" s="438"/>
      <c r="E972" s="438"/>
      <c r="F972" s="438"/>
      <c r="G972" s="438"/>
      <c r="H972" s="108"/>
      <c r="I972" s="108"/>
      <c r="J972" s="440"/>
      <c r="K972" s="440"/>
      <c r="L972" s="440"/>
      <c r="M972" s="440"/>
      <c r="N972" s="440"/>
      <c r="O972" s="440"/>
      <c r="P972" s="440"/>
      <c r="Q972" s="440"/>
      <c r="R972" s="108"/>
      <c r="S972" s="440"/>
      <c r="T972" s="440"/>
      <c r="U972" s="440"/>
      <c r="V972" s="440"/>
      <c r="W972" s="440"/>
      <c r="X972" s="440"/>
      <c r="Y972" s="108"/>
      <c r="Z972" s="108"/>
    </row>
    <row r="973" ht="18.75" customHeight="1">
      <c r="A973" s="437"/>
      <c r="B973" s="438"/>
      <c r="C973" s="438"/>
      <c r="D973" s="438"/>
      <c r="E973" s="438"/>
      <c r="F973" s="438"/>
      <c r="G973" s="438"/>
      <c r="H973" s="108"/>
      <c r="I973" s="108"/>
      <c r="J973" s="440"/>
      <c r="K973" s="440"/>
      <c r="L973" s="440"/>
      <c r="M973" s="440"/>
      <c r="N973" s="440"/>
      <c r="O973" s="440"/>
      <c r="P973" s="440"/>
      <c r="Q973" s="440"/>
      <c r="R973" s="108"/>
      <c r="S973" s="440"/>
      <c r="T973" s="440"/>
      <c r="U973" s="440"/>
      <c r="V973" s="440"/>
      <c r="W973" s="440"/>
      <c r="X973" s="440"/>
      <c r="Y973" s="108"/>
      <c r="Z973" s="108"/>
    </row>
    <row r="974" ht="18.75" customHeight="1">
      <c r="A974" s="437"/>
      <c r="B974" s="438"/>
      <c r="C974" s="438"/>
      <c r="D974" s="438"/>
      <c r="E974" s="438"/>
      <c r="F974" s="438"/>
      <c r="G974" s="438"/>
      <c r="H974" s="108"/>
      <c r="I974" s="108"/>
      <c r="J974" s="440"/>
      <c r="K974" s="440"/>
      <c r="L974" s="440"/>
      <c r="M974" s="440"/>
      <c r="N974" s="440"/>
      <c r="O974" s="440"/>
      <c r="P974" s="440"/>
      <c r="Q974" s="440"/>
      <c r="R974" s="108"/>
      <c r="S974" s="440"/>
      <c r="T974" s="440"/>
      <c r="U974" s="440"/>
      <c r="V974" s="440"/>
      <c r="W974" s="440"/>
      <c r="X974" s="440"/>
      <c r="Y974" s="108"/>
      <c r="Z974" s="108"/>
    </row>
    <row r="975" ht="18.75" customHeight="1">
      <c r="A975" s="437"/>
      <c r="B975" s="438"/>
      <c r="C975" s="438"/>
      <c r="D975" s="438"/>
      <c r="E975" s="438"/>
      <c r="F975" s="438"/>
      <c r="G975" s="438"/>
      <c r="H975" s="108"/>
      <c r="I975" s="108"/>
      <c r="J975" s="440"/>
      <c r="K975" s="440"/>
      <c r="L975" s="440"/>
      <c r="M975" s="440"/>
      <c r="N975" s="440"/>
      <c r="O975" s="440"/>
      <c r="P975" s="440"/>
      <c r="Q975" s="440"/>
      <c r="R975" s="108"/>
      <c r="S975" s="440"/>
      <c r="T975" s="440"/>
      <c r="U975" s="440"/>
      <c r="V975" s="440"/>
      <c r="W975" s="440"/>
      <c r="X975" s="440"/>
      <c r="Y975" s="108"/>
      <c r="Z975" s="108"/>
    </row>
    <row r="976" ht="18.75" customHeight="1">
      <c r="A976" s="437"/>
      <c r="B976" s="438"/>
      <c r="C976" s="438"/>
      <c r="D976" s="438"/>
      <c r="E976" s="438"/>
      <c r="F976" s="438"/>
      <c r="G976" s="438"/>
      <c r="H976" s="108"/>
      <c r="I976" s="108"/>
      <c r="J976" s="440"/>
      <c r="K976" s="440"/>
      <c r="L976" s="440"/>
      <c r="M976" s="440"/>
      <c r="N976" s="440"/>
      <c r="O976" s="440"/>
      <c r="P976" s="440"/>
      <c r="Q976" s="440"/>
      <c r="R976" s="108"/>
      <c r="S976" s="440"/>
      <c r="T976" s="440"/>
      <c r="U976" s="440"/>
      <c r="V976" s="440"/>
      <c r="W976" s="440"/>
      <c r="X976" s="440"/>
      <c r="Y976" s="108"/>
      <c r="Z976" s="108"/>
    </row>
    <row r="977" ht="18.75" customHeight="1">
      <c r="A977" s="437"/>
      <c r="B977" s="438"/>
      <c r="C977" s="438"/>
      <c r="D977" s="438"/>
      <c r="E977" s="438"/>
      <c r="F977" s="438"/>
      <c r="G977" s="438"/>
      <c r="H977" s="108"/>
      <c r="I977" s="108"/>
      <c r="J977" s="440"/>
      <c r="K977" s="440"/>
      <c r="L977" s="440"/>
      <c r="M977" s="440"/>
      <c r="N977" s="440"/>
      <c r="O977" s="440"/>
      <c r="P977" s="440"/>
      <c r="Q977" s="440"/>
      <c r="R977" s="108"/>
      <c r="S977" s="440"/>
      <c r="T977" s="440"/>
      <c r="U977" s="440"/>
      <c r="V977" s="440"/>
      <c r="W977" s="440"/>
      <c r="X977" s="440"/>
      <c r="Y977" s="108"/>
      <c r="Z977" s="108"/>
    </row>
    <row r="978" ht="18.75" customHeight="1">
      <c r="A978" s="437"/>
      <c r="B978" s="438"/>
      <c r="C978" s="438"/>
      <c r="D978" s="438"/>
      <c r="E978" s="438"/>
      <c r="F978" s="438"/>
      <c r="G978" s="438"/>
      <c r="H978" s="108"/>
      <c r="I978" s="108"/>
      <c r="J978" s="440"/>
      <c r="K978" s="440"/>
      <c r="L978" s="440"/>
      <c r="M978" s="440"/>
      <c r="N978" s="440"/>
      <c r="O978" s="440"/>
      <c r="P978" s="440"/>
      <c r="Q978" s="440"/>
      <c r="R978" s="108"/>
      <c r="S978" s="440"/>
      <c r="T978" s="440"/>
      <c r="U978" s="440"/>
      <c r="V978" s="440"/>
      <c r="W978" s="440"/>
      <c r="X978" s="440"/>
      <c r="Y978" s="108"/>
      <c r="Z978" s="108"/>
    </row>
    <row r="979" ht="18.75" customHeight="1">
      <c r="A979" s="437"/>
      <c r="B979" s="438"/>
      <c r="C979" s="438"/>
      <c r="D979" s="438"/>
      <c r="E979" s="438"/>
      <c r="F979" s="438"/>
      <c r="G979" s="438"/>
      <c r="H979" s="108"/>
      <c r="I979" s="108"/>
      <c r="J979" s="440"/>
      <c r="K979" s="440"/>
      <c r="L979" s="440"/>
      <c r="M979" s="440"/>
      <c r="N979" s="440"/>
      <c r="O979" s="440"/>
      <c r="P979" s="440"/>
      <c r="Q979" s="440"/>
      <c r="R979" s="108"/>
      <c r="S979" s="440"/>
      <c r="T979" s="440"/>
      <c r="U979" s="440"/>
      <c r="V979" s="440"/>
      <c r="W979" s="440"/>
      <c r="X979" s="440"/>
      <c r="Y979" s="108"/>
      <c r="Z979" s="108"/>
    </row>
    <row r="980" ht="18.75" customHeight="1">
      <c r="A980" s="437"/>
      <c r="B980" s="438"/>
      <c r="C980" s="438"/>
      <c r="D980" s="438"/>
      <c r="E980" s="438"/>
      <c r="F980" s="438"/>
      <c r="G980" s="438"/>
      <c r="H980" s="108"/>
      <c r="I980" s="108"/>
      <c r="J980" s="440"/>
      <c r="K980" s="440"/>
      <c r="L980" s="440"/>
      <c r="M980" s="440"/>
      <c r="N980" s="440"/>
      <c r="O980" s="440"/>
      <c r="P980" s="440"/>
      <c r="Q980" s="440"/>
      <c r="R980" s="108"/>
      <c r="S980" s="440"/>
      <c r="T980" s="440"/>
      <c r="U980" s="440"/>
      <c r="V980" s="440"/>
      <c r="W980" s="440"/>
      <c r="X980" s="440"/>
      <c r="Y980" s="108"/>
      <c r="Z980" s="108"/>
    </row>
    <row r="981" ht="18.75" customHeight="1">
      <c r="A981" s="437"/>
      <c r="B981" s="438"/>
      <c r="C981" s="438"/>
      <c r="D981" s="438"/>
      <c r="E981" s="438"/>
      <c r="F981" s="438"/>
      <c r="G981" s="438"/>
      <c r="H981" s="108"/>
      <c r="I981" s="108"/>
      <c r="J981" s="440"/>
      <c r="K981" s="440"/>
      <c r="L981" s="440"/>
      <c r="M981" s="440"/>
      <c r="N981" s="440"/>
      <c r="O981" s="440"/>
      <c r="P981" s="440"/>
      <c r="Q981" s="440"/>
      <c r="R981" s="108"/>
      <c r="S981" s="440"/>
      <c r="T981" s="440"/>
      <c r="U981" s="440"/>
      <c r="V981" s="440"/>
      <c r="W981" s="440"/>
      <c r="X981" s="440"/>
      <c r="Y981" s="108"/>
      <c r="Z981" s="108"/>
    </row>
    <row r="982" ht="18.75" customHeight="1">
      <c r="A982" s="437"/>
      <c r="B982" s="438"/>
      <c r="C982" s="438"/>
      <c r="D982" s="438"/>
      <c r="E982" s="438"/>
      <c r="F982" s="438"/>
      <c r="G982" s="438"/>
      <c r="H982" s="108"/>
      <c r="I982" s="108"/>
      <c r="J982" s="440"/>
      <c r="K982" s="440"/>
      <c r="L982" s="440"/>
      <c r="M982" s="440"/>
      <c r="N982" s="440"/>
      <c r="O982" s="440"/>
      <c r="P982" s="440"/>
      <c r="Q982" s="440"/>
      <c r="R982" s="108"/>
      <c r="S982" s="440"/>
      <c r="T982" s="440"/>
      <c r="U982" s="440"/>
      <c r="V982" s="440"/>
      <c r="W982" s="440"/>
      <c r="X982" s="440"/>
      <c r="Y982" s="108"/>
      <c r="Z982" s="108"/>
    </row>
    <row r="983" ht="18.75" customHeight="1">
      <c r="A983" s="437"/>
      <c r="B983" s="438"/>
      <c r="C983" s="438"/>
      <c r="D983" s="438"/>
      <c r="E983" s="438"/>
      <c r="F983" s="438"/>
      <c r="G983" s="438"/>
      <c r="H983" s="108"/>
      <c r="I983" s="108"/>
      <c r="J983" s="440"/>
      <c r="K983" s="440"/>
      <c r="L983" s="440"/>
      <c r="M983" s="440"/>
      <c r="N983" s="440"/>
      <c r="O983" s="440"/>
      <c r="P983" s="440"/>
      <c r="Q983" s="440"/>
      <c r="R983" s="108"/>
      <c r="S983" s="440"/>
      <c r="T983" s="440"/>
      <c r="U983" s="440"/>
      <c r="V983" s="440"/>
      <c r="W983" s="440"/>
      <c r="X983" s="440"/>
      <c r="Y983" s="108"/>
      <c r="Z983" s="108"/>
    </row>
    <row r="984" ht="18.75" customHeight="1">
      <c r="A984" s="437"/>
      <c r="B984" s="438"/>
      <c r="C984" s="438"/>
      <c r="D984" s="438"/>
      <c r="E984" s="438"/>
      <c r="F984" s="438"/>
      <c r="G984" s="438"/>
      <c r="H984" s="108"/>
      <c r="I984" s="108"/>
      <c r="J984" s="440"/>
      <c r="K984" s="440"/>
      <c r="L984" s="440"/>
      <c r="M984" s="440"/>
      <c r="N984" s="440"/>
      <c r="O984" s="440"/>
      <c r="P984" s="440"/>
      <c r="Q984" s="440"/>
      <c r="R984" s="108"/>
      <c r="S984" s="440"/>
      <c r="T984" s="440"/>
      <c r="U984" s="440"/>
      <c r="V984" s="440"/>
      <c r="W984" s="440"/>
      <c r="X984" s="440"/>
      <c r="Y984" s="108"/>
      <c r="Z984" s="108"/>
    </row>
    <row r="985" ht="18.75" customHeight="1">
      <c r="A985" s="437"/>
      <c r="B985" s="438"/>
      <c r="C985" s="438"/>
      <c r="D985" s="438"/>
      <c r="E985" s="438"/>
      <c r="F985" s="438"/>
      <c r="G985" s="438"/>
      <c r="H985" s="108"/>
      <c r="I985" s="108"/>
      <c r="J985" s="440"/>
      <c r="K985" s="440"/>
      <c r="L985" s="440"/>
      <c r="M985" s="440"/>
      <c r="N985" s="440"/>
      <c r="O985" s="440"/>
      <c r="P985" s="440"/>
      <c r="Q985" s="440"/>
      <c r="R985" s="108"/>
      <c r="S985" s="440"/>
      <c r="T985" s="440"/>
      <c r="U985" s="440"/>
      <c r="V985" s="440"/>
      <c r="W985" s="440"/>
      <c r="X985" s="440"/>
      <c r="Y985" s="108"/>
      <c r="Z985" s="108"/>
    </row>
    <row r="986" ht="18.75" customHeight="1">
      <c r="A986" s="437"/>
      <c r="B986" s="438"/>
      <c r="C986" s="438"/>
      <c r="D986" s="438"/>
      <c r="E986" s="438"/>
      <c r="F986" s="438"/>
      <c r="G986" s="438"/>
      <c r="H986" s="108"/>
      <c r="I986" s="108"/>
      <c r="J986" s="440"/>
      <c r="K986" s="440"/>
      <c r="L986" s="440"/>
      <c r="M986" s="440"/>
      <c r="N986" s="440"/>
      <c r="O986" s="440"/>
      <c r="P986" s="440"/>
      <c r="Q986" s="440"/>
      <c r="R986" s="108"/>
      <c r="S986" s="440"/>
      <c r="T986" s="440"/>
      <c r="U986" s="440"/>
      <c r="V986" s="440"/>
      <c r="W986" s="440"/>
      <c r="X986" s="440"/>
      <c r="Y986" s="108"/>
      <c r="Z986" s="108"/>
    </row>
    <row r="987" ht="18.75" customHeight="1">
      <c r="A987" s="437"/>
      <c r="B987" s="438"/>
      <c r="C987" s="438"/>
      <c r="D987" s="438"/>
      <c r="E987" s="438"/>
      <c r="F987" s="438"/>
      <c r="G987" s="438"/>
      <c r="H987" s="108"/>
      <c r="I987" s="108"/>
      <c r="J987" s="440"/>
      <c r="K987" s="440"/>
      <c r="L987" s="440"/>
      <c r="M987" s="440"/>
      <c r="N987" s="440"/>
      <c r="O987" s="440"/>
      <c r="P987" s="440"/>
      <c r="Q987" s="440"/>
      <c r="R987" s="108"/>
      <c r="S987" s="440"/>
      <c r="T987" s="440"/>
      <c r="U987" s="440"/>
      <c r="V987" s="440"/>
      <c r="W987" s="440"/>
      <c r="X987" s="440"/>
      <c r="Y987" s="108"/>
      <c r="Z987" s="108"/>
    </row>
    <row r="988" ht="18.75" customHeight="1">
      <c r="A988" s="437"/>
      <c r="B988" s="438"/>
      <c r="C988" s="438"/>
      <c r="D988" s="438"/>
      <c r="E988" s="438"/>
      <c r="F988" s="438"/>
      <c r="G988" s="438"/>
      <c r="H988" s="108"/>
      <c r="I988" s="108"/>
      <c r="J988" s="440"/>
      <c r="K988" s="440"/>
      <c r="L988" s="440"/>
      <c r="M988" s="440"/>
      <c r="N988" s="440"/>
      <c r="O988" s="440"/>
      <c r="P988" s="440"/>
      <c r="Q988" s="440"/>
      <c r="R988" s="108"/>
      <c r="S988" s="440"/>
      <c r="T988" s="440"/>
      <c r="U988" s="440"/>
      <c r="V988" s="440"/>
      <c r="W988" s="440"/>
      <c r="X988" s="440"/>
      <c r="Y988" s="108"/>
      <c r="Z988" s="108"/>
    </row>
    <row r="989" ht="18.75" customHeight="1">
      <c r="A989" s="437"/>
      <c r="B989" s="438"/>
      <c r="C989" s="438"/>
      <c r="D989" s="438"/>
      <c r="E989" s="438"/>
      <c r="F989" s="438"/>
      <c r="G989" s="438"/>
      <c r="H989" s="108"/>
      <c r="I989" s="108"/>
      <c r="J989" s="440"/>
      <c r="K989" s="440"/>
      <c r="L989" s="440"/>
      <c r="M989" s="440"/>
      <c r="N989" s="440"/>
      <c r="O989" s="440"/>
      <c r="P989" s="440"/>
      <c r="Q989" s="440"/>
      <c r="R989" s="108"/>
      <c r="S989" s="440"/>
      <c r="T989" s="440"/>
      <c r="U989" s="440"/>
      <c r="V989" s="440"/>
      <c r="W989" s="440"/>
      <c r="X989" s="440"/>
      <c r="Y989" s="108"/>
      <c r="Z989" s="108"/>
    </row>
    <row r="990" ht="18.75" customHeight="1">
      <c r="A990" s="437"/>
      <c r="B990" s="438"/>
      <c r="C990" s="438"/>
      <c r="D990" s="438"/>
      <c r="E990" s="438"/>
      <c r="F990" s="438"/>
      <c r="G990" s="438"/>
      <c r="H990" s="108"/>
      <c r="I990" s="108"/>
      <c r="J990" s="440"/>
      <c r="K990" s="440"/>
      <c r="L990" s="440"/>
      <c r="M990" s="440"/>
      <c r="N990" s="440"/>
      <c r="O990" s="440"/>
      <c r="P990" s="440"/>
      <c r="Q990" s="440"/>
      <c r="R990" s="108"/>
      <c r="S990" s="440"/>
      <c r="T990" s="440"/>
      <c r="U990" s="440"/>
      <c r="V990" s="440"/>
      <c r="W990" s="440"/>
      <c r="X990" s="440"/>
      <c r="Y990" s="108"/>
      <c r="Z990" s="108"/>
    </row>
    <row r="991" ht="18.75" customHeight="1">
      <c r="A991" s="437"/>
      <c r="B991" s="438"/>
      <c r="C991" s="438"/>
      <c r="D991" s="438"/>
      <c r="E991" s="438"/>
      <c r="F991" s="438"/>
      <c r="G991" s="438"/>
      <c r="H991" s="108"/>
      <c r="I991" s="108"/>
      <c r="J991" s="440"/>
      <c r="K991" s="440"/>
      <c r="L991" s="440"/>
      <c r="M991" s="440"/>
      <c r="N991" s="440"/>
      <c r="O991" s="440"/>
      <c r="P991" s="440"/>
      <c r="Q991" s="440"/>
      <c r="R991" s="108"/>
      <c r="S991" s="440"/>
      <c r="T991" s="440"/>
      <c r="U991" s="440"/>
      <c r="V991" s="440"/>
      <c r="W991" s="440"/>
      <c r="X991" s="440"/>
      <c r="Y991" s="108"/>
      <c r="Z991" s="108"/>
    </row>
    <row r="992" ht="18.75" customHeight="1">
      <c r="A992" s="437"/>
      <c r="B992" s="438"/>
      <c r="C992" s="438"/>
      <c r="D992" s="438"/>
      <c r="E992" s="438"/>
      <c r="F992" s="438"/>
      <c r="G992" s="438"/>
      <c r="H992" s="108"/>
      <c r="I992" s="108"/>
      <c r="J992" s="440"/>
      <c r="K992" s="440"/>
      <c r="L992" s="440"/>
      <c r="M992" s="440"/>
      <c r="N992" s="440"/>
      <c r="O992" s="440"/>
      <c r="P992" s="440"/>
      <c r="Q992" s="440"/>
      <c r="R992" s="108"/>
      <c r="S992" s="440"/>
      <c r="T992" s="440"/>
      <c r="U992" s="440"/>
      <c r="V992" s="440"/>
      <c r="W992" s="440"/>
      <c r="X992" s="440"/>
      <c r="Y992" s="108"/>
      <c r="Z992" s="108"/>
    </row>
    <row r="993" ht="18.75" customHeight="1">
      <c r="A993" s="437"/>
      <c r="B993" s="438"/>
      <c r="C993" s="438"/>
      <c r="D993" s="438"/>
      <c r="E993" s="438"/>
      <c r="F993" s="438"/>
      <c r="G993" s="438"/>
      <c r="H993" s="108"/>
      <c r="I993" s="108"/>
      <c r="J993" s="440"/>
      <c r="K993" s="440"/>
      <c r="L993" s="440"/>
      <c r="M993" s="440"/>
      <c r="N993" s="440"/>
      <c r="O993" s="440"/>
      <c r="P993" s="440"/>
      <c r="Q993" s="440"/>
      <c r="R993" s="108"/>
      <c r="S993" s="440"/>
      <c r="T993" s="440"/>
      <c r="U993" s="440"/>
      <c r="V993" s="440"/>
      <c r="W993" s="440"/>
      <c r="X993" s="440"/>
      <c r="Y993" s="108"/>
      <c r="Z993" s="108"/>
    </row>
    <row r="994" ht="18.75" customHeight="1">
      <c r="A994" s="437"/>
      <c r="B994" s="438"/>
      <c r="C994" s="438"/>
      <c r="D994" s="438"/>
      <c r="E994" s="438"/>
      <c r="F994" s="438"/>
      <c r="G994" s="438"/>
      <c r="H994" s="108"/>
      <c r="I994" s="108"/>
      <c r="J994" s="440"/>
      <c r="K994" s="440"/>
      <c r="L994" s="440"/>
      <c r="M994" s="440"/>
      <c r="N994" s="440"/>
      <c r="O994" s="440"/>
      <c r="P994" s="440"/>
      <c r="Q994" s="440"/>
      <c r="R994" s="108"/>
      <c r="S994" s="440"/>
      <c r="T994" s="440"/>
      <c r="U994" s="440"/>
      <c r="V994" s="440"/>
      <c r="W994" s="440"/>
      <c r="X994" s="440"/>
      <c r="Y994" s="108"/>
      <c r="Z994" s="108"/>
    </row>
    <row r="995" ht="18.75" customHeight="1">
      <c r="A995" s="437"/>
      <c r="B995" s="438"/>
      <c r="C995" s="438"/>
      <c r="D995" s="438"/>
      <c r="E995" s="438"/>
      <c r="F995" s="438"/>
      <c r="G995" s="438"/>
      <c r="H995" s="108"/>
      <c r="I995" s="108"/>
      <c r="J995" s="440"/>
      <c r="K995" s="440"/>
      <c r="L995" s="440"/>
      <c r="M995" s="440"/>
      <c r="N995" s="440"/>
      <c r="O995" s="440"/>
      <c r="P995" s="440"/>
      <c r="Q995" s="440"/>
      <c r="R995" s="108"/>
      <c r="S995" s="440"/>
      <c r="T995" s="440"/>
      <c r="U995" s="440"/>
      <c r="V995" s="440"/>
      <c r="W995" s="440"/>
      <c r="X995" s="440"/>
      <c r="Y995" s="108"/>
      <c r="Z995" s="108"/>
    </row>
    <row r="996" ht="18.75" customHeight="1">
      <c r="A996" s="437"/>
      <c r="B996" s="438"/>
      <c r="C996" s="438"/>
      <c r="D996" s="438"/>
      <c r="E996" s="438"/>
      <c r="F996" s="438"/>
      <c r="G996" s="438"/>
      <c r="H996" s="108"/>
      <c r="I996" s="108"/>
      <c r="J996" s="440"/>
      <c r="K996" s="440"/>
      <c r="L996" s="440"/>
      <c r="M996" s="440"/>
      <c r="N996" s="440"/>
      <c r="O996" s="440"/>
      <c r="P996" s="440"/>
      <c r="Q996" s="440"/>
      <c r="R996" s="108"/>
      <c r="S996" s="440"/>
      <c r="T996" s="440"/>
      <c r="U996" s="440"/>
      <c r="V996" s="440"/>
      <c r="W996" s="440"/>
      <c r="X996" s="440"/>
      <c r="Y996" s="108"/>
      <c r="Z996" s="108"/>
    </row>
    <row r="997" ht="18.75" customHeight="1">
      <c r="A997" s="437"/>
      <c r="B997" s="438"/>
      <c r="C997" s="438"/>
      <c r="D997" s="438"/>
      <c r="E997" s="438"/>
      <c r="F997" s="438"/>
      <c r="G997" s="438"/>
      <c r="H997" s="108"/>
      <c r="I997" s="108"/>
      <c r="J997" s="440"/>
      <c r="K997" s="440"/>
      <c r="L997" s="440"/>
      <c r="M997" s="440"/>
      <c r="N997" s="440"/>
      <c r="O997" s="440"/>
      <c r="P997" s="440"/>
      <c r="Q997" s="440"/>
      <c r="R997" s="108"/>
      <c r="S997" s="440"/>
      <c r="T997" s="440"/>
      <c r="U997" s="440"/>
      <c r="V997" s="440"/>
      <c r="W997" s="440"/>
      <c r="X997" s="440"/>
      <c r="Y997" s="108"/>
      <c r="Z997" s="108"/>
    </row>
    <row r="998" ht="18.75" customHeight="1">
      <c r="A998" s="437"/>
      <c r="B998" s="438"/>
      <c r="C998" s="438"/>
      <c r="D998" s="438"/>
      <c r="E998" s="438"/>
      <c r="F998" s="438"/>
      <c r="G998" s="438"/>
      <c r="H998" s="108"/>
      <c r="I998" s="108"/>
      <c r="J998" s="440"/>
      <c r="K998" s="440"/>
      <c r="L998" s="440"/>
      <c r="M998" s="440"/>
      <c r="N998" s="440"/>
      <c r="O998" s="440"/>
      <c r="P998" s="440"/>
      <c r="Q998" s="440"/>
      <c r="R998" s="108"/>
      <c r="S998" s="440"/>
      <c r="T998" s="440"/>
      <c r="U998" s="440"/>
      <c r="V998" s="440"/>
      <c r="W998" s="440"/>
      <c r="X998" s="440"/>
      <c r="Y998" s="108"/>
      <c r="Z998" s="108"/>
    </row>
    <row r="999" ht="18.75" customHeight="1">
      <c r="A999" s="437"/>
      <c r="B999" s="438"/>
      <c r="C999" s="438"/>
      <c r="D999" s="438"/>
      <c r="E999" s="438"/>
      <c r="F999" s="438"/>
      <c r="G999" s="438"/>
      <c r="H999" s="108"/>
      <c r="I999" s="108"/>
      <c r="J999" s="440"/>
      <c r="K999" s="440"/>
      <c r="L999" s="440"/>
      <c r="M999" s="440"/>
      <c r="N999" s="440"/>
      <c r="O999" s="440"/>
      <c r="P999" s="440"/>
      <c r="Q999" s="440"/>
      <c r="R999" s="108"/>
      <c r="S999" s="440"/>
      <c r="T999" s="440"/>
      <c r="U999" s="440"/>
      <c r="V999" s="440"/>
      <c r="W999" s="440"/>
      <c r="X999" s="440"/>
      <c r="Y999" s="108"/>
      <c r="Z999" s="108"/>
    </row>
    <row r="1000" ht="18.75" customHeight="1">
      <c r="A1000" s="437"/>
      <c r="B1000" s="438"/>
      <c r="C1000" s="438"/>
      <c r="D1000" s="438"/>
      <c r="E1000" s="438"/>
      <c r="F1000" s="438"/>
      <c r="G1000" s="438"/>
      <c r="H1000" s="108"/>
      <c r="I1000" s="108"/>
      <c r="J1000" s="440"/>
      <c r="K1000" s="440"/>
      <c r="L1000" s="440"/>
      <c r="M1000" s="440"/>
      <c r="N1000" s="440"/>
      <c r="O1000" s="440"/>
      <c r="P1000" s="440"/>
      <c r="Q1000" s="440"/>
      <c r="R1000" s="108"/>
      <c r="S1000" s="440"/>
      <c r="T1000" s="440"/>
      <c r="U1000" s="440"/>
      <c r="V1000" s="440"/>
      <c r="W1000" s="440"/>
      <c r="X1000" s="440"/>
      <c r="Y1000" s="108"/>
      <c r="Z1000" s="108"/>
    </row>
    <row r="1001" ht="18.75" customHeight="1">
      <c r="A1001" s="437"/>
      <c r="B1001" s="438"/>
      <c r="C1001" s="438"/>
      <c r="D1001" s="438"/>
      <c r="E1001" s="438"/>
      <c r="F1001" s="438"/>
      <c r="G1001" s="438"/>
      <c r="H1001" s="108"/>
      <c r="I1001" s="108"/>
      <c r="J1001" s="440"/>
      <c r="K1001" s="440"/>
      <c r="L1001" s="440"/>
      <c r="M1001" s="440"/>
      <c r="N1001" s="440"/>
      <c r="O1001" s="440"/>
      <c r="P1001" s="440"/>
      <c r="Q1001" s="440"/>
      <c r="R1001" s="108"/>
      <c r="S1001" s="440"/>
      <c r="T1001" s="440"/>
      <c r="U1001" s="440"/>
      <c r="V1001" s="440"/>
      <c r="W1001" s="440"/>
      <c r="X1001" s="440"/>
      <c r="Y1001" s="108"/>
      <c r="Z1001" s="108"/>
    </row>
    <row r="1002" ht="18.75" customHeight="1">
      <c r="A1002" s="437"/>
      <c r="B1002" s="438"/>
      <c r="C1002" s="438"/>
      <c r="D1002" s="438"/>
      <c r="E1002" s="438"/>
      <c r="F1002" s="438"/>
      <c r="G1002" s="438"/>
      <c r="H1002" s="108"/>
      <c r="I1002" s="108"/>
      <c r="J1002" s="440"/>
      <c r="K1002" s="440"/>
      <c r="L1002" s="440"/>
      <c r="M1002" s="440"/>
      <c r="N1002" s="440"/>
      <c r="O1002" s="440"/>
      <c r="P1002" s="440"/>
      <c r="Q1002" s="440"/>
      <c r="R1002" s="108"/>
      <c r="S1002" s="440"/>
      <c r="T1002" s="440"/>
      <c r="U1002" s="440"/>
      <c r="V1002" s="440"/>
      <c r="W1002" s="440"/>
      <c r="X1002" s="440"/>
      <c r="Y1002" s="108"/>
      <c r="Z1002" s="108"/>
    </row>
    <row r="1003" ht="18.75" customHeight="1">
      <c r="A1003" s="437"/>
      <c r="B1003" s="438"/>
      <c r="C1003" s="438"/>
      <c r="D1003" s="438"/>
      <c r="E1003" s="438"/>
      <c r="F1003" s="438"/>
      <c r="G1003" s="438"/>
      <c r="H1003" s="108"/>
      <c r="I1003" s="108"/>
      <c r="J1003" s="440"/>
      <c r="K1003" s="440"/>
      <c r="L1003" s="440"/>
      <c r="M1003" s="440"/>
      <c r="N1003" s="440"/>
      <c r="O1003" s="440"/>
      <c r="P1003" s="440"/>
      <c r="Q1003" s="440"/>
      <c r="R1003" s="108"/>
      <c r="S1003" s="440"/>
      <c r="T1003" s="440"/>
      <c r="U1003" s="440"/>
      <c r="V1003" s="440"/>
      <c r="W1003" s="440"/>
      <c r="X1003" s="440"/>
      <c r="Y1003" s="108"/>
      <c r="Z1003" s="108"/>
    </row>
    <row r="1004" ht="18.75" customHeight="1">
      <c r="A1004" s="437"/>
      <c r="B1004" s="438"/>
      <c r="C1004" s="438"/>
      <c r="D1004" s="438"/>
      <c r="E1004" s="438"/>
      <c r="F1004" s="438"/>
      <c r="G1004" s="438"/>
      <c r="H1004" s="108"/>
      <c r="I1004" s="108"/>
      <c r="J1004" s="440"/>
      <c r="K1004" s="440"/>
      <c r="L1004" s="440"/>
      <c r="M1004" s="440"/>
      <c r="N1004" s="440"/>
      <c r="O1004" s="440"/>
      <c r="P1004" s="440"/>
      <c r="Q1004" s="440"/>
      <c r="R1004" s="108"/>
      <c r="S1004" s="440"/>
      <c r="T1004" s="440"/>
      <c r="U1004" s="440"/>
      <c r="V1004" s="440"/>
      <c r="W1004" s="440"/>
      <c r="X1004" s="440"/>
      <c r="Y1004" s="108"/>
      <c r="Z1004" s="108"/>
    </row>
    <row r="1005" ht="18.75" customHeight="1">
      <c r="A1005" s="437"/>
      <c r="B1005" s="438"/>
      <c r="C1005" s="438"/>
      <c r="D1005" s="438"/>
      <c r="E1005" s="438"/>
      <c r="F1005" s="438"/>
      <c r="G1005" s="438"/>
      <c r="H1005" s="108"/>
      <c r="I1005" s="108"/>
      <c r="J1005" s="440"/>
      <c r="K1005" s="440"/>
      <c r="L1005" s="440"/>
      <c r="M1005" s="440"/>
      <c r="N1005" s="440"/>
      <c r="O1005" s="440"/>
      <c r="P1005" s="440"/>
      <c r="Q1005" s="440"/>
      <c r="R1005" s="108"/>
      <c r="S1005" s="440"/>
      <c r="T1005" s="440"/>
      <c r="U1005" s="440"/>
      <c r="V1005" s="440"/>
      <c r="W1005" s="440"/>
      <c r="X1005" s="440"/>
      <c r="Y1005" s="108"/>
      <c r="Z1005" s="108"/>
    </row>
    <row r="1006" ht="18.75" customHeight="1">
      <c r="A1006" s="437"/>
      <c r="B1006" s="438"/>
      <c r="C1006" s="438"/>
      <c r="D1006" s="438"/>
      <c r="E1006" s="438"/>
      <c r="F1006" s="438"/>
      <c r="G1006" s="438"/>
      <c r="H1006" s="108"/>
      <c r="I1006" s="108"/>
      <c r="J1006" s="440"/>
      <c r="K1006" s="440"/>
      <c r="L1006" s="440"/>
      <c r="M1006" s="440"/>
      <c r="N1006" s="440"/>
      <c r="O1006" s="440"/>
      <c r="P1006" s="440"/>
      <c r="Q1006" s="440"/>
      <c r="R1006" s="108"/>
      <c r="S1006" s="440"/>
      <c r="T1006" s="440"/>
      <c r="U1006" s="440"/>
      <c r="V1006" s="440"/>
      <c r="W1006" s="440"/>
      <c r="X1006" s="440"/>
      <c r="Y1006" s="108"/>
      <c r="Z1006" s="108"/>
    </row>
    <row r="1007" ht="18.75" customHeight="1">
      <c r="A1007" s="437"/>
      <c r="B1007" s="438"/>
      <c r="C1007" s="438"/>
      <c r="D1007" s="438"/>
      <c r="E1007" s="438"/>
      <c r="F1007" s="438"/>
      <c r="G1007" s="438"/>
      <c r="H1007" s="108"/>
      <c r="I1007" s="108"/>
      <c r="J1007" s="440"/>
      <c r="K1007" s="440"/>
      <c r="L1007" s="440"/>
      <c r="M1007" s="440"/>
      <c r="N1007" s="440"/>
      <c r="O1007" s="440"/>
      <c r="P1007" s="440"/>
      <c r="Q1007" s="440"/>
      <c r="R1007" s="108"/>
      <c r="S1007" s="440"/>
      <c r="T1007" s="440"/>
      <c r="U1007" s="440"/>
      <c r="V1007" s="440"/>
      <c r="W1007" s="440"/>
      <c r="X1007" s="440"/>
      <c r="Y1007" s="108"/>
      <c r="Z1007" s="108"/>
    </row>
    <row r="1008" ht="18.75" customHeight="1">
      <c r="A1008" s="437"/>
      <c r="B1008" s="438"/>
      <c r="C1008" s="438"/>
      <c r="D1008" s="438"/>
      <c r="E1008" s="438"/>
      <c r="F1008" s="438"/>
      <c r="G1008" s="438"/>
      <c r="H1008" s="108"/>
      <c r="I1008" s="108"/>
      <c r="J1008" s="440"/>
      <c r="K1008" s="440"/>
      <c r="L1008" s="440"/>
      <c r="M1008" s="440"/>
      <c r="N1008" s="440"/>
      <c r="O1008" s="440"/>
      <c r="P1008" s="440"/>
      <c r="Q1008" s="440"/>
      <c r="R1008" s="108"/>
      <c r="S1008" s="440"/>
      <c r="T1008" s="440"/>
      <c r="U1008" s="440"/>
      <c r="V1008" s="440"/>
      <c r="W1008" s="440"/>
      <c r="X1008" s="440"/>
      <c r="Y1008" s="108"/>
      <c r="Z1008" s="108"/>
    </row>
    <row r="1009" ht="18.75" customHeight="1">
      <c r="A1009" s="437"/>
      <c r="B1009" s="438"/>
      <c r="C1009" s="438"/>
      <c r="D1009" s="438"/>
      <c r="E1009" s="438"/>
      <c r="F1009" s="438"/>
      <c r="G1009" s="438"/>
      <c r="H1009" s="108"/>
      <c r="I1009" s="108"/>
      <c r="J1009" s="440"/>
      <c r="K1009" s="440"/>
      <c r="L1009" s="440"/>
      <c r="M1009" s="440"/>
      <c r="N1009" s="440"/>
      <c r="O1009" s="440"/>
      <c r="P1009" s="440"/>
      <c r="Q1009" s="440"/>
      <c r="R1009" s="108"/>
      <c r="S1009" s="440"/>
      <c r="T1009" s="440"/>
      <c r="U1009" s="440"/>
      <c r="V1009" s="440"/>
      <c r="W1009" s="440"/>
      <c r="X1009" s="440"/>
      <c r="Y1009" s="108"/>
      <c r="Z1009" s="108"/>
    </row>
    <row r="1010" ht="18.75" customHeight="1">
      <c r="A1010" s="437"/>
      <c r="B1010" s="438"/>
      <c r="C1010" s="438"/>
      <c r="D1010" s="438"/>
      <c r="E1010" s="438"/>
      <c r="F1010" s="438"/>
      <c r="G1010" s="438"/>
      <c r="H1010" s="108"/>
      <c r="I1010" s="108"/>
      <c r="J1010" s="440"/>
      <c r="K1010" s="440"/>
      <c r="L1010" s="440"/>
      <c r="M1010" s="440"/>
      <c r="N1010" s="440"/>
      <c r="O1010" s="440"/>
      <c r="P1010" s="440"/>
      <c r="Q1010" s="440"/>
      <c r="R1010" s="108"/>
      <c r="S1010" s="440"/>
      <c r="T1010" s="440"/>
      <c r="U1010" s="440"/>
      <c r="V1010" s="440"/>
      <c r="W1010" s="440"/>
      <c r="X1010" s="440"/>
      <c r="Y1010" s="108"/>
      <c r="Z1010" s="108"/>
    </row>
    <row r="1011" ht="18.75" customHeight="1">
      <c r="A1011" s="437"/>
      <c r="B1011" s="438"/>
      <c r="C1011" s="438"/>
      <c r="D1011" s="438"/>
      <c r="E1011" s="438"/>
      <c r="F1011" s="438"/>
      <c r="G1011" s="438"/>
      <c r="H1011" s="108"/>
      <c r="I1011" s="108"/>
      <c r="J1011" s="440"/>
      <c r="K1011" s="440"/>
      <c r="L1011" s="440"/>
      <c r="M1011" s="440"/>
      <c r="N1011" s="440"/>
      <c r="O1011" s="440"/>
      <c r="P1011" s="440"/>
      <c r="Q1011" s="440"/>
      <c r="R1011" s="108"/>
      <c r="S1011" s="440"/>
      <c r="T1011" s="440"/>
      <c r="U1011" s="440"/>
      <c r="V1011" s="440"/>
      <c r="W1011" s="440"/>
      <c r="X1011" s="440"/>
      <c r="Y1011" s="108"/>
      <c r="Z1011" s="108"/>
    </row>
    <row r="1012" ht="18.75" customHeight="1">
      <c r="A1012" s="437"/>
      <c r="B1012" s="438"/>
      <c r="C1012" s="438"/>
      <c r="D1012" s="438"/>
      <c r="E1012" s="438"/>
      <c r="F1012" s="438"/>
      <c r="G1012" s="438"/>
      <c r="H1012" s="108"/>
      <c r="I1012" s="108"/>
      <c r="J1012" s="440"/>
      <c r="K1012" s="440"/>
      <c r="L1012" s="440"/>
      <c r="M1012" s="440"/>
      <c r="N1012" s="440"/>
      <c r="O1012" s="440"/>
      <c r="P1012" s="440"/>
      <c r="Q1012" s="440"/>
      <c r="R1012" s="108"/>
      <c r="S1012" s="440"/>
      <c r="T1012" s="440"/>
      <c r="U1012" s="440"/>
      <c r="V1012" s="440"/>
      <c r="W1012" s="440"/>
      <c r="X1012" s="440"/>
      <c r="Y1012" s="108"/>
      <c r="Z1012" s="108"/>
    </row>
    <row r="1013" ht="18.75" customHeight="1">
      <c r="A1013" s="437"/>
      <c r="B1013" s="438"/>
      <c r="C1013" s="438"/>
      <c r="D1013" s="438"/>
      <c r="E1013" s="438"/>
      <c r="F1013" s="438"/>
      <c r="G1013" s="438"/>
      <c r="H1013" s="108"/>
      <c r="I1013" s="108"/>
      <c r="J1013" s="440"/>
      <c r="K1013" s="440"/>
      <c r="L1013" s="440"/>
      <c r="M1013" s="440"/>
      <c r="N1013" s="440"/>
      <c r="O1013" s="440"/>
      <c r="P1013" s="440"/>
      <c r="Q1013" s="440"/>
      <c r="R1013" s="108"/>
      <c r="S1013" s="440"/>
      <c r="T1013" s="440"/>
      <c r="U1013" s="440"/>
      <c r="V1013" s="440"/>
      <c r="W1013" s="440"/>
      <c r="X1013" s="440"/>
      <c r="Y1013" s="108"/>
      <c r="Z1013" s="108"/>
    </row>
    <row r="1014" ht="18.75" customHeight="1">
      <c r="A1014" s="437"/>
      <c r="B1014" s="438"/>
      <c r="C1014" s="438"/>
      <c r="D1014" s="438"/>
      <c r="E1014" s="438"/>
      <c r="F1014" s="438"/>
      <c r="G1014" s="438"/>
      <c r="H1014" s="108"/>
      <c r="I1014" s="108"/>
      <c r="J1014" s="440"/>
      <c r="K1014" s="440"/>
      <c r="L1014" s="440"/>
      <c r="M1014" s="440"/>
      <c r="N1014" s="440"/>
      <c r="O1014" s="440"/>
      <c r="P1014" s="440"/>
      <c r="Q1014" s="440"/>
      <c r="R1014" s="108"/>
      <c r="S1014" s="440"/>
      <c r="T1014" s="440"/>
      <c r="U1014" s="440"/>
      <c r="V1014" s="440"/>
      <c r="W1014" s="440"/>
      <c r="X1014" s="440"/>
      <c r="Y1014" s="108"/>
      <c r="Z1014" s="108"/>
    </row>
    <row r="1015" ht="18.75" customHeight="1">
      <c r="A1015" s="437"/>
      <c r="B1015" s="438"/>
      <c r="C1015" s="438"/>
      <c r="D1015" s="438"/>
      <c r="E1015" s="438"/>
      <c r="F1015" s="438"/>
      <c r="G1015" s="438"/>
      <c r="H1015" s="108"/>
      <c r="I1015" s="108"/>
      <c r="J1015" s="440"/>
      <c r="K1015" s="440"/>
      <c r="L1015" s="440"/>
      <c r="M1015" s="440"/>
      <c r="N1015" s="440"/>
      <c r="O1015" s="440"/>
      <c r="P1015" s="440"/>
      <c r="Q1015" s="440"/>
      <c r="R1015" s="108"/>
      <c r="S1015" s="440"/>
      <c r="T1015" s="440"/>
      <c r="U1015" s="440"/>
      <c r="V1015" s="440"/>
      <c r="W1015" s="440"/>
      <c r="X1015" s="440"/>
      <c r="Y1015" s="108"/>
      <c r="Z1015" s="108"/>
    </row>
    <row r="1016" ht="18.75" customHeight="1">
      <c r="A1016" s="437"/>
      <c r="B1016" s="438"/>
      <c r="C1016" s="438"/>
      <c r="D1016" s="438"/>
      <c r="E1016" s="438"/>
      <c r="F1016" s="438"/>
      <c r="G1016" s="438"/>
      <c r="H1016" s="108"/>
      <c r="I1016" s="108"/>
      <c r="J1016" s="440"/>
      <c r="K1016" s="440"/>
      <c r="L1016" s="440"/>
      <c r="M1016" s="440"/>
      <c r="N1016" s="440"/>
      <c r="O1016" s="440"/>
      <c r="P1016" s="440"/>
      <c r="Q1016" s="440"/>
      <c r="R1016" s="108"/>
      <c r="S1016" s="440"/>
      <c r="T1016" s="440"/>
      <c r="U1016" s="440"/>
      <c r="V1016" s="440"/>
      <c r="W1016" s="440"/>
      <c r="X1016" s="440"/>
      <c r="Y1016" s="108"/>
      <c r="Z1016" s="108"/>
    </row>
    <row r="1017" ht="18.75" customHeight="1">
      <c r="A1017" s="437"/>
      <c r="B1017" s="438"/>
      <c r="C1017" s="438"/>
      <c r="D1017" s="438"/>
      <c r="E1017" s="438"/>
      <c r="F1017" s="438"/>
      <c r="G1017" s="438"/>
      <c r="H1017" s="108"/>
      <c r="I1017" s="108"/>
      <c r="J1017" s="440"/>
      <c r="K1017" s="440"/>
      <c r="L1017" s="440"/>
      <c r="M1017" s="440"/>
      <c r="N1017" s="440"/>
      <c r="O1017" s="440"/>
      <c r="P1017" s="440"/>
      <c r="Q1017" s="440"/>
      <c r="R1017" s="108"/>
      <c r="S1017" s="440"/>
      <c r="T1017" s="440"/>
      <c r="U1017" s="440"/>
      <c r="V1017" s="440"/>
      <c r="W1017" s="440"/>
      <c r="X1017" s="440"/>
      <c r="Y1017" s="108"/>
      <c r="Z1017" s="108"/>
    </row>
    <row r="1018" ht="18.75" customHeight="1">
      <c r="A1018" s="437"/>
      <c r="B1018" s="438"/>
      <c r="C1018" s="438"/>
      <c r="D1018" s="438"/>
      <c r="E1018" s="438"/>
      <c r="F1018" s="438"/>
      <c r="G1018" s="438"/>
      <c r="H1018" s="108"/>
      <c r="I1018" s="108"/>
      <c r="J1018" s="440"/>
      <c r="K1018" s="440"/>
      <c r="L1018" s="440"/>
      <c r="M1018" s="440"/>
      <c r="N1018" s="440"/>
      <c r="O1018" s="440"/>
      <c r="P1018" s="440"/>
      <c r="Q1018" s="440"/>
      <c r="R1018" s="108"/>
      <c r="S1018" s="440"/>
      <c r="T1018" s="440"/>
      <c r="U1018" s="440"/>
      <c r="V1018" s="440"/>
      <c r="W1018" s="440"/>
      <c r="X1018" s="440"/>
      <c r="Y1018" s="108"/>
      <c r="Z1018" s="108"/>
    </row>
    <row r="1019" ht="18.75" customHeight="1">
      <c r="A1019" s="437"/>
      <c r="B1019" s="438"/>
      <c r="C1019" s="438"/>
      <c r="D1019" s="438"/>
      <c r="E1019" s="438"/>
      <c r="F1019" s="438"/>
      <c r="G1019" s="438"/>
      <c r="H1019" s="108"/>
      <c r="I1019" s="108"/>
      <c r="J1019" s="440"/>
      <c r="K1019" s="440"/>
      <c r="L1019" s="440"/>
      <c r="M1019" s="440"/>
      <c r="N1019" s="440"/>
      <c r="O1019" s="440"/>
      <c r="P1019" s="440"/>
      <c r="Q1019" s="440"/>
      <c r="R1019" s="108"/>
      <c r="S1019" s="440"/>
      <c r="T1019" s="440"/>
      <c r="U1019" s="440"/>
      <c r="V1019" s="440"/>
      <c r="W1019" s="440"/>
      <c r="X1019" s="440"/>
      <c r="Y1019" s="108"/>
      <c r="Z1019" s="108"/>
    </row>
    <row r="1020" ht="18.75" customHeight="1">
      <c r="A1020" s="437"/>
      <c r="B1020" s="438"/>
      <c r="C1020" s="438"/>
      <c r="D1020" s="438"/>
      <c r="E1020" s="438"/>
      <c r="F1020" s="438"/>
      <c r="G1020" s="438"/>
      <c r="H1020" s="108"/>
      <c r="I1020" s="108"/>
      <c r="J1020" s="440"/>
      <c r="K1020" s="440"/>
      <c r="L1020" s="440"/>
      <c r="M1020" s="440"/>
      <c r="N1020" s="440"/>
      <c r="O1020" s="440"/>
      <c r="P1020" s="440"/>
      <c r="Q1020" s="440"/>
      <c r="R1020" s="108"/>
      <c r="S1020" s="440"/>
      <c r="T1020" s="440"/>
      <c r="U1020" s="440"/>
      <c r="V1020" s="440"/>
      <c r="W1020" s="440"/>
      <c r="X1020" s="440"/>
      <c r="Y1020" s="108"/>
      <c r="Z1020" s="108"/>
    </row>
    <row r="1021" ht="18.75" customHeight="1">
      <c r="A1021" s="437"/>
      <c r="B1021" s="438"/>
      <c r="C1021" s="438"/>
      <c r="D1021" s="438"/>
      <c r="E1021" s="438"/>
      <c r="F1021" s="438"/>
      <c r="G1021" s="438"/>
      <c r="H1021" s="108"/>
      <c r="I1021" s="108"/>
      <c r="J1021" s="440"/>
      <c r="K1021" s="440"/>
      <c r="L1021" s="440"/>
      <c r="M1021" s="440"/>
      <c r="N1021" s="440"/>
      <c r="O1021" s="440"/>
      <c r="P1021" s="440"/>
      <c r="Q1021" s="440"/>
      <c r="R1021" s="108"/>
      <c r="S1021" s="440"/>
      <c r="T1021" s="440"/>
      <c r="U1021" s="440"/>
      <c r="V1021" s="440"/>
      <c r="W1021" s="440"/>
      <c r="X1021" s="440"/>
      <c r="Y1021" s="108"/>
      <c r="Z1021" s="108"/>
    </row>
    <row r="1022" ht="18.75" customHeight="1">
      <c r="A1022" s="437"/>
      <c r="B1022" s="438"/>
      <c r="C1022" s="438"/>
      <c r="D1022" s="438"/>
      <c r="E1022" s="438"/>
      <c r="F1022" s="438"/>
      <c r="G1022" s="438"/>
      <c r="H1022" s="108"/>
      <c r="I1022" s="108"/>
      <c r="J1022" s="440"/>
      <c r="K1022" s="440"/>
      <c r="L1022" s="440"/>
      <c r="M1022" s="440"/>
      <c r="N1022" s="440"/>
      <c r="O1022" s="440"/>
      <c r="P1022" s="440"/>
      <c r="Q1022" s="440"/>
      <c r="R1022" s="108"/>
      <c r="S1022" s="440"/>
      <c r="T1022" s="440"/>
      <c r="U1022" s="440"/>
      <c r="V1022" s="440"/>
      <c r="W1022" s="440"/>
      <c r="X1022" s="440"/>
      <c r="Y1022" s="108"/>
      <c r="Z1022" s="108"/>
    </row>
    <row r="1023" ht="18.75" customHeight="1">
      <c r="A1023" s="437"/>
      <c r="B1023" s="438"/>
      <c r="C1023" s="438"/>
      <c r="D1023" s="438"/>
      <c r="E1023" s="438"/>
      <c r="F1023" s="438"/>
      <c r="G1023" s="438"/>
      <c r="H1023" s="108"/>
      <c r="I1023" s="108"/>
      <c r="J1023" s="440"/>
      <c r="K1023" s="440"/>
      <c r="L1023" s="440"/>
      <c r="M1023" s="440"/>
      <c r="N1023" s="440"/>
      <c r="O1023" s="440"/>
      <c r="P1023" s="440"/>
      <c r="Q1023" s="440"/>
      <c r="R1023" s="108"/>
      <c r="S1023" s="440"/>
      <c r="T1023" s="440"/>
      <c r="U1023" s="440"/>
      <c r="V1023" s="440"/>
      <c r="W1023" s="440"/>
      <c r="X1023" s="440"/>
      <c r="Y1023" s="108"/>
      <c r="Z1023" s="108"/>
    </row>
    <row r="1024" ht="18.75" customHeight="1">
      <c r="A1024" s="437"/>
      <c r="B1024" s="438"/>
      <c r="C1024" s="438"/>
      <c r="D1024" s="438"/>
      <c r="E1024" s="438"/>
      <c r="F1024" s="438"/>
      <c r="G1024" s="438"/>
      <c r="H1024" s="108"/>
      <c r="I1024" s="108"/>
      <c r="J1024" s="440"/>
      <c r="K1024" s="440"/>
      <c r="L1024" s="440"/>
      <c r="M1024" s="440"/>
      <c r="N1024" s="440"/>
      <c r="O1024" s="440"/>
      <c r="P1024" s="440"/>
      <c r="Q1024" s="440"/>
      <c r="R1024" s="108"/>
      <c r="S1024" s="440"/>
      <c r="T1024" s="440"/>
      <c r="U1024" s="440"/>
      <c r="V1024" s="440"/>
      <c r="W1024" s="440"/>
      <c r="X1024" s="440"/>
      <c r="Y1024" s="108"/>
      <c r="Z1024" s="108"/>
    </row>
    <row r="1025" ht="18.75" customHeight="1">
      <c r="A1025" s="437"/>
      <c r="B1025" s="438"/>
      <c r="C1025" s="438"/>
      <c r="D1025" s="438"/>
      <c r="E1025" s="438"/>
      <c r="F1025" s="438"/>
      <c r="G1025" s="438"/>
      <c r="H1025" s="108"/>
      <c r="I1025" s="108"/>
      <c r="J1025" s="440"/>
      <c r="K1025" s="440"/>
      <c r="L1025" s="440"/>
      <c r="M1025" s="440"/>
      <c r="N1025" s="440"/>
      <c r="O1025" s="440"/>
      <c r="P1025" s="440"/>
      <c r="Q1025" s="440"/>
      <c r="R1025" s="108"/>
      <c r="S1025" s="440"/>
      <c r="T1025" s="440"/>
      <c r="U1025" s="440"/>
      <c r="V1025" s="440"/>
      <c r="W1025" s="440"/>
      <c r="X1025" s="440"/>
      <c r="Y1025" s="108"/>
      <c r="Z1025" s="108"/>
    </row>
    <row r="1026" ht="18.75" customHeight="1">
      <c r="A1026" s="437"/>
      <c r="B1026" s="438"/>
      <c r="C1026" s="438"/>
      <c r="D1026" s="438"/>
      <c r="E1026" s="438"/>
      <c r="F1026" s="438"/>
      <c r="G1026" s="438"/>
      <c r="H1026" s="108"/>
      <c r="I1026" s="108"/>
      <c r="J1026" s="440"/>
      <c r="K1026" s="440"/>
      <c r="L1026" s="440"/>
      <c r="M1026" s="440"/>
      <c r="N1026" s="440"/>
      <c r="O1026" s="440"/>
      <c r="P1026" s="440"/>
      <c r="Q1026" s="440"/>
      <c r="R1026" s="108"/>
      <c r="S1026" s="440"/>
      <c r="T1026" s="440"/>
      <c r="U1026" s="440"/>
      <c r="V1026" s="440"/>
      <c r="W1026" s="440"/>
      <c r="X1026" s="440"/>
      <c r="Y1026" s="108"/>
      <c r="Z1026" s="108"/>
    </row>
    <row r="1027" ht="18.75" customHeight="1">
      <c r="A1027" s="437"/>
      <c r="B1027" s="438"/>
      <c r="C1027" s="438"/>
      <c r="D1027" s="438"/>
      <c r="E1027" s="438"/>
      <c r="F1027" s="438"/>
      <c r="G1027" s="438"/>
      <c r="H1027" s="108"/>
      <c r="I1027" s="108"/>
      <c r="J1027" s="440"/>
      <c r="K1027" s="440"/>
      <c r="L1027" s="440"/>
      <c r="M1027" s="440"/>
      <c r="N1027" s="440"/>
      <c r="O1027" s="440"/>
      <c r="P1027" s="440"/>
      <c r="Q1027" s="440"/>
      <c r="R1027" s="108"/>
      <c r="S1027" s="440"/>
      <c r="T1027" s="440"/>
      <c r="U1027" s="440"/>
      <c r="V1027" s="440"/>
      <c r="W1027" s="440"/>
      <c r="X1027" s="440"/>
      <c r="Y1027" s="108"/>
      <c r="Z1027" s="108"/>
    </row>
    <row r="1028" ht="18.75" customHeight="1">
      <c r="A1028" s="437"/>
      <c r="B1028" s="438"/>
      <c r="C1028" s="438"/>
      <c r="D1028" s="438"/>
      <c r="E1028" s="438"/>
      <c r="F1028" s="438"/>
      <c r="G1028" s="438"/>
      <c r="H1028" s="108"/>
      <c r="I1028" s="108"/>
      <c r="J1028" s="440"/>
      <c r="K1028" s="440"/>
      <c r="L1028" s="440"/>
      <c r="M1028" s="440"/>
      <c r="N1028" s="440"/>
      <c r="O1028" s="440"/>
      <c r="P1028" s="440"/>
      <c r="Q1028" s="440"/>
      <c r="R1028" s="108"/>
      <c r="S1028" s="440"/>
      <c r="T1028" s="440"/>
      <c r="U1028" s="440"/>
      <c r="V1028" s="440"/>
      <c r="W1028" s="440"/>
      <c r="X1028" s="440"/>
      <c r="Y1028" s="108"/>
      <c r="Z1028" s="108"/>
    </row>
    <row r="1029" ht="18.75" customHeight="1">
      <c r="A1029" s="437"/>
      <c r="B1029" s="438"/>
      <c r="C1029" s="438"/>
      <c r="D1029" s="438"/>
      <c r="E1029" s="438"/>
      <c r="F1029" s="438"/>
      <c r="G1029" s="438"/>
      <c r="H1029" s="108"/>
      <c r="I1029" s="108"/>
      <c r="J1029" s="440"/>
      <c r="K1029" s="440"/>
      <c r="L1029" s="440"/>
      <c r="M1029" s="440"/>
      <c r="N1029" s="440"/>
      <c r="O1029" s="440"/>
      <c r="P1029" s="440"/>
      <c r="Q1029" s="440"/>
      <c r="R1029" s="108"/>
      <c r="S1029" s="440"/>
      <c r="T1029" s="440"/>
      <c r="U1029" s="440"/>
      <c r="V1029" s="440"/>
      <c r="W1029" s="440"/>
      <c r="X1029" s="440"/>
      <c r="Y1029" s="108"/>
      <c r="Z1029" s="108"/>
    </row>
    <row r="1030" ht="18.75" customHeight="1">
      <c r="A1030" s="437"/>
      <c r="B1030" s="438"/>
      <c r="C1030" s="438"/>
      <c r="D1030" s="438"/>
      <c r="E1030" s="438"/>
      <c r="F1030" s="438"/>
      <c r="G1030" s="438"/>
      <c r="H1030" s="108"/>
      <c r="I1030" s="108"/>
      <c r="J1030" s="440"/>
      <c r="K1030" s="440"/>
      <c r="L1030" s="440"/>
      <c r="M1030" s="440"/>
      <c r="N1030" s="440"/>
      <c r="O1030" s="440"/>
      <c r="P1030" s="440"/>
      <c r="Q1030" s="440"/>
      <c r="R1030" s="108"/>
      <c r="S1030" s="440"/>
      <c r="T1030" s="440"/>
      <c r="U1030" s="440"/>
      <c r="V1030" s="440"/>
      <c r="W1030" s="440"/>
      <c r="X1030" s="440"/>
      <c r="Y1030" s="108"/>
      <c r="Z1030" s="108"/>
    </row>
    <row r="1031" ht="18.75" customHeight="1">
      <c r="A1031" s="437"/>
      <c r="B1031" s="438"/>
      <c r="C1031" s="438"/>
      <c r="D1031" s="438"/>
      <c r="E1031" s="438"/>
      <c r="F1031" s="438"/>
      <c r="G1031" s="438"/>
      <c r="H1031" s="108"/>
      <c r="I1031" s="108"/>
      <c r="J1031" s="440"/>
      <c r="K1031" s="440"/>
      <c r="L1031" s="440"/>
      <c r="M1031" s="440"/>
      <c r="N1031" s="440"/>
      <c r="O1031" s="440"/>
      <c r="P1031" s="440"/>
      <c r="Q1031" s="440"/>
      <c r="R1031" s="108"/>
      <c r="S1031" s="440"/>
      <c r="T1031" s="440"/>
      <c r="U1031" s="440"/>
      <c r="V1031" s="440"/>
      <c r="W1031" s="440"/>
      <c r="X1031" s="440"/>
      <c r="Y1031" s="108"/>
      <c r="Z1031" s="108"/>
    </row>
    <row r="1032" ht="18.75" customHeight="1">
      <c r="A1032" s="437"/>
      <c r="B1032" s="438"/>
      <c r="C1032" s="438"/>
      <c r="D1032" s="438"/>
      <c r="E1032" s="438"/>
      <c r="F1032" s="438"/>
      <c r="G1032" s="438"/>
      <c r="H1032" s="108"/>
      <c r="I1032" s="108"/>
      <c r="J1032" s="440"/>
      <c r="K1032" s="440"/>
      <c r="L1032" s="440"/>
      <c r="M1032" s="440"/>
      <c r="N1032" s="440"/>
      <c r="O1032" s="440"/>
      <c r="P1032" s="440"/>
      <c r="Q1032" s="440"/>
      <c r="R1032" s="108"/>
      <c r="S1032" s="440"/>
      <c r="T1032" s="440"/>
      <c r="U1032" s="440"/>
      <c r="V1032" s="440"/>
      <c r="W1032" s="440"/>
      <c r="X1032" s="440"/>
      <c r="Y1032" s="108"/>
      <c r="Z1032" s="108"/>
    </row>
    <row r="1033" ht="18.75" customHeight="1">
      <c r="A1033" s="437"/>
      <c r="B1033" s="438"/>
      <c r="C1033" s="438"/>
      <c r="D1033" s="438"/>
      <c r="E1033" s="438"/>
      <c r="F1033" s="438"/>
      <c r="G1033" s="438"/>
      <c r="H1033" s="108"/>
      <c r="I1033" s="108"/>
      <c r="J1033" s="440"/>
      <c r="K1033" s="440"/>
      <c r="L1033" s="440"/>
      <c r="M1033" s="440"/>
      <c r="N1033" s="440"/>
      <c r="O1033" s="440"/>
      <c r="P1033" s="440"/>
      <c r="Q1033" s="440"/>
      <c r="R1033" s="108"/>
      <c r="S1033" s="440"/>
      <c r="T1033" s="440"/>
      <c r="U1033" s="440"/>
      <c r="V1033" s="440"/>
      <c r="W1033" s="440"/>
      <c r="X1033" s="440"/>
      <c r="Y1033" s="108"/>
      <c r="Z1033" s="108"/>
    </row>
    <row r="1034" ht="18.75" customHeight="1">
      <c r="A1034" s="437"/>
      <c r="B1034" s="438"/>
      <c r="C1034" s="438"/>
      <c r="D1034" s="438"/>
      <c r="E1034" s="438"/>
      <c r="F1034" s="438"/>
      <c r="G1034" s="438"/>
      <c r="H1034" s="108"/>
      <c r="I1034" s="108"/>
      <c r="J1034" s="440"/>
      <c r="K1034" s="440"/>
      <c r="L1034" s="440"/>
      <c r="M1034" s="440"/>
      <c r="N1034" s="440"/>
      <c r="O1034" s="440"/>
      <c r="P1034" s="440"/>
      <c r="Q1034" s="440"/>
      <c r="R1034" s="108"/>
      <c r="S1034" s="440"/>
      <c r="T1034" s="440"/>
      <c r="U1034" s="440"/>
      <c r="V1034" s="440"/>
      <c r="W1034" s="440"/>
      <c r="X1034" s="440"/>
      <c r="Y1034" s="108"/>
      <c r="Z1034" s="108"/>
    </row>
    <row r="1035" ht="18.75" customHeight="1">
      <c r="A1035" s="437"/>
      <c r="B1035" s="438"/>
      <c r="C1035" s="438"/>
      <c r="D1035" s="438"/>
      <c r="E1035" s="438"/>
      <c r="F1035" s="438"/>
      <c r="G1035" s="438"/>
      <c r="H1035" s="108"/>
      <c r="I1035" s="108"/>
      <c r="J1035" s="440"/>
      <c r="K1035" s="440"/>
      <c r="L1035" s="440"/>
      <c r="M1035" s="440"/>
      <c r="N1035" s="440"/>
      <c r="O1035" s="440"/>
      <c r="P1035" s="440"/>
      <c r="Q1035" s="440"/>
      <c r="R1035" s="108"/>
      <c r="S1035" s="440"/>
      <c r="T1035" s="440"/>
      <c r="U1035" s="440"/>
      <c r="V1035" s="440"/>
      <c r="W1035" s="440"/>
      <c r="X1035" s="440"/>
      <c r="Y1035" s="108"/>
      <c r="Z1035" s="108"/>
    </row>
    <row r="1036" ht="18.75" customHeight="1">
      <c r="A1036" s="437"/>
      <c r="B1036" s="438"/>
      <c r="C1036" s="438"/>
      <c r="D1036" s="438"/>
      <c r="E1036" s="438"/>
      <c r="F1036" s="438"/>
      <c r="G1036" s="438"/>
      <c r="H1036" s="108"/>
      <c r="I1036" s="108"/>
      <c r="J1036" s="440"/>
      <c r="K1036" s="440"/>
      <c r="L1036" s="440"/>
      <c r="M1036" s="440"/>
      <c r="N1036" s="440"/>
      <c r="O1036" s="440"/>
      <c r="P1036" s="440"/>
      <c r="Q1036" s="440"/>
      <c r="R1036" s="108"/>
      <c r="S1036" s="440"/>
      <c r="T1036" s="440"/>
      <c r="U1036" s="440"/>
      <c r="V1036" s="440"/>
      <c r="W1036" s="440"/>
      <c r="X1036" s="440"/>
      <c r="Y1036" s="108"/>
      <c r="Z1036" s="108"/>
    </row>
    <row r="1037" ht="18.75" customHeight="1">
      <c r="A1037" s="437"/>
      <c r="B1037" s="438"/>
      <c r="C1037" s="438"/>
      <c r="D1037" s="438"/>
      <c r="E1037" s="438"/>
      <c r="F1037" s="438"/>
      <c r="G1037" s="438"/>
      <c r="H1037" s="108"/>
      <c r="I1037" s="108"/>
      <c r="J1037" s="440"/>
      <c r="K1037" s="440"/>
      <c r="L1037" s="440"/>
      <c r="M1037" s="440"/>
      <c r="N1037" s="440"/>
      <c r="O1037" s="440"/>
      <c r="P1037" s="440"/>
      <c r="Q1037" s="440"/>
      <c r="R1037" s="108"/>
      <c r="S1037" s="440"/>
      <c r="T1037" s="440"/>
      <c r="U1037" s="440"/>
      <c r="V1037" s="440"/>
      <c r="W1037" s="440"/>
      <c r="X1037" s="440"/>
      <c r="Y1037" s="108"/>
      <c r="Z1037" s="108"/>
    </row>
    <row r="1038" ht="18.75" customHeight="1">
      <c r="A1038" s="437"/>
      <c r="B1038" s="438"/>
      <c r="C1038" s="438"/>
      <c r="D1038" s="438"/>
      <c r="E1038" s="438"/>
      <c r="F1038" s="438"/>
      <c r="G1038" s="438"/>
      <c r="H1038" s="108"/>
      <c r="I1038" s="108"/>
      <c r="J1038" s="440"/>
      <c r="K1038" s="440"/>
      <c r="L1038" s="440"/>
      <c r="M1038" s="440"/>
      <c r="N1038" s="440"/>
      <c r="O1038" s="440"/>
      <c r="P1038" s="440"/>
      <c r="Q1038" s="440"/>
      <c r="R1038" s="108"/>
      <c r="S1038" s="440"/>
      <c r="T1038" s="440"/>
      <c r="U1038" s="440"/>
      <c r="V1038" s="440"/>
      <c r="W1038" s="440"/>
      <c r="X1038" s="440"/>
      <c r="Y1038" s="108"/>
      <c r="Z1038" s="108"/>
    </row>
    <row r="1039" ht="18.75" customHeight="1">
      <c r="A1039" s="437"/>
      <c r="B1039" s="438"/>
      <c r="C1039" s="438"/>
      <c r="D1039" s="438"/>
      <c r="E1039" s="438"/>
      <c r="F1039" s="438"/>
      <c r="G1039" s="438"/>
      <c r="H1039" s="108"/>
      <c r="I1039" s="108"/>
      <c r="J1039" s="440"/>
      <c r="K1039" s="440"/>
      <c r="L1039" s="440"/>
      <c r="M1039" s="440"/>
      <c r="N1039" s="440"/>
      <c r="O1039" s="440"/>
      <c r="P1039" s="440"/>
      <c r="Q1039" s="440"/>
      <c r="R1039" s="108"/>
      <c r="S1039" s="440"/>
      <c r="T1039" s="440"/>
      <c r="U1039" s="440"/>
      <c r="V1039" s="440"/>
      <c r="W1039" s="440"/>
      <c r="X1039" s="440"/>
      <c r="Y1039" s="108"/>
      <c r="Z1039" s="108"/>
    </row>
    <row r="1040" ht="18.75" customHeight="1">
      <c r="A1040" s="437"/>
      <c r="B1040" s="438"/>
      <c r="C1040" s="438"/>
      <c r="D1040" s="438"/>
      <c r="E1040" s="438"/>
      <c r="F1040" s="438"/>
      <c r="G1040" s="438"/>
      <c r="H1040" s="108"/>
      <c r="I1040" s="108"/>
      <c r="J1040" s="440"/>
      <c r="K1040" s="440"/>
      <c r="L1040" s="440"/>
      <c r="M1040" s="440"/>
      <c r="N1040" s="440"/>
      <c r="O1040" s="440"/>
      <c r="P1040" s="440"/>
      <c r="Q1040" s="440"/>
      <c r="R1040" s="108"/>
      <c r="S1040" s="440"/>
      <c r="T1040" s="440"/>
      <c r="U1040" s="440"/>
      <c r="V1040" s="440"/>
      <c r="W1040" s="440"/>
      <c r="X1040" s="440"/>
      <c r="Y1040" s="108"/>
      <c r="Z1040" s="108"/>
    </row>
    <row r="1041" ht="18.75" customHeight="1">
      <c r="A1041" s="437"/>
      <c r="B1041" s="438"/>
      <c r="C1041" s="438"/>
      <c r="D1041" s="438"/>
      <c r="E1041" s="438"/>
      <c r="F1041" s="438"/>
      <c r="G1041" s="438"/>
      <c r="H1041" s="108"/>
      <c r="I1041" s="108"/>
      <c r="J1041" s="440"/>
      <c r="K1041" s="440"/>
      <c r="L1041" s="440"/>
      <c r="M1041" s="440"/>
      <c r="N1041" s="440"/>
      <c r="O1041" s="440"/>
      <c r="P1041" s="440"/>
      <c r="Q1041" s="440"/>
      <c r="R1041" s="108"/>
      <c r="S1041" s="440"/>
      <c r="T1041" s="440"/>
      <c r="U1041" s="440"/>
      <c r="V1041" s="440"/>
      <c r="W1041" s="440"/>
      <c r="X1041" s="440"/>
      <c r="Y1041" s="108"/>
      <c r="Z1041" s="108"/>
    </row>
    <row r="1042" ht="18.75" customHeight="1">
      <c r="A1042" s="437"/>
      <c r="B1042" s="438"/>
      <c r="C1042" s="438"/>
      <c r="D1042" s="438"/>
      <c r="E1042" s="438"/>
      <c r="F1042" s="438"/>
      <c r="G1042" s="438"/>
      <c r="H1042" s="108"/>
      <c r="I1042" s="108"/>
      <c r="J1042" s="440"/>
      <c r="K1042" s="440"/>
      <c r="L1042" s="440"/>
      <c r="M1042" s="440"/>
      <c r="N1042" s="440"/>
      <c r="O1042" s="440"/>
      <c r="P1042" s="440"/>
      <c r="Q1042" s="440"/>
      <c r="R1042" s="108"/>
      <c r="S1042" s="440"/>
      <c r="T1042" s="440"/>
      <c r="U1042" s="440"/>
      <c r="V1042" s="440"/>
      <c r="W1042" s="440"/>
      <c r="X1042" s="440"/>
      <c r="Y1042" s="108"/>
      <c r="Z1042" s="108"/>
    </row>
    <row r="1043" ht="18.75" customHeight="1">
      <c r="A1043" s="437"/>
      <c r="B1043" s="438"/>
      <c r="C1043" s="438"/>
      <c r="D1043" s="438"/>
      <c r="E1043" s="438"/>
      <c r="F1043" s="438"/>
      <c r="G1043" s="438"/>
      <c r="H1043" s="108"/>
      <c r="I1043" s="108"/>
      <c r="J1043" s="440"/>
      <c r="K1043" s="440"/>
      <c r="L1043" s="440"/>
      <c r="M1043" s="440"/>
      <c r="N1043" s="440"/>
      <c r="O1043" s="440"/>
      <c r="P1043" s="440"/>
      <c r="Q1043" s="440"/>
      <c r="R1043" s="108"/>
      <c r="S1043" s="440"/>
      <c r="T1043" s="440"/>
      <c r="U1043" s="440"/>
      <c r="V1043" s="440"/>
      <c r="W1043" s="440"/>
      <c r="X1043" s="440"/>
      <c r="Y1043" s="108"/>
      <c r="Z1043" s="108"/>
    </row>
    <row r="1044" ht="18.75" customHeight="1">
      <c r="A1044" s="437"/>
      <c r="B1044" s="438"/>
      <c r="C1044" s="438"/>
      <c r="D1044" s="438"/>
      <c r="E1044" s="438"/>
      <c r="F1044" s="438"/>
      <c r="G1044" s="438"/>
      <c r="H1044" s="108"/>
      <c r="I1044" s="108"/>
      <c r="J1044" s="440"/>
      <c r="K1044" s="440"/>
      <c r="L1044" s="440"/>
      <c r="M1044" s="440"/>
      <c r="N1044" s="440"/>
      <c r="O1044" s="440"/>
      <c r="P1044" s="440"/>
      <c r="Q1044" s="440"/>
      <c r="R1044" s="108"/>
      <c r="S1044" s="440"/>
      <c r="T1044" s="440"/>
      <c r="U1044" s="440"/>
      <c r="V1044" s="440"/>
      <c r="W1044" s="440"/>
      <c r="X1044" s="440"/>
      <c r="Y1044" s="108"/>
      <c r="Z1044" s="108"/>
    </row>
    <row r="1045" ht="18.75" customHeight="1">
      <c r="A1045" s="437"/>
      <c r="B1045" s="438"/>
      <c r="C1045" s="438"/>
      <c r="D1045" s="438"/>
      <c r="E1045" s="438"/>
      <c r="F1045" s="438"/>
      <c r="G1045" s="438"/>
      <c r="H1045" s="108"/>
      <c r="I1045" s="108"/>
      <c r="J1045" s="440"/>
      <c r="K1045" s="440"/>
      <c r="L1045" s="440"/>
      <c r="M1045" s="440"/>
      <c r="N1045" s="440"/>
      <c r="O1045" s="440"/>
      <c r="P1045" s="440"/>
      <c r="Q1045" s="440"/>
      <c r="R1045" s="108"/>
      <c r="S1045" s="440"/>
      <c r="T1045" s="440"/>
      <c r="U1045" s="440"/>
      <c r="V1045" s="440"/>
      <c r="W1045" s="440"/>
      <c r="X1045" s="440"/>
      <c r="Y1045" s="108"/>
      <c r="Z1045" s="108"/>
    </row>
    <row r="1046" ht="18.75" customHeight="1">
      <c r="A1046" s="437"/>
      <c r="B1046" s="438"/>
      <c r="C1046" s="438"/>
      <c r="D1046" s="438"/>
      <c r="E1046" s="438"/>
      <c r="F1046" s="438"/>
      <c r="G1046" s="438"/>
      <c r="H1046" s="108"/>
      <c r="I1046" s="108"/>
      <c r="J1046" s="440"/>
      <c r="K1046" s="440"/>
      <c r="L1046" s="440"/>
      <c r="M1046" s="440"/>
      <c r="N1046" s="440"/>
      <c r="O1046" s="440"/>
      <c r="P1046" s="440"/>
      <c r="Q1046" s="440"/>
      <c r="R1046" s="108"/>
      <c r="S1046" s="440"/>
      <c r="T1046" s="440"/>
      <c r="U1046" s="440"/>
      <c r="V1046" s="440"/>
      <c r="W1046" s="440"/>
      <c r="X1046" s="440"/>
      <c r="Y1046" s="108"/>
      <c r="Z1046" s="108"/>
    </row>
    <row r="1047" ht="18.75" customHeight="1">
      <c r="A1047" s="437"/>
      <c r="B1047" s="438"/>
      <c r="C1047" s="438"/>
      <c r="D1047" s="438"/>
      <c r="E1047" s="438"/>
      <c r="F1047" s="438"/>
      <c r="G1047" s="438"/>
      <c r="H1047" s="108"/>
      <c r="I1047" s="108"/>
      <c r="J1047" s="440"/>
      <c r="K1047" s="440"/>
      <c r="L1047" s="440"/>
      <c r="M1047" s="440"/>
      <c r="N1047" s="440"/>
      <c r="O1047" s="440"/>
      <c r="P1047" s="440"/>
      <c r="Q1047" s="440"/>
      <c r="R1047" s="108"/>
      <c r="S1047" s="440"/>
      <c r="T1047" s="440"/>
      <c r="U1047" s="440"/>
      <c r="V1047" s="440"/>
      <c r="W1047" s="440"/>
      <c r="X1047" s="440"/>
      <c r="Y1047" s="108"/>
      <c r="Z1047" s="108"/>
    </row>
    <row r="1048" ht="18.75" customHeight="1">
      <c r="A1048" s="437"/>
      <c r="B1048" s="438"/>
      <c r="C1048" s="438"/>
      <c r="D1048" s="438"/>
      <c r="E1048" s="438"/>
      <c r="F1048" s="438"/>
      <c r="G1048" s="438"/>
      <c r="H1048" s="108"/>
      <c r="I1048" s="108"/>
      <c r="J1048" s="440"/>
      <c r="K1048" s="440"/>
      <c r="L1048" s="440"/>
      <c r="M1048" s="440"/>
      <c r="N1048" s="440"/>
      <c r="O1048" s="440"/>
      <c r="P1048" s="440"/>
      <c r="Q1048" s="440"/>
      <c r="R1048" s="108"/>
      <c r="S1048" s="440"/>
      <c r="T1048" s="440"/>
      <c r="U1048" s="440"/>
      <c r="V1048" s="440"/>
      <c r="W1048" s="440"/>
      <c r="X1048" s="440"/>
      <c r="Y1048" s="108"/>
      <c r="Z1048" s="108"/>
    </row>
    <row r="1049" ht="18.75" customHeight="1">
      <c r="A1049" s="437"/>
      <c r="B1049" s="438"/>
      <c r="C1049" s="438"/>
      <c r="D1049" s="438"/>
      <c r="E1049" s="438"/>
      <c r="F1049" s="438"/>
      <c r="G1049" s="438"/>
      <c r="H1049" s="108"/>
      <c r="I1049" s="108"/>
      <c r="J1049" s="440"/>
      <c r="K1049" s="440"/>
      <c r="L1049" s="440"/>
      <c r="M1049" s="440"/>
      <c r="N1049" s="440"/>
      <c r="O1049" s="440"/>
      <c r="P1049" s="440"/>
      <c r="Q1049" s="440"/>
      <c r="R1049" s="108"/>
      <c r="S1049" s="440"/>
      <c r="T1049" s="440"/>
      <c r="U1049" s="440"/>
      <c r="V1049" s="440"/>
      <c r="W1049" s="440"/>
      <c r="X1049" s="440"/>
      <c r="Y1049" s="108"/>
      <c r="Z1049" s="108"/>
    </row>
    <row r="1050" ht="18.75" customHeight="1">
      <c r="A1050" s="437"/>
      <c r="B1050" s="438"/>
      <c r="C1050" s="438"/>
      <c r="D1050" s="438"/>
      <c r="E1050" s="438"/>
      <c r="F1050" s="438"/>
      <c r="G1050" s="438"/>
      <c r="H1050" s="108"/>
      <c r="I1050" s="108"/>
      <c r="J1050" s="440"/>
      <c r="K1050" s="440"/>
      <c r="L1050" s="440"/>
      <c r="M1050" s="440"/>
      <c r="N1050" s="440"/>
      <c r="O1050" s="440"/>
      <c r="P1050" s="440"/>
      <c r="Q1050" s="440"/>
      <c r="R1050" s="108"/>
      <c r="S1050" s="440"/>
      <c r="T1050" s="440"/>
      <c r="U1050" s="440"/>
      <c r="V1050" s="440"/>
      <c r="W1050" s="440"/>
      <c r="X1050" s="440"/>
      <c r="Y1050" s="108"/>
      <c r="Z1050" s="108"/>
    </row>
    <row r="1051" ht="18.75" customHeight="1">
      <c r="A1051" s="437"/>
      <c r="B1051" s="438"/>
      <c r="C1051" s="438"/>
      <c r="D1051" s="438"/>
      <c r="E1051" s="438"/>
      <c r="F1051" s="438"/>
      <c r="G1051" s="438"/>
      <c r="H1051" s="108"/>
      <c r="I1051" s="108"/>
      <c r="J1051" s="440"/>
      <c r="K1051" s="440"/>
      <c r="L1051" s="440"/>
      <c r="M1051" s="440"/>
      <c r="N1051" s="440"/>
      <c r="O1051" s="440"/>
      <c r="P1051" s="440"/>
      <c r="Q1051" s="440"/>
      <c r="R1051" s="108"/>
      <c r="S1051" s="440"/>
      <c r="T1051" s="440"/>
      <c r="U1051" s="440"/>
      <c r="V1051" s="440"/>
      <c r="W1051" s="440"/>
      <c r="X1051" s="440"/>
      <c r="Y1051" s="108"/>
      <c r="Z1051" s="108"/>
    </row>
    <row r="1052" ht="18.75" customHeight="1">
      <c r="A1052" s="437"/>
      <c r="B1052" s="438"/>
      <c r="C1052" s="438"/>
      <c r="D1052" s="438"/>
      <c r="E1052" s="438"/>
      <c r="F1052" s="438"/>
      <c r="G1052" s="438"/>
      <c r="H1052" s="108"/>
      <c r="I1052" s="108"/>
      <c r="J1052" s="440"/>
      <c r="K1052" s="440"/>
      <c r="L1052" s="440"/>
      <c r="M1052" s="440"/>
      <c r="N1052" s="440"/>
      <c r="O1052" s="440"/>
      <c r="P1052" s="440"/>
      <c r="Q1052" s="440"/>
      <c r="R1052" s="108"/>
      <c r="S1052" s="440"/>
      <c r="T1052" s="440"/>
      <c r="U1052" s="440"/>
      <c r="V1052" s="440"/>
      <c r="W1052" s="440"/>
      <c r="X1052" s="440"/>
      <c r="Y1052" s="108"/>
      <c r="Z1052" s="108"/>
    </row>
    <row r="1053" ht="18.75" customHeight="1">
      <c r="A1053" s="437"/>
      <c r="B1053" s="438"/>
      <c r="C1053" s="438"/>
      <c r="D1053" s="438"/>
      <c r="E1053" s="438"/>
      <c r="F1053" s="438"/>
      <c r="G1053" s="438"/>
      <c r="H1053" s="108"/>
      <c r="I1053" s="108"/>
      <c r="J1053" s="440"/>
      <c r="K1053" s="440"/>
      <c r="L1053" s="440"/>
      <c r="M1053" s="440"/>
      <c r="N1053" s="440"/>
      <c r="O1053" s="440"/>
      <c r="P1053" s="440"/>
      <c r="Q1053" s="440"/>
      <c r="R1053" s="108"/>
      <c r="S1053" s="440"/>
      <c r="T1053" s="440"/>
      <c r="U1053" s="440"/>
      <c r="V1053" s="440"/>
      <c r="W1053" s="440"/>
      <c r="X1053" s="440"/>
      <c r="Y1053" s="108"/>
      <c r="Z1053" s="108"/>
    </row>
    <row r="1054" ht="18.75" customHeight="1">
      <c r="A1054" s="437"/>
      <c r="B1054" s="438"/>
      <c r="C1054" s="438"/>
      <c r="D1054" s="438"/>
      <c r="E1054" s="438"/>
      <c r="F1054" s="438"/>
      <c r="G1054" s="438"/>
      <c r="H1054" s="108"/>
      <c r="I1054" s="108"/>
      <c r="J1054" s="440"/>
      <c r="K1054" s="440"/>
      <c r="L1054" s="440"/>
      <c r="M1054" s="440"/>
      <c r="N1054" s="440"/>
      <c r="O1054" s="440"/>
      <c r="P1054" s="440"/>
      <c r="Q1054" s="440"/>
      <c r="R1054" s="108"/>
      <c r="S1054" s="440"/>
      <c r="T1054" s="440"/>
      <c r="U1054" s="440"/>
      <c r="V1054" s="440"/>
      <c r="W1054" s="440"/>
      <c r="X1054" s="440"/>
      <c r="Y1054" s="108"/>
      <c r="Z1054" s="108"/>
    </row>
    <row r="1055" ht="18.75" customHeight="1">
      <c r="A1055" s="437"/>
      <c r="B1055" s="438"/>
      <c r="C1055" s="438"/>
      <c r="D1055" s="438"/>
      <c r="E1055" s="438"/>
      <c r="F1055" s="438"/>
      <c r="G1055" s="438"/>
      <c r="H1055" s="108"/>
      <c r="I1055" s="108"/>
      <c r="J1055" s="440"/>
      <c r="K1055" s="440"/>
      <c r="L1055" s="440"/>
      <c r="M1055" s="440"/>
      <c r="N1055" s="440"/>
      <c r="O1055" s="440"/>
      <c r="P1055" s="440"/>
      <c r="Q1055" s="440"/>
      <c r="R1055" s="108"/>
      <c r="S1055" s="440"/>
      <c r="T1055" s="440"/>
      <c r="U1055" s="440"/>
      <c r="V1055" s="440"/>
      <c r="W1055" s="440"/>
      <c r="X1055" s="440"/>
      <c r="Y1055" s="108"/>
      <c r="Z1055" s="108"/>
    </row>
    <row r="1056" ht="18.75" customHeight="1">
      <c r="A1056" s="437"/>
      <c r="B1056" s="438"/>
      <c r="C1056" s="438"/>
      <c r="D1056" s="438"/>
      <c r="E1056" s="438"/>
      <c r="F1056" s="438"/>
      <c r="G1056" s="438"/>
      <c r="H1056" s="108"/>
      <c r="I1056" s="108"/>
      <c r="J1056" s="440"/>
      <c r="K1056" s="440"/>
      <c r="L1056" s="440"/>
      <c r="M1056" s="440"/>
      <c r="N1056" s="440"/>
      <c r="O1056" s="440"/>
      <c r="P1056" s="440"/>
      <c r="Q1056" s="440"/>
      <c r="R1056" s="108"/>
      <c r="S1056" s="440"/>
      <c r="T1056" s="440"/>
      <c r="U1056" s="440"/>
      <c r="V1056" s="440"/>
      <c r="W1056" s="440"/>
      <c r="X1056" s="440"/>
      <c r="Y1056" s="108"/>
      <c r="Z1056" s="108"/>
    </row>
    <row r="1057" ht="18.75" customHeight="1">
      <c r="A1057" s="437"/>
      <c r="B1057" s="438"/>
      <c r="C1057" s="438"/>
      <c r="D1057" s="438"/>
      <c r="E1057" s="438"/>
      <c r="F1057" s="438"/>
      <c r="G1057" s="438"/>
      <c r="H1057" s="108"/>
      <c r="I1057" s="108"/>
      <c r="J1057" s="440"/>
      <c r="K1057" s="440"/>
      <c r="L1057" s="440"/>
      <c r="M1057" s="440"/>
      <c r="N1057" s="440"/>
      <c r="O1057" s="440"/>
      <c r="P1057" s="440"/>
      <c r="Q1057" s="440"/>
      <c r="R1057" s="108"/>
      <c r="S1057" s="440"/>
      <c r="T1057" s="440"/>
      <c r="U1057" s="440"/>
      <c r="V1057" s="440"/>
      <c r="W1057" s="440"/>
      <c r="X1057" s="440"/>
      <c r="Y1057" s="108"/>
      <c r="Z1057" s="108"/>
    </row>
    <row r="1058" ht="18.75" customHeight="1">
      <c r="A1058" s="437"/>
      <c r="B1058" s="438"/>
      <c r="C1058" s="438"/>
      <c r="D1058" s="438"/>
      <c r="E1058" s="438"/>
      <c r="F1058" s="438"/>
      <c r="G1058" s="438"/>
      <c r="H1058" s="108"/>
      <c r="I1058" s="108"/>
      <c r="J1058" s="440"/>
      <c r="K1058" s="440"/>
      <c r="L1058" s="440"/>
      <c r="M1058" s="440"/>
      <c r="N1058" s="440"/>
      <c r="O1058" s="440"/>
      <c r="P1058" s="440"/>
      <c r="Q1058" s="440"/>
      <c r="R1058" s="108"/>
      <c r="S1058" s="440"/>
      <c r="T1058" s="440"/>
      <c r="U1058" s="440"/>
      <c r="V1058" s="440"/>
      <c r="W1058" s="440"/>
      <c r="X1058" s="440"/>
      <c r="Y1058" s="108"/>
      <c r="Z1058" s="108"/>
    </row>
    <row r="1059" ht="18.75" customHeight="1">
      <c r="A1059" s="437"/>
      <c r="B1059" s="438"/>
      <c r="C1059" s="438"/>
      <c r="D1059" s="438"/>
      <c r="E1059" s="438"/>
      <c r="F1059" s="438"/>
      <c r="G1059" s="438"/>
      <c r="H1059" s="108"/>
      <c r="I1059" s="108"/>
      <c r="J1059" s="440"/>
      <c r="K1059" s="440"/>
      <c r="L1059" s="440"/>
      <c r="M1059" s="440"/>
      <c r="N1059" s="440"/>
      <c r="O1059" s="440"/>
      <c r="P1059" s="440"/>
      <c r="Q1059" s="440"/>
      <c r="R1059" s="108"/>
      <c r="S1059" s="440"/>
      <c r="T1059" s="440"/>
      <c r="U1059" s="440"/>
      <c r="V1059" s="440"/>
      <c r="W1059" s="440"/>
      <c r="X1059" s="440"/>
      <c r="Y1059" s="108"/>
      <c r="Z1059" s="108"/>
    </row>
    <row r="1060" ht="18.75" customHeight="1">
      <c r="A1060" s="437"/>
      <c r="B1060" s="438"/>
      <c r="C1060" s="438"/>
      <c r="D1060" s="438"/>
      <c r="E1060" s="438"/>
      <c r="F1060" s="438"/>
      <c r="G1060" s="438"/>
      <c r="H1060" s="108"/>
      <c r="I1060" s="108"/>
      <c r="J1060" s="440"/>
      <c r="K1060" s="440"/>
      <c r="L1060" s="440"/>
      <c r="M1060" s="440"/>
      <c r="N1060" s="440"/>
      <c r="O1060" s="440"/>
      <c r="P1060" s="440"/>
      <c r="Q1060" s="440"/>
      <c r="R1060" s="108"/>
      <c r="S1060" s="440"/>
      <c r="T1060" s="440"/>
      <c r="U1060" s="440"/>
      <c r="V1060" s="440"/>
      <c r="W1060" s="440"/>
      <c r="X1060" s="440"/>
      <c r="Y1060" s="108"/>
      <c r="Z1060" s="108"/>
    </row>
    <row r="1061" ht="18.75" customHeight="1">
      <c r="A1061" s="437"/>
      <c r="B1061" s="438"/>
      <c r="C1061" s="438"/>
      <c r="D1061" s="438"/>
      <c r="E1061" s="438"/>
      <c r="F1061" s="438"/>
      <c r="G1061" s="438"/>
      <c r="H1061" s="108"/>
      <c r="I1061" s="108"/>
      <c r="J1061" s="440"/>
      <c r="K1061" s="440"/>
      <c r="L1061" s="440"/>
      <c r="M1061" s="440"/>
      <c r="N1061" s="440"/>
      <c r="O1061" s="440"/>
      <c r="P1061" s="440"/>
      <c r="Q1061" s="440"/>
      <c r="R1061" s="108"/>
      <c r="S1061" s="440"/>
      <c r="T1061" s="440"/>
      <c r="U1061" s="440"/>
      <c r="V1061" s="440"/>
      <c r="W1061" s="440"/>
      <c r="X1061" s="440"/>
      <c r="Y1061" s="108"/>
      <c r="Z1061" s="108"/>
    </row>
    <row r="1062" ht="18.75" customHeight="1">
      <c r="A1062" s="437"/>
      <c r="B1062" s="438"/>
      <c r="C1062" s="438"/>
      <c r="D1062" s="438"/>
      <c r="E1062" s="438"/>
      <c r="F1062" s="438"/>
      <c r="G1062" s="438"/>
      <c r="H1062" s="108"/>
      <c r="I1062" s="108"/>
      <c r="J1062" s="440"/>
      <c r="K1062" s="440"/>
      <c r="L1062" s="440"/>
      <c r="M1062" s="440"/>
      <c r="N1062" s="440"/>
      <c r="O1062" s="440"/>
      <c r="P1062" s="440"/>
      <c r="Q1062" s="440"/>
      <c r="R1062" s="108"/>
      <c r="S1062" s="440"/>
      <c r="T1062" s="440"/>
      <c r="U1062" s="440"/>
      <c r="V1062" s="440"/>
      <c r="W1062" s="440"/>
      <c r="X1062" s="440"/>
      <c r="Y1062" s="108"/>
      <c r="Z1062" s="108"/>
    </row>
    <row r="1063" ht="18.75" customHeight="1">
      <c r="A1063" s="437"/>
      <c r="B1063" s="438"/>
      <c r="C1063" s="438"/>
      <c r="D1063" s="438"/>
      <c r="E1063" s="438"/>
      <c r="F1063" s="438"/>
      <c r="G1063" s="438"/>
      <c r="H1063" s="108"/>
      <c r="I1063" s="108"/>
      <c r="J1063" s="440"/>
      <c r="K1063" s="440"/>
      <c r="L1063" s="440"/>
      <c r="M1063" s="440"/>
      <c r="N1063" s="440"/>
      <c r="O1063" s="440"/>
      <c r="P1063" s="440"/>
      <c r="Q1063" s="440"/>
      <c r="R1063" s="108"/>
      <c r="S1063" s="440"/>
      <c r="T1063" s="440"/>
      <c r="U1063" s="440"/>
      <c r="V1063" s="440"/>
      <c r="W1063" s="440"/>
      <c r="X1063" s="440"/>
      <c r="Y1063" s="108"/>
      <c r="Z1063" s="108"/>
    </row>
    <row r="1064" ht="18.75" customHeight="1">
      <c r="A1064" s="437"/>
      <c r="B1064" s="438"/>
      <c r="C1064" s="438"/>
      <c r="D1064" s="438"/>
      <c r="E1064" s="438"/>
      <c r="F1064" s="438"/>
      <c r="G1064" s="438"/>
      <c r="H1064" s="108"/>
      <c r="I1064" s="108"/>
      <c r="J1064" s="440"/>
      <c r="K1064" s="440"/>
      <c r="L1064" s="440"/>
      <c r="M1064" s="440"/>
      <c r="N1064" s="440"/>
      <c r="O1064" s="440"/>
      <c r="P1064" s="440"/>
      <c r="Q1064" s="440"/>
      <c r="R1064" s="108"/>
      <c r="S1064" s="440"/>
      <c r="T1064" s="440"/>
      <c r="U1064" s="440"/>
      <c r="V1064" s="440"/>
      <c r="W1064" s="440"/>
      <c r="X1064" s="440"/>
      <c r="Y1064" s="108"/>
      <c r="Z1064" s="108"/>
    </row>
    <row r="1065" ht="18.75" customHeight="1">
      <c r="A1065" s="437"/>
      <c r="B1065" s="438"/>
      <c r="C1065" s="438"/>
      <c r="D1065" s="438"/>
      <c r="E1065" s="438"/>
      <c r="F1065" s="438"/>
      <c r="G1065" s="438"/>
      <c r="H1065" s="108"/>
      <c r="I1065" s="108"/>
      <c r="J1065" s="440"/>
      <c r="K1065" s="440"/>
      <c r="L1065" s="440"/>
      <c r="M1065" s="440"/>
      <c r="N1065" s="440"/>
      <c r="O1065" s="440"/>
      <c r="P1065" s="440"/>
      <c r="Q1065" s="440"/>
      <c r="R1065" s="108"/>
      <c r="S1065" s="440"/>
      <c r="T1065" s="440"/>
      <c r="U1065" s="440"/>
      <c r="V1065" s="440"/>
      <c r="W1065" s="440"/>
      <c r="X1065" s="440"/>
      <c r="Y1065" s="108"/>
      <c r="Z1065" s="108"/>
    </row>
    <row r="1066" ht="18.75" customHeight="1">
      <c r="A1066" s="437"/>
      <c r="B1066" s="438"/>
      <c r="C1066" s="438"/>
      <c r="D1066" s="438"/>
      <c r="E1066" s="438"/>
      <c r="F1066" s="438"/>
      <c r="G1066" s="438"/>
      <c r="H1066" s="108"/>
      <c r="I1066" s="108"/>
      <c r="J1066" s="440"/>
      <c r="K1066" s="440"/>
      <c r="L1066" s="440"/>
      <c r="M1066" s="440"/>
      <c r="N1066" s="440"/>
      <c r="O1066" s="440"/>
      <c r="P1066" s="440"/>
      <c r="Q1066" s="440"/>
      <c r="R1066" s="108"/>
      <c r="S1066" s="440"/>
      <c r="T1066" s="440"/>
      <c r="U1066" s="440"/>
      <c r="V1066" s="440"/>
      <c r="W1066" s="440"/>
      <c r="X1066" s="440"/>
      <c r="Y1066" s="108"/>
      <c r="Z1066" s="108"/>
    </row>
    <row r="1067" ht="18.75" customHeight="1">
      <c r="A1067" s="437"/>
      <c r="B1067" s="438"/>
      <c r="C1067" s="438"/>
      <c r="D1067" s="438"/>
      <c r="E1067" s="438"/>
      <c r="F1067" s="438"/>
      <c r="G1067" s="438"/>
      <c r="H1067" s="108"/>
      <c r="I1067" s="108"/>
      <c r="J1067" s="440"/>
      <c r="K1067" s="440"/>
      <c r="L1067" s="440"/>
      <c r="M1067" s="440"/>
      <c r="N1067" s="440"/>
      <c r="O1067" s="440"/>
      <c r="P1067" s="440"/>
      <c r="Q1067" s="440"/>
      <c r="R1067" s="108"/>
      <c r="S1067" s="440"/>
      <c r="T1067" s="440"/>
      <c r="U1067" s="440"/>
      <c r="V1067" s="440"/>
      <c r="W1067" s="440"/>
      <c r="X1067" s="440"/>
      <c r="Y1067" s="108"/>
      <c r="Z1067" s="108"/>
    </row>
    <row r="1068" ht="18.75" customHeight="1">
      <c r="A1068" s="437"/>
      <c r="B1068" s="438"/>
      <c r="C1068" s="438"/>
      <c r="D1068" s="438"/>
      <c r="E1068" s="438"/>
      <c r="F1068" s="438"/>
      <c r="G1068" s="438"/>
      <c r="H1068" s="108"/>
      <c r="I1068" s="108"/>
      <c r="J1068" s="440"/>
      <c r="K1068" s="440"/>
      <c r="L1068" s="440"/>
      <c r="M1068" s="440"/>
      <c r="N1068" s="440"/>
      <c r="O1068" s="440"/>
      <c r="P1068" s="440"/>
      <c r="Q1068" s="440"/>
      <c r="R1068" s="108"/>
      <c r="S1068" s="440"/>
      <c r="T1068" s="440"/>
      <c r="U1068" s="440"/>
      <c r="V1068" s="440"/>
      <c r="W1068" s="440"/>
      <c r="X1068" s="440"/>
      <c r="Y1068" s="108"/>
      <c r="Z1068" s="108"/>
    </row>
    <row r="1069" ht="18.75" customHeight="1">
      <c r="A1069" s="437"/>
      <c r="B1069" s="438"/>
      <c r="C1069" s="438"/>
      <c r="D1069" s="438"/>
      <c r="E1069" s="438"/>
      <c r="F1069" s="438"/>
      <c r="G1069" s="438"/>
      <c r="H1069" s="108"/>
      <c r="I1069" s="108"/>
      <c r="J1069" s="440"/>
      <c r="K1069" s="440"/>
      <c r="L1069" s="440"/>
      <c r="M1069" s="440"/>
      <c r="N1069" s="440"/>
      <c r="O1069" s="440"/>
      <c r="P1069" s="440"/>
      <c r="Q1069" s="440"/>
      <c r="R1069" s="108"/>
      <c r="S1069" s="440"/>
      <c r="T1069" s="440"/>
      <c r="U1069" s="440"/>
      <c r="V1069" s="440"/>
      <c r="W1069" s="440"/>
      <c r="X1069" s="440"/>
      <c r="Y1069" s="108"/>
      <c r="Z1069" s="108"/>
    </row>
    <row r="1070" ht="18.75" customHeight="1">
      <c r="A1070" s="437"/>
      <c r="B1070" s="438"/>
      <c r="C1070" s="438"/>
      <c r="D1070" s="438"/>
      <c r="E1070" s="438"/>
      <c r="F1070" s="438"/>
      <c r="G1070" s="438"/>
      <c r="H1070" s="108"/>
      <c r="I1070" s="108"/>
      <c r="J1070" s="440"/>
      <c r="K1070" s="440"/>
      <c r="L1070" s="440"/>
      <c r="M1070" s="440"/>
      <c r="N1070" s="440"/>
      <c r="O1070" s="440"/>
      <c r="P1070" s="440"/>
      <c r="Q1070" s="440"/>
      <c r="R1070" s="108"/>
      <c r="S1070" s="440"/>
      <c r="T1070" s="440"/>
      <c r="U1070" s="440"/>
      <c r="V1070" s="440"/>
      <c r="W1070" s="440"/>
      <c r="X1070" s="440"/>
      <c r="Y1070" s="108"/>
      <c r="Z1070" s="108"/>
    </row>
    <row r="1071" ht="18.75" customHeight="1">
      <c r="A1071" s="437"/>
      <c r="B1071" s="438"/>
      <c r="C1071" s="438"/>
      <c r="D1071" s="438"/>
      <c r="E1071" s="438"/>
      <c r="F1071" s="438"/>
      <c r="G1071" s="438"/>
      <c r="H1071" s="108"/>
      <c r="I1071" s="108"/>
      <c r="J1071" s="440"/>
      <c r="K1071" s="440"/>
      <c r="L1071" s="440"/>
      <c r="M1071" s="440"/>
      <c r="N1071" s="440"/>
      <c r="O1071" s="440"/>
      <c r="P1071" s="440"/>
      <c r="Q1071" s="440"/>
      <c r="R1071" s="108"/>
      <c r="S1071" s="440"/>
      <c r="T1071" s="440"/>
      <c r="U1071" s="440"/>
      <c r="V1071" s="440"/>
      <c r="W1071" s="440"/>
      <c r="X1071" s="440"/>
      <c r="Y1071" s="108"/>
      <c r="Z1071" s="108"/>
    </row>
    <row r="1072" ht="18.75" customHeight="1">
      <c r="A1072" s="437"/>
      <c r="B1072" s="438"/>
      <c r="C1072" s="438"/>
      <c r="D1072" s="438"/>
      <c r="E1072" s="438"/>
      <c r="F1072" s="438"/>
      <c r="G1072" s="438"/>
      <c r="H1072" s="108"/>
      <c r="I1072" s="108"/>
      <c r="J1072" s="440"/>
      <c r="K1072" s="440"/>
      <c r="L1072" s="440"/>
      <c r="M1072" s="440"/>
      <c r="N1072" s="440"/>
      <c r="O1072" s="440"/>
      <c r="P1072" s="440"/>
      <c r="Q1072" s="440"/>
      <c r="R1072" s="108"/>
      <c r="S1072" s="440"/>
      <c r="T1072" s="440"/>
      <c r="U1072" s="440"/>
      <c r="V1072" s="440"/>
      <c r="W1072" s="440"/>
      <c r="X1072" s="440"/>
      <c r="Y1072" s="108"/>
      <c r="Z1072" s="108"/>
    </row>
    <row r="1073" ht="18.75" customHeight="1">
      <c r="A1073" s="437"/>
      <c r="B1073" s="438"/>
      <c r="C1073" s="438"/>
      <c r="D1073" s="438"/>
      <c r="E1073" s="438"/>
      <c r="F1073" s="438"/>
      <c r="G1073" s="438"/>
      <c r="H1073" s="108"/>
      <c r="I1073" s="108"/>
      <c r="J1073" s="440"/>
      <c r="K1073" s="440"/>
      <c r="L1073" s="440"/>
      <c r="M1073" s="440"/>
      <c r="N1073" s="440"/>
      <c r="O1073" s="440"/>
      <c r="P1073" s="440"/>
      <c r="Q1073" s="440"/>
      <c r="R1073" s="108"/>
      <c r="S1073" s="440"/>
      <c r="T1073" s="440"/>
      <c r="U1073" s="440"/>
      <c r="V1073" s="440"/>
      <c r="W1073" s="440"/>
      <c r="X1073" s="440"/>
      <c r="Y1073" s="108"/>
      <c r="Z1073" s="108"/>
    </row>
    <row r="1074" ht="18.75" customHeight="1">
      <c r="A1074" s="437"/>
      <c r="B1074" s="438"/>
      <c r="C1074" s="438"/>
      <c r="D1074" s="438"/>
      <c r="E1074" s="438"/>
      <c r="F1074" s="438"/>
      <c r="G1074" s="438"/>
      <c r="H1074" s="108"/>
      <c r="I1074" s="108"/>
      <c r="J1074" s="440"/>
      <c r="K1074" s="440"/>
      <c r="L1074" s="440"/>
      <c r="M1074" s="440"/>
      <c r="N1074" s="440"/>
      <c r="O1074" s="440"/>
      <c r="P1074" s="440"/>
      <c r="Q1074" s="440"/>
      <c r="R1074" s="108"/>
      <c r="S1074" s="440"/>
      <c r="T1074" s="440"/>
      <c r="U1074" s="440"/>
      <c r="V1074" s="440"/>
      <c r="W1074" s="440"/>
      <c r="X1074" s="440"/>
      <c r="Y1074" s="108"/>
      <c r="Z1074" s="108"/>
    </row>
    <row r="1075" ht="18.75" customHeight="1">
      <c r="A1075" s="437"/>
      <c r="B1075" s="438"/>
      <c r="C1075" s="438"/>
      <c r="D1075" s="438"/>
      <c r="E1075" s="438"/>
      <c r="F1075" s="438"/>
      <c r="G1075" s="438"/>
      <c r="H1075" s="108"/>
      <c r="I1075" s="108"/>
      <c r="J1075" s="440"/>
      <c r="K1075" s="440"/>
      <c r="L1075" s="440"/>
      <c r="M1075" s="440"/>
      <c r="N1075" s="440"/>
      <c r="O1075" s="440"/>
      <c r="P1075" s="440"/>
      <c r="Q1075" s="440"/>
      <c r="R1075" s="108"/>
      <c r="S1075" s="440"/>
      <c r="T1075" s="440"/>
      <c r="U1075" s="440"/>
      <c r="V1075" s="440"/>
      <c r="W1075" s="440"/>
      <c r="X1075" s="440"/>
      <c r="Y1075" s="108"/>
      <c r="Z1075" s="108"/>
    </row>
    <row r="1076" ht="18.75" customHeight="1">
      <c r="A1076" s="437"/>
      <c r="B1076" s="438"/>
      <c r="C1076" s="438"/>
      <c r="D1076" s="438"/>
      <c r="E1076" s="438"/>
      <c r="F1076" s="438"/>
      <c r="G1076" s="438"/>
      <c r="H1076" s="108"/>
      <c r="I1076" s="108"/>
      <c r="J1076" s="440"/>
      <c r="K1076" s="440"/>
      <c r="L1076" s="440"/>
      <c r="M1076" s="440"/>
      <c r="N1076" s="440"/>
      <c r="O1076" s="440"/>
      <c r="P1076" s="440"/>
      <c r="Q1076" s="440"/>
      <c r="R1076" s="108"/>
      <c r="S1076" s="440"/>
      <c r="T1076" s="440"/>
      <c r="U1076" s="440"/>
      <c r="V1076" s="440"/>
      <c r="W1076" s="440"/>
      <c r="X1076" s="440"/>
      <c r="Y1076" s="108"/>
      <c r="Z1076" s="108"/>
    </row>
    <row r="1077" ht="18.75" customHeight="1">
      <c r="A1077" s="437"/>
      <c r="B1077" s="438"/>
      <c r="C1077" s="438"/>
      <c r="D1077" s="438"/>
      <c r="E1077" s="438"/>
      <c r="F1077" s="438"/>
      <c r="G1077" s="438"/>
      <c r="H1077" s="108"/>
      <c r="I1077" s="108"/>
      <c r="J1077" s="440"/>
      <c r="K1077" s="440"/>
      <c r="L1077" s="440"/>
      <c r="M1077" s="440"/>
      <c r="N1077" s="440"/>
      <c r="O1077" s="440"/>
      <c r="P1077" s="440"/>
      <c r="Q1077" s="440"/>
      <c r="R1077" s="108"/>
      <c r="S1077" s="440"/>
      <c r="T1077" s="440"/>
      <c r="U1077" s="440"/>
      <c r="V1077" s="440"/>
      <c r="W1077" s="440"/>
      <c r="X1077" s="440"/>
      <c r="Y1077" s="108"/>
      <c r="Z1077" s="108"/>
    </row>
    <row r="1078" ht="18.75" customHeight="1">
      <c r="A1078" s="437"/>
      <c r="B1078" s="438"/>
      <c r="C1078" s="438"/>
      <c r="D1078" s="438"/>
      <c r="E1078" s="438"/>
      <c r="F1078" s="438"/>
      <c r="G1078" s="438"/>
      <c r="H1078" s="108"/>
      <c r="I1078" s="108"/>
      <c r="J1078" s="440"/>
      <c r="K1078" s="440"/>
      <c r="L1078" s="440"/>
      <c r="M1078" s="440"/>
      <c r="N1078" s="440"/>
      <c r="O1078" s="440"/>
      <c r="P1078" s="440"/>
      <c r="Q1078" s="440"/>
      <c r="R1078" s="108"/>
      <c r="S1078" s="440"/>
      <c r="T1078" s="440"/>
      <c r="U1078" s="440"/>
      <c r="V1078" s="440"/>
      <c r="W1078" s="440"/>
      <c r="X1078" s="440"/>
      <c r="Y1078" s="108"/>
      <c r="Z1078" s="108"/>
    </row>
    <row r="1079" ht="18.75" customHeight="1">
      <c r="A1079" s="437"/>
      <c r="B1079" s="438"/>
      <c r="C1079" s="438"/>
      <c r="D1079" s="438"/>
      <c r="E1079" s="438"/>
      <c r="F1079" s="438"/>
      <c r="G1079" s="438"/>
      <c r="H1079" s="108"/>
      <c r="I1079" s="108"/>
      <c r="J1079" s="440"/>
      <c r="K1079" s="440"/>
      <c r="L1079" s="440"/>
      <c r="M1079" s="440"/>
      <c r="N1079" s="440"/>
      <c r="O1079" s="440"/>
      <c r="P1079" s="440"/>
      <c r="Q1079" s="440"/>
      <c r="R1079" s="108"/>
      <c r="S1079" s="440"/>
      <c r="T1079" s="440"/>
      <c r="U1079" s="440"/>
      <c r="V1079" s="440"/>
      <c r="W1079" s="440"/>
      <c r="X1079" s="440"/>
      <c r="Y1079" s="108"/>
      <c r="Z1079" s="108"/>
    </row>
    <row r="1080" ht="18.75" customHeight="1">
      <c r="A1080" s="437"/>
      <c r="B1080" s="438"/>
      <c r="C1080" s="438"/>
      <c r="D1080" s="438"/>
      <c r="E1080" s="438"/>
      <c r="F1080" s="438"/>
      <c r="G1080" s="438"/>
      <c r="H1080" s="108"/>
      <c r="I1080" s="108"/>
      <c r="J1080" s="440"/>
      <c r="K1080" s="440"/>
      <c r="L1080" s="440"/>
      <c r="M1080" s="440"/>
      <c r="N1080" s="440"/>
      <c r="O1080" s="440"/>
      <c r="P1080" s="440"/>
      <c r="Q1080" s="440"/>
      <c r="R1080" s="108"/>
      <c r="S1080" s="440"/>
      <c r="T1080" s="440"/>
      <c r="U1080" s="440"/>
      <c r="V1080" s="440"/>
      <c r="W1080" s="440"/>
      <c r="X1080" s="440"/>
      <c r="Y1080" s="108"/>
      <c r="Z1080" s="108"/>
    </row>
    <row r="1081" ht="18.75" customHeight="1">
      <c r="A1081" s="437"/>
      <c r="B1081" s="438"/>
      <c r="C1081" s="438"/>
      <c r="D1081" s="438"/>
      <c r="E1081" s="438"/>
      <c r="F1081" s="438"/>
      <c r="G1081" s="438"/>
      <c r="H1081" s="108"/>
      <c r="I1081" s="108"/>
      <c r="J1081" s="440"/>
      <c r="K1081" s="440"/>
      <c r="L1081" s="440"/>
      <c r="M1081" s="440"/>
      <c r="N1081" s="440"/>
      <c r="O1081" s="440"/>
      <c r="P1081" s="440"/>
      <c r="Q1081" s="440"/>
      <c r="R1081" s="108"/>
      <c r="S1081" s="440"/>
      <c r="T1081" s="440"/>
      <c r="U1081" s="440"/>
      <c r="V1081" s="440"/>
      <c r="W1081" s="440"/>
      <c r="X1081" s="440"/>
      <c r="Y1081" s="108"/>
      <c r="Z1081" s="108"/>
    </row>
    <row r="1082" ht="18.75" customHeight="1">
      <c r="A1082" s="437"/>
      <c r="B1082" s="438"/>
      <c r="C1082" s="438"/>
      <c r="D1082" s="438"/>
      <c r="E1082" s="438"/>
      <c r="F1082" s="438"/>
      <c r="G1082" s="438"/>
      <c r="H1082" s="108"/>
      <c r="I1082" s="108"/>
      <c r="J1082" s="440"/>
      <c r="K1082" s="440"/>
      <c r="L1082" s="440"/>
      <c r="M1082" s="440"/>
      <c r="N1082" s="440"/>
      <c r="O1082" s="440"/>
      <c r="P1082" s="440"/>
      <c r="Q1082" s="440"/>
      <c r="R1082" s="108"/>
      <c r="S1082" s="440"/>
      <c r="T1082" s="440"/>
      <c r="U1082" s="440"/>
      <c r="V1082" s="440"/>
      <c r="W1082" s="440"/>
      <c r="X1082" s="440"/>
      <c r="Y1082" s="108"/>
      <c r="Z1082" s="108"/>
    </row>
    <row r="1083" ht="18.75" customHeight="1">
      <c r="A1083" s="437"/>
      <c r="B1083" s="438"/>
      <c r="C1083" s="438"/>
      <c r="D1083" s="438"/>
      <c r="E1083" s="438"/>
      <c r="F1083" s="438"/>
      <c r="G1083" s="438"/>
      <c r="H1083" s="108"/>
      <c r="I1083" s="108"/>
      <c r="J1083" s="440"/>
      <c r="K1083" s="440"/>
      <c r="L1083" s="440"/>
      <c r="M1083" s="440"/>
      <c r="N1083" s="440"/>
      <c r="O1083" s="440"/>
      <c r="P1083" s="440"/>
      <c r="Q1083" s="440"/>
      <c r="R1083" s="108"/>
      <c r="S1083" s="440"/>
      <c r="T1083" s="440"/>
      <c r="U1083" s="440"/>
      <c r="V1083" s="440"/>
      <c r="W1083" s="440"/>
      <c r="X1083" s="440"/>
      <c r="Y1083" s="108"/>
      <c r="Z1083" s="108"/>
    </row>
    <row r="1084" ht="18.75" customHeight="1">
      <c r="A1084" s="437"/>
      <c r="B1084" s="438"/>
      <c r="C1084" s="438"/>
      <c r="D1084" s="438"/>
      <c r="E1084" s="438"/>
      <c r="F1084" s="438"/>
      <c r="G1084" s="438"/>
      <c r="H1084" s="108"/>
      <c r="I1084" s="108"/>
      <c r="J1084" s="440"/>
      <c r="K1084" s="440"/>
      <c r="L1084" s="440"/>
      <c r="M1084" s="440"/>
      <c r="N1084" s="440"/>
      <c r="O1084" s="440"/>
      <c r="P1084" s="440"/>
      <c r="Q1084" s="440"/>
      <c r="R1084" s="108"/>
      <c r="S1084" s="440"/>
      <c r="T1084" s="440"/>
      <c r="U1084" s="440"/>
      <c r="V1084" s="440"/>
      <c r="W1084" s="440"/>
      <c r="X1084" s="440"/>
      <c r="Y1084" s="108"/>
      <c r="Z1084" s="108"/>
    </row>
    <row r="1085" ht="18.75" customHeight="1">
      <c r="A1085" s="437"/>
      <c r="B1085" s="438"/>
      <c r="C1085" s="438"/>
      <c r="D1085" s="438"/>
      <c r="E1085" s="438"/>
      <c r="F1085" s="438"/>
      <c r="G1085" s="438"/>
      <c r="H1085" s="108"/>
      <c r="I1085" s="108"/>
      <c r="J1085" s="440"/>
      <c r="K1085" s="440"/>
      <c r="L1085" s="440"/>
      <c r="M1085" s="440"/>
      <c r="N1085" s="440"/>
      <c r="O1085" s="440"/>
      <c r="P1085" s="440"/>
      <c r="Q1085" s="440"/>
      <c r="R1085" s="108"/>
      <c r="S1085" s="440"/>
      <c r="T1085" s="440"/>
      <c r="U1085" s="440"/>
      <c r="V1085" s="440"/>
      <c r="W1085" s="440"/>
      <c r="X1085" s="440"/>
      <c r="Y1085" s="108"/>
      <c r="Z1085" s="108"/>
    </row>
    <row r="1086" ht="18.75" customHeight="1">
      <c r="A1086" s="437"/>
      <c r="B1086" s="438"/>
      <c r="C1086" s="438"/>
      <c r="D1086" s="438"/>
      <c r="E1086" s="438"/>
      <c r="F1086" s="438"/>
      <c r="G1086" s="438"/>
      <c r="H1086" s="108"/>
      <c r="I1086" s="108"/>
      <c r="J1086" s="440"/>
      <c r="K1086" s="440"/>
      <c r="L1086" s="440"/>
      <c r="M1086" s="440"/>
      <c r="N1086" s="440"/>
      <c r="O1086" s="440"/>
      <c r="P1086" s="440"/>
      <c r="Q1086" s="440"/>
      <c r="R1086" s="108"/>
      <c r="S1086" s="440"/>
      <c r="T1086" s="440"/>
      <c r="U1086" s="440"/>
      <c r="V1086" s="440"/>
      <c r="W1086" s="440"/>
      <c r="X1086" s="440"/>
      <c r="Y1086" s="108"/>
      <c r="Z1086" s="108"/>
    </row>
    <row r="1087" ht="18.75" customHeight="1">
      <c r="A1087" s="437"/>
      <c r="B1087" s="438"/>
      <c r="C1087" s="438"/>
      <c r="D1087" s="438"/>
      <c r="E1087" s="438"/>
      <c r="F1087" s="438"/>
      <c r="G1087" s="438"/>
      <c r="H1087" s="108"/>
      <c r="I1087" s="108"/>
      <c r="J1087" s="440"/>
      <c r="K1087" s="440"/>
      <c r="L1087" s="440"/>
      <c r="M1087" s="440"/>
      <c r="N1087" s="440"/>
      <c r="O1087" s="440"/>
      <c r="P1087" s="440"/>
      <c r="Q1087" s="440"/>
      <c r="R1087" s="108"/>
      <c r="S1087" s="440"/>
      <c r="T1087" s="440"/>
      <c r="U1087" s="440"/>
      <c r="V1087" s="440"/>
      <c r="W1087" s="440"/>
      <c r="X1087" s="440"/>
      <c r="Y1087" s="108"/>
      <c r="Z1087" s="108"/>
    </row>
    <row r="1088" ht="18.75" customHeight="1">
      <c r="A1088" s="437"/>
      <c r="B1088" s="438"/>
      <c r="C1088" s="438"/>
      <c r="D1088" s="438"/>
      <c r="E1088" s="438"/>
      <c r="F1088" s="438"/>
      <c r="G1088" s="438"/>
      <c r="H1088" s="108"/>
      <c r="I1088" s="108"/>
      <c r="J1088" s="440"/>
      <c r="K1088" s="440"/>
      <c r="L1088" s="440"/>
      <c r="M1088" s="440"/>
      <c r="N1088" s="440"/>
      <c r="O1088" s="440"/>
      <c r="P1088" s="440"/>
      <c r="Q1088" s="440"/>
      <c r="R1088" s="108"/>
      <c r="S1088" s="440"/>
      <c r="T1088" s="440"/>
      <c r="U1088" s="440"/>
      <c r="V1088" s="440"/>
      <c r="W1088" s="440"/>
      <c r="X1088" s="440"/>
      <c r="Y1088" s="108"/>
      <c r="Z1088" s="108"/>
    </row>
    <row r="1089" ht="18.75" customHeight="1">
      <c r="A1089" s="437"/>
      <c r="B1089" s="438"/>
      <c r="C1089" s="438"/>
      <c r="D1089" s="438"/>
      <c r="E1089" s="438"/>
      <c r="F1089" s="438"/>
      <c r="G1089" s="438"/>
      <c r="H1089" s="108"/>
      <c r="I1089" s="108"/>
      <c r="J1089" s="440"/>
      <c r="K1089" s="440"/>
      <c r="L1089" s="440"/>
      <c r="M1089" s="440"/>
      <c r="N1089" s="440"/>
      <c r="O1089" s="440"/>
      <c r="P1089" s="440"/>
      <c r="Q1089" s="440"/>
      <c r="R1089" s="108"/>
      <c r="S1089" s="440"/>
      <c r="T1089" s="440"/>
      <c r="U1089" s="440"/>
      <c r="V1089" s="440"/>
      <c r="W1089" s="440"/>
      <c r="X1089" s="440"/>
      <c r="Y1089" s="108"/>
      <c r="Z1089" s="108"/>
    </row>
  </sheetData>
  <mergeCells count="100">
    <mergeCell ref="B54:C55"/>
    <mergeCell ref="B56:C58"/>
    <mergeCell ref="B59:C60"/>
    <mergeCell ref="B61:C62"/>
    <mergeCell ref="B63:C63"/>
    <mergeCell ref="B64:C64"/>
    <mergeCell ref="B65:C65"/>
    <mergeCell ref="F77:F78"/>
    <mergeCell ref="F79:F81"/>
    <mergeCell ref="F88:F89"/>
    <mergeCell ref="F93:F94"/>
    <mergeCell ref="B67:C67"/>
    <mergeCell ref="B68:C68"/>
    <mergeCell ref="B69:C69"/>
    <mergeCell ref="B71:C72"/>
    <mergeCell ref="F71:F72"/>
    <mergeCell ref="B74:C74"/>
    <mergeCell ref="F75:F76"/>
    <mergeCell ref="B75:C76"/>
    <mergeCell ref="B77:C78"/>
    <mergeCell ref="B79:C81"/>
    <mergeCell ref="B82:C82"/>
    <mergeCell ref="B83:C83"/>
    <mergeCell ref="B84:C84"/>
    <mergeCell ref="B85:C85"/>
    <mergeCell ref="A99:A100"/>
    <mergeCell ref="A102:A103"/>
    <mergeCell ref="A106:A107"/>
    <mergeCell ref="A109:A110"/>
    <mergeCell ref="A111:A112"/>
    <mergeCell ref="A114:A118"/>
    <mergeCell ref="A119:A120"/>
    <mergeCell ref="A121:A122"/>
    <mergeCell ref="B86:C86"/>
    <mergeCell ref="B88:C89"/>
    <mergeCell ref="B91:C91"/>
    <mergeCell ref="B93:C94"/>
    <mergeCell ref="A96:A97"/>
    <mergeCell ref="B96:C97"/>
    <mergeCell ref="B99:C100"/>
    <mergeCell ref="B121:C122"/>
    <mergeCell ref="B124:C124"/>
    <mergeCell ref="B126:C126"/>
    <mergeCell ref="B127:C127"/>
    <mergeCell ref="B129:C129"/>
    <mergeCell ref="B130:C130"/>
    <mergeCell ref="A131:Y131"/>
    <mergeCell ref="A132:H132"/>
    <mergeCell ref="B102:C103"/>
    <mergeCell ref="B104:C104"/>
    <mergeCell ref="B106:C107"/>
    <mergeCell ref="B109:C110"/>
    <mergeCell ref="B111:C112"/>
    <mergeCell ref="B114:C118"/>
    <mergeCell ref="B119:C120"/>
    <mergeCell ref="A1:Z1"/>
    <mergeCell ref="A2:Z2"/>
    <mergeCell ref="A4:H4"/>
    <mergeCell ref="A5:Y5"/>
    <mergeCell ref="A6:H6"/>
    <mergeCell ref="A8:A9"/>
    <mergeCell ref="B8:C9"/>
    <mergeCell ref="A10:A11"/>
    <mergeCell ref="B10:C11"/>
    <mergeCell ref="B12:C12"/>
    <mergeCell ref="A14:A15"/>
    <mergeCell ref="B14:C15"/>
    <mergeCell ref="B16:C16"/>
    <mergeCell ref="A18:A19"/>
    <mergeCell ref="B18:C19"/>
    <mergeCell ref="B20:C20"/>
    <mergeCell ref="B21:C21"/>
    <mergeCell ref="B22:C22"/>
    <mergeCell ref="A23:A25"/>
    <mergeCell ref="B23:C25"/>
    <mergeCell ref="A26:A29"/>
    <mergeCell ref="B26:C29"/>
    <mergeCell ref="B30:C30"/>
    <mergeCell ref="B32:C32"/>
    <mergeCell ref="A34:A35"/>
    <mergeCell ref="B34:C35"/>
    <mergeCell ref="A36:A37"/>
    <mergeCell ref="B36:C37"/>
    <mergeCell ref="A38:A39"/>
    <mergeCell ref="B38:C39"/>
    <mergeCell ref="A40:A41"/>
    <mergeCell ref="B40:C41"/>
    <mergeCell ref="B42:C42"/>
    <mergeCell ref="B43:C43"/>
    <mergeCell ref="A45:A46"/>
    <mergeCell ref="F56:F58"/>
    <mergeCell ref="F59:F60"/>
    <mergeCell ref="F61:F62"/>
    <mergeCell ref="B45:C46"/>
    <mergeCell ref="B48:C48"/>
    <mergeCell ref="B49:C50"/>
    <mergeCell ref="F49:F50"/>
    <mergeCell ref="B51:C53"/>
    <mergeCell ref="F51:F53"/>
    <mergeCell ref="F54:F55"/>
  </mergeCell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5.5"/>
    <col customWidth="1" min="2" max="2" width="15.5"/>
    <col customWidth="1" min="3" max="3" width="19.25"/>
    <col customWidth="1" min="4" max="4" width="21.25"/>
    <col customWidth="1" min="5" max="5" width="26.0"/>
    <col customWidth="1" min="6" max="6" width="16.13"/>
    <col customWidth="1" min="7" max="7" width="10.63"/>
    <col customWidth="1" min="8" max="8" width="17.63"/>
    <col customWidth="1" min="9" max="9" width="33.25"/>
    <col customWidth="1" min="10" max="10" width="15.38"/>
    <col customWidth="1" min="11" max="11" width="22.0"/>
    <col customWidth="1" min="12" max="13" width="19.5"/>
    <col customWidth="1" min="14" max="14" width="25.38"/>
    <col customWidth="1" min="15" max="16" width="19.5"/>
    <col customWidth="1" min="17" max="17" width="23.13"/>
  </cols>
  <sheetData>
    <row r="1" ht="63.0" customHeight="1">
      <c r="A1" s="120">
        <v>1.0</v>
      </c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ht="63.0" customHeight="1">
      <c r="A2" s="128" t="s">
        <v>175</v>
      </c>
      <c r="B2" s="128" t="s">
        <v>23</v>
      </c>
      <c r="C2" s="128" t="s">
        <v>263</v>
      </c>
      <c r="D2" s="128" t="s">
        <v>264</v>
      </c>
      <c r="E2" s="128" t="s">
        <v>265</v>
      </c>
      <c r="F2" s="131" t="s">
        <v>266</v>
      </c>
      <c r="G2" s="128" t="s">
        <v>267</v>
      </c>
      <c r="H2" s="128" t="s">
        <v>268</v>
      </c>
      <c r="I2" s="128" t="s">
        <v>269</v>
      </c>
      <c r="J2" s="128" t="s">
        <v>270</v>
      </c>
      <c r="K2" s="128" t="s">
        <v>271</v>
      </c>
      <c r="L2" s="128" t="s">
        <v>272</v>
      </c>
      <c r="M2" s="128" t="s">
        <v>273</v>
      </c>
      <c r="N2" s="128" t="s">
        <v>274</v>
      </c>
      <c r="O2" s="128" t="s">
        <v>275</v>
      </c>
      <c r="P2" s="128" t="s">
        <v>276</v>
      </c>
      <c r="Q2" s="128" t="s">
        <v>277</v>
      </c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>
      <c r="A3" s="136">
        <v>1.0</v>
      </c>
      <c r="B3" s="136" t="s">
        <v>278</v>
      </c>
      <c r="C3" s="137">
        <v>46226.0</v>
      </c>
      <c r="D3" s="136" t="s">
        <v>279</v>
      </c>
      <c r="E3" s="136" t="s">
        <v>280</v>
      </c>
      <c r="F3" s="138">
        <v>100000.0</v>
      </c>
      <c r="G3" s="150" t="s">
        <v>281</v>
      </c>
      <c r="H3" s="153">
        <v>46226.45</v>
      </c>
      <c r="I3" s="136" t="s">
        <v>285</v>
      </c>
      <c r="J3" s="136" t="s">
        <v>286</v>
      </c>
      <c r="K3" s="136" t="s">
        <v>287</v>
      </c>
      <c r="L3" s="136"/>
      <c r="M3" s="136" t="s">
        <v>288</v>
      </c>
      <c r="N3" s="136"/>
      <c r="O3" s="136" t="s">
        <v>289</v>
      </c>
      <c r="P3" s="136"/>
      <c r="Q3" s="136" t="s">
        <v>290</v>
      </c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</row>
    <row r="4" ht="40.5" customHeight="1">
      <c r="A4" s="136">
        <v>2.0</v>
      </c>
      <c r="B4" s="136" t="s">
        <v>293</v>
      </c>
      <c r="C4" s="160"/>
      <c r="D4" s="160"/>
      <c r="E4" s="136" t="s">
        <v>295</v>
      </c>
      <c r="F4" s="165">
        <f>60000+135000</f>
        <v>195000</v>
      </c>
      <c r="G4" s="136"/>
      <c r="H4" s="160"/>
      <c r="I4" s="160"/>
      <c r="J4" s="136" t="s">
        <v>297</v>
      </c>
      <c r="K4" s="136" t="s">
        <v>287</v>
      </c>
      <c r="L4" s="160"/>
      <c r="M4" s="160"/>
      <c r="N4" s="136" t="s">
        <v>298</v>
      </c>
      <c r="O4" s="136" t="s">
        <v>289</v>
      </c>
      <c r="P4" s="160"/>
      <c r="Q4" s="160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</row>
    <row r="5" ht="56.25" customHeight="1">
      <c r="A5" s="136">
        <v>3.0</v>
      </c>
      <c r="B5" s="136" t="s">
        <v>299</v>
      </c>
      <c r="C5" s="136" t="s">
        <v>300</v>
      </c>
      <c r="D5" s="160"/>
      <c r="E5" s="136" t="s">
        <v>301</v>
      </c>
      <c r="F5" s="138" t="s">
        <v>302</v>
      </c>
      <c r="G5" s="136"/>
      <c r="H5" s="160"/>
      <c r="I5" s="136" t="s">
        <v>303</v>
      </c>
      <c r="J5" s="136" t="s">
        <v>304</v>
      </c>
      <c r="K5" s="136" t="s">
        <v>287</v>
      </c>
      <c r="L5" s="160"/>
      <c r="M5" s="136" t="s">
        <v>305</v>
      </c>
      <c r="N5" s="136" t="s">
        <v>306</v>
      </c>
      <c r="O5" s="136" t="s">
        <v>289</v>
      </c>
      <c r="P5" s="160"/>
      <c r="Q5" s="160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</row>
    <row r="6">
      <c r="A6" s="173">
        <v>4.0</v>
      </c>
      <c r="B6" s="173" t="s">
        <v>307</v>
      </c>
      <c r="C6" s="174">
        <v>46211.0</v>
      </c>
      <c r="D6" s="173" t="s">
        <v>308</v>
      </c>
      <c r="E6" s="173" t="s">
        <v>309</v>
      </c>
      <c r="F6" s="176">
        <v>100000.0</v>
      </c>
      <c r="G6" s="173" t="s">
        <v>281</v>
      </c>
      <c r="H6" s="157"/>
      <c r="I6" s="178" t="s">
        <v>310</v>
      </c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</row>
    <row r="7">
      <c r="A7" s="173">
        <v>5.0</v>
      </c>
      <c r="B7" s="173" t="s">
        <v>311</v>
      </c>
      <c r="C7" s="174">
        <v>46202.0</v>
      </c>
      <c r="D7" s="173" t="s">
        <v>312</v>
      </c>
      <c r="E7" s="173" t="s">
        <v>313</v>
      </c>
      <c r="F7" s="176">
        <v>50000.0</v>
      </c>
      <c r="G7" s="173" t="s">
        <v>281</v>
      </c>
      <c r="H7" s="174">
        <v>46252.0</v>
      </c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</row>
    <row r="8">
      <c r="A8" s="173">
        <v>6.0</v>
      </c>
      <c r="B8" s="173" t="s">
        <v>311</v>
      </c>
      <c r="C8" s="174">
        <v>46202.0</v>
      </c>
      <c r="D8" s="173" t="s">
        <v>315</v>
      </c>
      <c r="E8" s="173" t="s">
        <v>313</v>
      </c>
      <c r="F8" s="176">
        <v>50000.0</v>
      </c>
      <c r="G8" s="173" t="s">
        <v>281</v>
      </c>
      <c r="H8" s="174">
        <v>46252.0</v>
      </c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</row>
    <row r="9">
      <c r="A9" s="173">
        <v>7.0</v>
      </c>
      <c r="B9" s="173" t="s">
        <v>311</v>
      </c>
      <c r="C9" s="174">
        <v>46202.0</v>
      </c>
      <c r="D9" s="173" t="s">
        <v>317</v>
      </c>
      <c r="E9" s="173" t="s">
        <v>313</v>
      </c>
      <c r="F9" s="176">
        <v>50000.0</v>
      </c>
      <c r="G9" s="173" t="s">
        <v>281</v>
      </c>
      <c r="H9" s="174">
        <v>46252.0</v>
      </c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</row>
    <row r="10">
      <c r="A10" s="173">
        <v>8.0</v>
      </c>
      <c r="B10" s="173" t="s">
        <v>311</v>
      </c>
      <c r="C10" s="174">
        <v>46202.0</v>
      </c>
      <c r="D10" s="173" t="s">
        <v>318</v>
      </c>
      <c r="E10" s="173" t="s">
        <v>313</v>
      </c>
      <c r="F10" s="176">
        <v>50000.0</v>
      </c>
      <c r="G10" s="173" t="s">
        <v>281</v>
      </c>
      <c r="H10" s="174">
        <v>46252.0</v>
      </c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</row>
    <row r="11">
      <c r="A11" s="173">
        <v>9.0</v>
      </c>
      <c r="B11" s="173" t="s">
        <v>311</v>
      </c>
      <c r="C11" s="174">
        <v>46202.0</v>
      </c>
      <c r="D11" s="173" t="s">
        <v>319</v>
      </c>
      <c r="E11" s="173" t="s">
        <v>313</v>
      </c>
      <c r="F11" s="176">
        <v>50000.0</v>
      </c>
      <c r="G11" s="173" t="s">
        <v>281</v>
      </c>
      <c r="H11" s="174">
        <v>46252.0</v>
      </c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</row>
    <row r="12">
      <c r="A12" s="173">
        <v>10.0</v>
      </c>
      <c r="B12" s="173" t="s">
        <v>311</v>
      </c>
      <c r="C12" s="174">
        <v>46202.0</v>
      </c>
      <c r="D12" s="173" t="s">
        <v>321</v>
      </c>
      <c r="E12" s="173" t="s">
        <v>313</v>
      </c>
      <c r="F12" s="176">
        <v>50000.0</v>
      </c>
      <c r="G12" s="173" t="s">
        <v>281</v>
      </c>
      <c r="H12" s="174">
        <v>46252.0</v>
      </c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</row>
    <row r="13">
      <c r="A13" s="173">
        <v>11.0</v>
      </c>
      <c r="B13" s="173" t="s">
        <v>311</v>
      </c>
      <c r="C13" s="174">
        <v>46202.0</v>
      </c>
      <c r="D13" s="173" t="s">
        <v>323</v>
      </c>
      <c r="E13" s="173" t="s">
        <v>313</v>
      </c>
      <c r="F13" s="176">
        <v>50000.0</v>
      </c>
      <c r="G13" s="173" t="s">
        <v>281</v>
      </c>
      <c r="H13" s="174">
        <v>46252.0</v>
      </c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</row>
    <row r="14">
      <c r="A14" s="157"/>
      <c r="B14" s="157"/>
      <c r="C14" s="157"/>
      <c r="D14" s="157"/>
      <c r="E14" s="157"/>
      <c r="F14" s="189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</row>
    <row r="15">
      <c r="A15" s="157"/>
      <c r="B15" s="157"/>
      <c r="C15" s="157"/>
      <c r="D15" s="157"/>
      <c r="E15" s="157"/>
      <c r="F15" s="189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</row>
    <row r="16">
      <c r="A16" s="157"/>
      <c r="B16" s="157"/>
      <c r="C16" s="157"/>
      <c r="D16" s="157"/>
      <c r="E16" s="157"/>
      <c r="F16" s="189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</row>
    <row r="17">
      <c r="A17" s="157"/>
      <c r="B17" s="157"/>
      <c r="C17" s="157"/>
      <c r="D17" s="157"/>
      <c r="E17" s="157"/>
      <c r="F17" s="189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</row>
    <row r="18">
      <c r="A18" s="157"/>
      <c r="B18" s="157"/>
      <c r="C18" s="157"/>
      <c r="D18" s="157"/>
      <c r="E18" s="157"/>
      <c r="F18" s="189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</row>
    <row r="19">
      <c r="A19" s="157"/>
      <c r="B19" s="157"/>
      <c r="C19" s="157"/>
      <c r="D19" s="157"/>
      <c r="E19" s="157"/>
      <c r="F19" s="189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</row>
    <row r="20">
      <c r="A20" s="157"/>
      <c r="B20" s="157"/>
      <c r="C20" s="157"/>
      <c r="D20" s="157"/>
      <c r="E20" s="157"/>
      <c r="F20" s="189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</row>
    <row r="21">
      <c r="A21" s="157"/>
      <c r="B21" s="157"/>
      <c r="C21" s="157"/>
      <c r="D21" s="157"/>
      <c r="E21" s="157"/>
      <c r="F21" s="189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</row>
    <row r="22">
      <c r="A22" s="157"/>
      <c r="B22" s="157"/>
      <c r="C22" s="157"/>
      <c r="D22" s="157"/>
      <c r="E22" s="157"/>
      <c r="F22" s="189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</row>
    <row r="23">
      <c r="A23" s="157"/>
      <c r="B23" s="157"/>
      <c r="C23" s="157"/>
      <c r="D23" s="157"/>
      <c r="E23" s="157"/>
      <c r="F23" s="189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</row>
    <row r="24">
      <c r="A24" s="157"/>
      <c r="B24" s="157"/>
      <c r="C24" s="157"/>
      <c r="D24" s="157"/>
      <c r="E24" s="157"/>
      <c r="F24" s="189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</row>
    <row r="25">
      <c r="A25" s="157"/>
      <c r="B25" s="157"/>
      <c r="C25" s="157"/>
      <c r="D25" s="157"/>
      <c r="E25" s="157"/>
      <c r="F25" s="189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</row>
    <row r="26">
      <c r="A26" s="157"/>
      <c r="B26" s="157"/>
      <c r="C26" s="157"/>
      <c r="D26" s="157"/>
      <c r="E26" s="157"/>
      <c r="F26" s="189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</row>
    <row r="27">
      <c r="A27" s="157"/>
      <c r="B27" s="157"/>
      <c r="C27" s="157"/>
      <c r="D27" s="157"/>
      <c r="E27" s="157"/>
      <c r="F27" s="189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</row>
    <row r="28">
      <c r="A28" s="157"/>
      <c r="B28" s="157"/>
      <c r="C28" s="157"/>
      <c r="D28" s="157"/>
      <c r="E28" s="157"/>
      <c r="F28" s="189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</row>
    <row r="29">
      <c r="A29" s="157"/>
      <c r="B29" s="157"/>
      <c r="C29" s="157"/>
      <c r="D29" s="157"/>
      <c r="E29" s="157"/>
      <c r="F29" s="189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</row>
    <row r="30">
      <c r="A30" s="157"/>
      <c r="B30" s="157"/>
      <c r="C30" s="157"/>
      <c r="D30" s="157"/>
      <c r="E30" s="157"/>
      <c r="F30" s="189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</row>
    <row r="31">
      <c r="A31" s="157"/>
      <c r="B31" s="157"/>
      <c r="C31" s="157"/>
      <c r="D31" s="157"/>
      <c r="E31" s="157"/>
      <c r="F31" s="189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</row>
    <row r="32">
      <c r="A32" s="157"/>
      <c r="B32" s="157"/>
      <c r="C32" s="157"/>
      <c r="D32" s="157"/>
      <c r="E32" s="157"/>
      <c r="F32" s="189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</row>
    <row r="33">
      <c r="A33" s="157"/>
      <c r="B33" s="157"/>
      <c r="C33" s="157"/>
      <c r="D33" s="157"/>
      <c r="E33" s="157"/>
      <c r="F33" s="189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</row>
    <row r="34">
      <c r="F34" s="196"/>
    </row>
    <row r="35">
      <c r="F35" s="196"/>
    </row>
    <row r="36">
      <c r="F36" s="196"/>
    </row>
    <row r="37">
      <c r="F37" s="196"/>
    </row>
    <row r="38">
      <c r="F38" s="196"/>
    </row>
    <row r="39">
      <c r="F39" s="196"/>
    </row>
    <row r="40">
      <c r="F40" s="196"/>
    </row>
    <row r="41">
      <c r="F41" s="196"/>
    </row>
    <row r="42">
      <c r="F42" s="196"/>
    </row>
    <row r="43">
      <c r="F43" s="196"/>
    </row>
    <row r="44">
      <c r="F44" s="196"/>
    </row>
    <row r="45">
      <c r="F45" s="196"/>
    </row>
    <row r="46">
      <c r="F46" s="196"/>
    </row>
    <row r="47">
      <c r="F47" s="196"/>
    </row>
    <row r="48">
      <c r="F48" s="196"/>
    </row>
    <row r="49">
      <c r="F49" s="196"/>
    </row>
    <row r="50">
      <c r="F50" s="196"/>
    </row>
    <row r="51">
      <c r="F51" s="196"/>
    </row>
    <row r="52">
      <c r="F52" s="196"/>
    </row>
    <row r="53">
      <c r="F53" s="196"/>
    </row>
    <row r="54">
      <c r="F54" s="196"/>
    </row>
    <row r="55">
      <c r="F55" s="196"/>
    </row>
    <row r="56">
      <c r="F56" s="196"/>
    </row>
    <row r="57">
      <c r="F57" s="196"/>
    </row>
    <row r="58">
      <c r="F58" s="196"/>
    </row>
    <row r="59">
      <c r="F59" s="196"/>
    </row>
    <row r="60">
      <c r="F60" s="196"/>
    </row>
    <row r="61">
      <c r="F61" s="196"/>
    </row>
    <row r="62">
      <c r="F62" s="196"/>
    </row>
    <row r="63">
      <c r="F63" s="196"/>
    </row>
    <row r="64">
      <c r="F64" s="196"/>
    </row>
    <row r="65">
      <c r="F65" s="196"/>
    </row>
    <row r="66">
      <c r="F66" s="196"/>
    </row>
    <row r="67">
      <c r="F67" s="196"/>
    </row>
    <row r="68">
      <c r="F68" s="196"/>
    </row>
    <row r="69">
      <c r="F69" s="196"/>
    </row>
    <row r="70">
      <c r="F70" s="196"/>
    </row>
    <row r="71">
      <c r="F71" s="196"/>
    </row>
    <row r="72">
      <c r="F72" s="196"/>
    </row>
    <row r="73">
      <c r="F73" s="196"/>
    </row>
    <row r="74">
      <c r="F74" s="196"/>
    </row>
    <row r="75">
      <c r="F75" s="196"/>
    </row>
    <row r="76">
      <c r="F76" s="196"/>
    </row>
    <row r="77">
      <c r="F77" s="196"/>
    </row>
    <row r="78">
      <c r="F78" s="196"/>
    </row>
    <row r="79">
      <c r="F79" s="196"/>
    </row>
    <row r="80">
      <c r="F80" s="196"/>
    </row>
    <row r="81">
      <c r="F81" s="196"/>
    </row>
    <row r="82">
      <c r="F82" s="196"/>
    </row>
    <row r="83">
      <c r="F83" s="196"/>
    </row>
    <row r="84">
      <c r="F84" s="196"/>
    </row>
    <row r="85">
      <c r="F85" s="196"/>
    </row>
    <row r="86">
      <c r="F86" s="196"/>
    </row>
    <row r="87">
      <c r="F87" s="196"/>
    </row>
    <row r="88">
      <c r="F88" s="196"/>
    </row>
    <row r="89">
      <c r="F89" s="196"/>
    </row>
    <row r="90">
      <c r="F90" s="196"/>
    </row>
    <row r="91">
      <c r="F91" s="196"/>
    </row>
    <row r="92">
      <c r="F92" s="196"/>
    </row>
    <row r="93">
      <c r="F93" s="196"/>
    </row>
    <row r="94">
      <c r="F94" s="196"/>
    </row>
    <row r="95">
      <c r="F95" s="196"/>
    </row>
    <row r="96">
      <c r="F96" s="196"/>
    </row>
    <row r="97">
      <c r="F97" s="196"/>
    </row>
    <row r="98">
      <c r="F98" s="196"/>
    </row>
    <row r="99">
      <c r="F99" s="196"/>
    </row>
    <row r="100">
      <c r="F100" s="196"/>
    </row>
    <row r="101">
      <c r="F101" s="196"/>
    </row>
    <row r="102">
      <c r="F102" s="196"/>
    </row>
    <row r="103">
      <c r="F103" s="196"/>
    </row>
    <row r="104">
      <c r="F104" s="196"/>
    </row>
    <row r="105">
      <c r="F105" s="196"/>
    </row>
    <row r="106">
      <c r="F106" s="196"/>
    </row>
    <row r="107">
      <c r="F107" s="196"/>
    </row>
    <row r="108">
      <c r="F108" s="196"/>
    </row>
    <row r="109">
      <c r="F109" s="196"/>
    </row>
    <row r="110">
      <c r="F110" s="196"/>
    </row>
    <row r="111">
      <c r="F111" s="196"/>
    </row>
    <row r="112">
      <c r="F112" s="196"/>
    </row>
    <row r="113">
      <c r="F113" s="196"/>
    </row>
    <row r="114">
      <c r="F114" s="196"/>
    </row>
    <row r="115">
      <c r="F115" s="196"/>
    </row>
    <row r="116">
      <c r="F116" s="196"/>
    </row>
    <row r="117">
      <c r="F117" s="196"/>
    </row>
    <row r="118">
      <c r="F118" s="196"/>
    </row>
    <row r="119">
      <c r="F119" s="196"/>
    </row>
    <row r="120">
      <c r="F120" s="196"/>
    </row>
    <row r="121">
      <c r="F121" s="196"/>
    </row>
    <row r="122">
      <c r="F122" s="196"/>
    </row>
    <row r="123">
      <c r="F123" s="196"/>
    </row>
    <row r="124">
      <c r="F124" s="196"/>
    </row>
    <row r="125">
      <c r="F125" s="196"/>
    </row>
    <row r="126">
      <c r="F126" s="196"/>
    </row>
    <row r="127">
      <c r="F127" s="196"/>
    </row>
    <row r="128">
      <c r="F128" s="196"/>
    </row>
    <row r="129">
      <c r="F129" s="196"/>
    </row>
    <row r="130">
      <c r="F130" s="196"/>
    </row>
    <row r="131">
      <c r="F131" s="196"/>
    </row>
    <row r="132">
      <c r="F132" s="196"/>
    </row>
    <row r="133">
      <c r="F133" s="196"/>
    </row>
    <row r="134">
      <c r="F134" s="196"/>
    </row>
    <row r="135">
      <c r="F135" s="196"/>
    </row>
    <row r="136">
      <c r="F136" s="196"/>
    </row>
    <row r="137">
      <c r="F137" s="196"/>
    </row>
    <row r="138">
      <c r="F138" s="196"/>
    </row>
    <row r="139">
      <c r="F139" s="196"/>
    </row>
    <row r="140">
      <c r="F140" s="196"/>
    </row>
    <row r="141">
      <c r="F141" s="196"/>
    </row>
    <row r="142">
      <c r="F142" s="196"/>
    </row>
    <row r="143">
      <c r="F143" s="196"/>
    </row>
    <row r="144">
      <c r="F144" s="196"/>
    </row>
    <row r="145">
      <c r="F145" s="196"/>
    </row>
    <row r="146">
      <c r="F146" s="196"/>
    </row>
    <row r="147">
      <c r="F147" s="196"/>
    </row>
    <row r="148">
      <c r="F148" s="196"/>
    </row>
    <row r="149">
      <c r="F149" s="196"/>
    </row>
    <row r="150">
      <c r="F150" s="196"/>
    </row>
    <row r="151">
      <c r="F151" s="196"/>
    </row>
    <row r="152">
      <c r="F152" s="196"/>
    </row>
    <row r="153">
      <c r="F153" s="196"/>
    </row>
    <row r="154">
      <c r="F154" s="196"/>
    </row>
    <row r="155">
      <c r="F155" s="196"/>
    </row>
    <row r="156">
      <c r="F156" s="196"/>
    </row>
    <row r="157">
      <c r="F157" s="196"/>
    </row>
    <row r="158">
      <c r="F158" s="196"/>
    </row>
    <row r="159">
      <c r="F159" s="196"/>
    </row>
    <row r="160">
      <c r="F160" s="196"/>
    </row>
    <row r="161">
      <c r="F161" s="196"/>
    </row>
    <row r="162">
      <c r="F162" s="196"/>
    </row>
    <row r="163">
      <c r="F163" s="196"/>
    </row>
    <row r="164">
      <c r="F164" s="196"/>
    </row>
    <row r="165">
      <c r="F165" s="196"/>
    </row>
    <row r="166">
      <c r="F166" s="196"/>
    </row>
    <row r="167">
      <c r="F167" s="196"/>
    </row>
    <row r="168">
      <c r="F168" s="196"/>
    </row>
    <row r="169">
      <c r="F169" s="196"/>
    </row>
    <row r="170">
      <c r="F170" s="196"/>
    </row>
    <row r="171">
      <c r="F171" s="196"/>
    </row>
    <row r="172">
      <c r="F172" s="196"/>
    </row>
    <row r="173">
      <c r="F173" s="196"/>
    </row>
    <row r="174">
      <c r="F174" s="196"/>
    </row>
    <row r="175">
      <c r="F175" s="196"/>
    </row>
    <row r="176">
      <c r="F176" s="196"/>
    </row>
    <row r="177">
      <c r="F177" s="196"/>
    </row>
    <row r="178">
      <c r="F178" s="196"/>
    </row>
    <row r="179">
      <c r="F179" s="196"/>
    </row>
    <row r="180">
      <c r="F180" s="196"/>
    </row>
    <row r="181">
      <c r="F181" s="196"/>
    </row>
    <row r="182">
      <c r="F182" s="196"/>
    </row>
    <row r="183">
      <c r="F183" s="196"/>
    </row>
    <row r="184">
      <c r="F184" s="196"/>
    </row>
    <row r="185">
      <c r="F185" s="196"/>
    </row>
    <row r="186">
      <c r="F186" s="196"/>
    </row>
    <row r="187">
      <c r="F187" s="196"/>
    </row>
    <row r="188">
      <c r="F188" s="196"/>
    </row>
    <row r="189">
      <c r="F189" s="196"/>
    </row>
    <row r="190">
      <c r="F190" s="196"/>
    </row>
    <row r="191">
      <c r="F191" s="196"/>
    </row>
    <row r="192">
      <c r="F192" s="196"/>
    </row>
    <row r="193">
      <c r="F193" s="196"/>
    </row>
    <row r="194">
      <c r="F194" s="196"/>
    </row>
    <row r="195">
      <c r="F195" s="196"/>
    </row>
    <row r="196">
      <c r="F196" s="196"/>
    </row>
    <row r="197">
      <c r="F197" s="196"/>
    </row>
    <row r="198">
      <c r="F198" s="196"/>
    </row>
    <row r="199">
      <c r="F199" s="196"/>
    </row>
    <row r="200">
      <c r="F200" s="196"/>
    </row>
    <row r="201">
      <c r="F201" s="196"/>
    </row>
    <row r="202">
      <c r="F202" s="196"/>
    </row>
    <row r="203">
      <c r="F203" s="196"/>
    </row>
    <row r="204">
      <c r="F204" s="196"/>
    </row>
    <row r="205">
      <c r="F205" s="196"/>
    </row>
    <row r="206">
      <c r="F206" s="196"/>
    </row>
    <row r="207">
      <c r="F207" s="196"/>
    </row>
    <row r="208">
      <c r="F208" s="196"/>
    </row>
    <row r="209">
      <c r="F209" s="196"/>
    </row>
    <row r="210">
      <c r="F210" s="196"/>
    </row>
    <row r="211">
      <c r="F211" s="196"/>
    </row>
    <row r="212">
      <c r="F212" s="196"/>
    </row>
    <row r="213">
      <c r="F213" s="196"/>
    </row>
    <row r="214">
      <c r="F214" s="196"/>
    </row>
    <row r="215">
      <c r="F215" s="196"/>
    </row>
    <row r="216">
      <c r="F216" s="196"/>
    </row>
    <row r="217">
      <c r="F217" s="196"/>
    </row>
    <row r="218">
      <c r="F218" s="196"/>
    </row>
    <row r="219">
      <c r="F219" s="196"/>
    </row>
    <row r="220">
      <c r="F220" s="196"/>
    </row>
    <row r="221">
      <c r="F221" s="196"/>
    </row>
    <row r="222">
      <c r="F222" s="196"/>
    </row>
    <row r="223">
      <c r="F223" s="196"/>
    </row>
    <row r="224">
      <c r="F224" s="196"/>
    </row>
    <row r="225">
      <c r="F225" s="196"/>
    </row>
    <row r="226">
      <c r="F226" s="196"/>
    </row>
    <row r="227">
      <c r="F227" s="196"/>
    </row>
    <row r="228">
      <c r="F228" s="196"/>
    </row>
    <row r="229">
      <c r="F229" s="196"/>
    </row>
    <row r="230">
      <c r="F230" s="196"/>
    </row>
    <row r="231">
      <c r="F231" s="196"/>
    </row>
    <row r="232">
      <c r="F232" s="196"/>
    </row>
    <row r="233">
      <c r="F233" s="196"/>
    </row>
    <row r="234">
      <c r="F234" s="196"/>
    </row>
    <row r="235">
      <c r="F235" s="196"/>
    </row>
    <row r="236">
      <c r="F236" s="196"/>
    </row>
    <row r="237">
      <c r="F237" s="196"/>
    </row>
    <row r="238">
      <c r="F238" s="196"/>
    </row>
    <row r="239">
      <c r="F239" s="196"/>
    </row>
    <row r="240">
      <c r="F240" s="196"/>
    </row>
    <row r="241">
      <c r="F241" s="196"/>
    </row>
    <row r="242">
      <c r="F242" s="196"/>
    </row>
    <row r="243">
      <c r="F243" s="196"/>
    </row>
    <row r="244">
      <c r="F244" s="196"/>
    </row>
    <row r="245">
      <c r="F245" s="196"/>
    </row>
    <row r="246">
      <c r="F246" s="196"/>
    </row>
    <row r="247">
      <c r="F247" s="196"/>
    </row>
    <row r="248">
      <c r="F248" s="196"/>
    </row>
    <row r="249">
      <c r="F249" s="196"/>
    </row>
    <row r="250">
      <c r="F250" s="196"/>
    </row>
    <row r="251">
      <c r="F251" s="196"/>
    </row>
    <row r="252">
      <c r="F252" s="196"/>
    </row>
    <row r="253">
      <c r="F253" s="196"/>
    </row>
    <row r="254">
      <c r="F254" s="196"/>
    </row>
    <row r="255">
      <c r="F255" s="196"/>
    </row>
    <row r="256">
      <c r="F256" s="196"/>
    </row>
    <row r="257">
      <c r="F257" s="196"/>
    </row>
    <row r="258">
      <c r="F258" s="196"/>
    </row>
    <row r="259">
      <c r="F259" s="196"/>
    </row>
    <row r="260">
      <c r="F260" s="196"/>
    </row>
    <row r="261">
      <c r="F261" s="196"/>
    </row>
    <row r="262">
      <c r="F262" s="196"/>
    </row>
    <row r="263">
      <c r="F263" s="196"/>
    </row>
    <row r="264">
      <c r="F264" s="196"/>
    </row>
    <row r="265">
      <c r="F265" s="196"/>
    </row>
    <row r="266">
      <c r="F266" s="196"/>
    </row>
    <row r="267">
      <c r="F267" s="196"/>
    </row>
    <row r="268">
      <c r="F268" s="196"/>
    </row>
    <row r="269">
      <c r="F269" s="196"/>
    </row>
    <row r="270">
      <c r="F270" s="196"/>
    </row>
    <row r="271">
      <c r="F271" s="196"/>
    </row>
    <row r="272">
      <c r="F272" s="196"/>
    </row>
    <row r="273">
      <c r="F273" s="196"/>
    </row>
    <row r="274">
      <c r="F274" s="196"/>
    </row>
    <row r="275">
      <c r="F275" s="196"/>
    </row>
    <row r="276">
      <c r="F276" s="196"/>
    </row>
    <row r="277">
      <c r="F277" s="196"/>
    </row>
    <row r="278">
      <c r="F278" s="196"/>
    </row>
    <row r="279">
      <c r="F279" s="196"/>
    </row>
    <row r="280">
      <c r="F280" s="196"/>
    </row>
    <row r="281">
      <c r="F281" s="196"/>
    </row>
    <row r="282">
      <c r="F282" s="196"/>
    </row>
    <row r="283">
      <c r="F283" s="196"/>
    </row>
    <row r="284">
      <c r="F284" s="196"/>
    </row>
    <row r="285">
      <c r="F285" s="196"/>
    </row>
    <row r="286">
      <c r="F286" s="196"/>
    </row>
    <row r="287">
      <c r="F287" s="196"/>
    </row>
    <row r="288">
      <c r="F288" s="196"/>
    </row>
    <row r="289">
      <c r="F289" s="196"/>
    </row>
    <row r="290">
      <c r="F290" s="196"/>
    </row>
    <row r="291">
      <c r="F291" s="196"/>
    </row>
    <row r="292">
      <c r="F292" s="196"/>
    </row>
    <row r="293">
      <c r="F293" s="196"/>
    </row>
    <row r="294">
      <c r="F294" s="196"/>
    </row>
    <row r="295">
      <c r="F295" s="196"/>
    </row>
    <row r="296">
      <c r="F296" s="196"/>
    </row>
    <row r="297">
      <c r="F297" s="196"/>
    </row>
    <row r="298">
      <c r="F298" s="196"/>
    </row>
    <row r="299">
      <c r="F299" s="196"/>
    </row>
    <row r="300">
      <c r="F300" s="196"/>
    </row>
    <row r="301">
      <c r="F301" s="196"/>
    </row>
    <row r="302">
      <c r="F302" s="196"/>
    </row>
    <row r="303">
      <c r="F303" s="196"/>
    </row>
    <row r="304">
      <c r="F304" s="196"/>
    </row>
    <row r="305">
      <c r="F305" s="196"/>
    </row>
    <row r="306">
      <c r="F306" s="196"/>
    </row>
    <row r="307">
      <c r="F307" s="196"/>
    </row>
    <row r="308">
      <c r="F308" s="196"/>
    </row>
    <row r="309">
      <c r="F309" s="196"/>
    </row>
    <row r="310">
      <c r="F310" s="196"/>
    </row>
    <row r="311">
      <c r="F311" s="196"/>
    </row>
    <row r="312">
      <c r="F312" s="196"/>
    </row>
    <row r="313">
      <c r="F313" s="196"/>
    </row>
    <row r="314">
      <c r="F314" s="196"/>
    </row>
    <row r="315">
      <c r="F315" s="196"/>
    </row>
    <row r="316">
      <c r="F316" s="196"/>
    </row>
    <row r="317">
      <c r="F317" s="196"/>
    </row>
    <row r="318">
      <c r="F318" s="196"/>
    </row>
    <row r="319">
      <c r="F319" s="196"/>
    </row>
    <row r="320">
      <c r="F320" s="196"/>
    </row>
    <row r="321">
      <c r="F321" s="196"/>
    </row>
    <row r="322">
      <c r="F322" s="196"/>
    </row>
    <row r="323">
      <c r="F323" s="196"/>
    </row>
    <row r="324">
      <c r="F324" s="196"/>
    </row>
    <row r="325">
      <c r="F325" s="196"/>
    </row>
    <row r="326">
      <c r="F326" s="196"/>
    </row>
    <row r="327">
      <c r="F327" s="196"/>
    </row>
    <row r="328">
      <c r="F328" s="196"/>
    </row>
    <row r="329">
      <c r="F329" s="196"/>
    </row>
    <row r="330">
      <c r="F330" s="196"/>
    </row>
    <row r="331">
      <c r="F331" s="196"/>
    </row>
    <row r="332">
      <c r="F332" s="196"/>
    </row>
    <row r="333">
      <c r="F333" s="196"/>
    </row>
    <row r="334">
      <c r="F334" s="196"/>
    </row>
    <row r="335">
      <c r="F335" s="196"/>
    </row>
    <row r="336">
      <c r="F336" s="196"/>
    </row>
    <row r="337">
      <c r="F337" s="196"/>
    </row>
    <row r="338">
      <c r="F338" s="196"/>
    </row>
    <row r="339">
      <c r="F339" s="196"/>
    </row>
    <row r="340">
      <c r="F340" s="196"/>
    </row>
    <row r="341">
      <c r="F341" s="196"/>
    </row>
    <row r="342">
      <c r="F342" s="196"/>
    </row>
    <row r="343">
      <c r="F343" s="196"/>
    </row>
    <row r="344">
      <c r="F344" s="196"/>
    </row>
    <row r="345">
      <c r="F345" s="196"/>
    </row>
    <row r="346">
      <c r="F346" s="196"/>
    </row>
    <row r="347">
      <c r="F347" s="196"/>
    </row>
    <row r="348">
      <c r="F348" s="196"/>
    </row>
    <row r="349">
      <c r="F349" s="196"/>
    </row>
    <row r="350">
      <c r="F350" s="196"/>
    </row>
    <row r="351">
      <c r="F351" s="196"/>
    </row>
    <row r="352">
      <c r="F352" s="196"/>
    </row>
    <row r="353">
      <c r="F353" s="196"/>
    </row>
    <row r="354">
      <c r="F354" s="196"/>
    </row>
    <row r="355">
      <c r="F355" s="196"/>
    </row>
    <row r="356">
      <c r="F356" s="196"/>
    </row>
    <row r="357">
      <c r="F357" s="196"/>
    </row>
    <row r="358">
      <c r="F358" s="196"/>
    </row>
    <row r="359">
      <c r="F359" s="196"/>
    </row>
    <row r="360">
      <c r="F360" s="196"/>
    </row>
    <row r="361">
      <c r="F361" s="196"/>
    </row>
    <row r="362">
      <c r="F362" s="196"/>
    </row>
    <row r="363">
      <c r="F363" s="196"/>
    </row>
    <row r="364">
      <c r="F364" s="196"/>
    </row>
    <row r="365">
      <c r="F365" s="196"/>
    </row>
    <row r="366">
      <c r="F366" s="196"/>
    </row>
    <row r="367">
      <c r="F367" s="196"/>
    </row>
    <row r="368">
      <c r="F368" s="196"/>
    </row>
    <row r="369">
      <c r="F369" s="196"/>
    </row>
    <row r="370">
      <c r="F370" s="196"/>
    </row>
    <row r="371">
      <c r="F371" s="196"/>
    </row>
    <row r="372">
      <c r="F372" s="196"/>
    </row>
    <row r="373">
      <c r="F373" s="196"/>
    </row>
    <row r="374">
      <c r="F374" s="196"/>
    </row>
    <row r="375">
      <c r="F375" s="196"/>
    </row>
    <row r="376">
      <c r="F376" s="196"/>
    </row>
    <row r="377">
      <c r="F377" s="196"/>
    </row>
    <row r="378">
      <c r="F378" s="196"/>
    </row>
    <row r="379">
      <c r="F379" s="196"/>
    </row>
    <row r="380">
      <c r="F380" s="196"/>
    </row>
    <row r="381">
      <c r="F381" s="196"/>
    </row>
    <row r="382">
      <c r="F382" s="196"/>
    </row>
    <row r="383">
      <c r="F383" s="196"/>
    </row>
    <row r="384">
      <c r="F384" s="196"/>
    </row>
    <row r="385">
      <c r="F385" s="196"/>
    </row>
    <row r="386">
      <c r="F386" s="196"/>
    </row>
    <row r="387">
      <c r="F387" s="196"/>
    </row>
    <row r="388">
      <c r="F388" s="196"/>
    </row>
    <row r="389">
      <c r="F389" s="196"/>
    </row>
    <row r="390">
      <c r="F390" s="196"/>
    </row>
    <row r="391">
      <c r="F391" s="196"/>
    </row>
    <row r="392">
      <c r="F392" s="196"/>
    </row>
    <row r="393">
      <c r="F393" s="196"/>
    </row>
    <row r="394">
      <c r="F394" s="196"/>
    </row>
    <row r="395">
      <c r="F395" s="196"/>
    </row>
    <row r="396">
      <c r="F396" s="196"/>
    </row>
    <row r="397">
      <c r="F397" s="196"/>
    </row>
    <row r="398">
      <c r="F398" s="196"/>
    </row>
    <row r="399">
      <c r="F399" s="196"/>
    </row>
    <row r="400">
      <c r="F400" s="196"/>
    </row>
    <row r="401">
      <c r="F401" s="196"/>
    </row>
    <row r="402">
      <c r="F402" s="196"/>
    </row>
    <row r="403">
      <c r="F403" s="196"/>
    </row>
    <row r="404">
      <c r="F404" s="196"/>
    </row>
    <row r="405">
      <c r="F405" s="196"/>
    </row>
    <row r="406">
      <c r="F406" s="196"/>
    </row>
    <row r="407">
      <c r="F407" s="196"/>
    </row>
    <row r="408">
      <c r="F408" s="196"/>
    </row>
    <row r="409">
      <c r="F409" s="196"/>
    </row>
    <row r="410">
      <c r="F410" s="196"/>
    </row>
    <row r="411">
      <c r="F411" s="196"/>
    </row>
    <row r="412">
      <c r="F412" s="196"/>
    </row>
    <row r="413">
      <c r="F413" s="196"/>
    </row>
    <row r="414">
      <c r="F414" s="196"/>
    </row>
    <row r="415">
      <c r="F415" s="196"/>
    </row>
    <row r="416">
      <c r="F416" s="196"/>
    </row>
    <row r="417">
      <c r="F417" s="196"/>
    </row>
    <row r="418">
      <c r="F418" s="196"/>
    </row>
    <row r="419">
      <c r="F419" s="196"/>
    </row>
    <row r="420">
      <c r="F420" s="196"/>
    </row>
    <row r="421">
      <c r="F421" s="196"/>
    </row>
    <row r="422">
      <c r="F422" s="196"/>
    </row>
    <row r="423">
      <c r="F423" s="196"/>
    </row>
    <row r="424">
      <c r="F424" s="196"/>
    </row>
    <row r="425">
      <c r="F425" s="196"/>
    </row>
    <row r="426">
      <c r="F426" s="196"/>
    </row>
    <row r="427">
      <c r="F427" s="196"/>
    </row>
    <row r="428">
      <c r="F428" s="196"/>
    </row>
    <row r="429">
      <c r="F429" s="196"/>
    </row>
    <row r="430">
      <c r="F430" s="196"/>
    </row>
    <row r="431">
      <c r="F431" s="196"/>
    </row>
    <row r="432">
      <c r="F432" s="196"/>
    </row>
    <row r="433">
      <c r="F433" s="196"/>
    </row>
    <row r="434">
      <c r="F434" s="196"/>
    </row>
    <row r="435">
      <c r="F435" s="196"/>
    </row>
    <row r="436">
      <c r="F436" s="196"/>
    </row>
    <row r="437">
      <c r="F437" s="196"/>
    </row>
    <row r="438">
      <c r="F438" s="196"/>
    </row>
    <row r="439">
      <c r="F439" s="196"/>
    </row>
    <row r="440">
      <c r="F440" s="196"/>
    </row>
    <row r="441">
      <c r="F441" s="196"/>
    </row>
    <row r="442">
      <c r="F442" s="196"/>
    </row>
    <row r="443">
      <c r="F443" s="196"/>
    </row>
    <row r="444">
      <c r="F444" s="196"/>
    </row>
    <row r="445">
      <c r="F445" s="196"/>
    </row>
    <row r="446">
      <c r="F446" s="196"/>
    </row>
    <row r="447">
      <c r="F447" s="196"/>
    </row>
    <row r="448">
      <c r="F448" s="196"/>
    </row>
    <row r="449">
      <c r="F449" s="196"/>
    </row>
    <row r="450">
      <c r="F450" s="196"/>
    </row>
    <row r="451">
      <c r="F451" s="196"/>
    </row>
    <row r="452">
      <c r="F452" s="196"/>
    </row>
    <row r="453">
      <c r="F453" s="196"/>
    </row>
    <row r="454">
      <c r="F454" s="196"/>
    </row>
    <row r="455">
      <c r="F455" s="196"/>
    </row>
    <row r="456">
      <c r="F456" s="196"/>
    </row>
    <row r="457">
      <c r="F457" s="196"/>
    </row>
    <row r="458">
      <c r="F458" s="196"/>
    </row>
    <row r="459">
      <c r="F459" s="196"/>
    </row>
    <row r="460">
      <c r="F460" s="196"/>
    </row>
    <row r="461">
      <c r="F461" s="196"/>
    </row>
    <row r="462">
      <c r="F462" s="196"/>
    </row>
    <row r="463">
      <c r="F463" s="196"/>
    </row>
    <row r="464">
      <c r="F464" s="196"/>
    </row>
    <row r="465">
      <c r="F465" s="196"/>
    </row>
    <row r="466">
      <c r="F466" s="196"/>
    </row>
    <row r="467">
      <c r="F467" s="196"/>
    </row>
    <row r="468">
      <c r="F468" s="196"/>
    </row>
    <row r="469">
      <c r="F469" s="196"/>
    </row>
    <row r="470">
      <c r="F470" s="196"/>
    </row>
    <row r="471">
      <c r="F471" s="196"/>
    </row>
    <row r="472">
      <c r="F472" s="196"/>
    </row>
    <row r="473">
      <c r="F473" s="196"/>
    </row>
    <row r="474">
      <c r="F474" s="196"/>
    </row>
    <row r="475">
      <c r="F475" s="196"/>
    </row>
    <row r="476">
      <c r="F476" s="196"/>
    </row>
    <row r="477">
      <c r="F477" s="196"/>
    </row>
    <row r="478">
      <c r="F478" s="196"/>
    </row>
    <row r="479">
      <c r="F479" s="196"/>
    </row>
    <row r="480">
      <c r="F480" s="196"/>
    </row>
    <row r="481">
      <c r="F481" s="196"/>
    </row>
    <row r="482">
      <c r="F482" s="196"/>
    </row>
    <row r="483">
      <c r="F483" s="196"/>
    </row>
    <row r="484">
      <c r="F484" s="196"/>
    </row>
    <row r="485">
      <c r="F485" s="196"/>
    </row>
    <row r="486">
      <c r="F486" s="196"/>
    </row>
    <row r="487">
      <c r="F487" s="196"/>
    </row>
    <row r="488">
      <c r="F488" s="196"/>
    </row>
    <row r="489">
      <c r="F489" s="196"/>
    </row>
    <row r="490">
      <c r="F490" s="196"/>
    </row>
    <row r="491">
      <c r="F491" s="196"/>
    </row>
    <row r="492">
      <c r="F492" s="196"/>
    </row>
    <row r="493">
      <c r="F493" s="196"/>
    </row>
    <row r="494">
      <c r="F494" s="196"/>
    </row>
    <row r="495">
      <c r="F495" s="196"/>
    </row>
    <row r="496">
      <c r="F496" s="196"/>
    </row>
    <row r="497">
      <c r="F497" s="196"/>
    </row>
    <row r="498">
      <c r="F498" s="196"/>
    </row>
    <row r="499">
      <c r="F499" s="196"/>
    </row>
    <row r="500">
      <c r="F500" s="196"/>
    </row>
    <row r="501">
      <c r="F501" s="196"/>
    </row>
    <row r="502">
      <c r="F502" s="196"/>
    </row>
    <row r="503">
      <c r="F503" s="196"/>
    </row>
    <row r="504">
      <c r="F504" s="196"/>
    </row>
    <row r="505">
      <c r="F505" s="196"/>
    </row>
    <row r="506">
      <c r="F506" s="196"/>
    </row>
    <row r="507">
      <c r="F507" s="196"/>
    </row>
    <row r="508">
      <c r="F508" s="196"/>
    </row>
    <row r="509">
      <c r="F509" s="196"/>
    </row>
    <row r="510">
      <c r="F510" s="196"/>
    </row>
    <row r="511">
      <c r="F511" s="196"/>
    </row>
    <row r="512">
      <c r="F512" s="196"/>
    </row>
    <row r="513">
      <c r="F513" s="196"/>
    </row>
    <row r="514">
      <c r="F514" s="196"/>
    </row>
    <row r="515">
      <c r="F515" s="196"/>
    </row>
    <row r="516">
      <c r="F516" s="196"/>
    </row>
    <row r="517">
      <c r="F517" s="196"/>
    </row>
    <row r="518">
      <c r="F518" s="196"/>
    </row>
    <row r="519">
      <c r="F519" s="196"/>
    </row>
    <row r="520">
      <c r="F520" s="196"/>
    </row>
    <row r="521">
      <c r="F521" s="196"/>
    </row>
    <row r="522">
      <c r="F522" s="196"/>
    </row>
    <row r="523">
      <c r="F523" s="196"/>
    </row>
    <row r="524">
      <c r="F524" s="196"/>
    </row>
    <row r="525">
      <c r="F525" s="196"/>
    </row>
    <row r="526">
      <c r="F526" s="196"/>
    </row>
    <row r="527">
      <c r="F527" s="196"/>
    </row>
    <row r="528">
      <c r="F528" s="196"/>
    </row>
    <row r="529">
      <c r="F529" s="196"/>
    </row>
    <row r="530">
      <c r="F530" s="196"/>
    </row>
    <row r="531">
      <c r="F531" s="196"/>
    </row>
    <row r="532">
      <c r="F532" s="196"/>
    </row>
    <row r="533">
      <c r="F533" s="196"/>
    </row>
    <row r="534">
      <c r="F534" s="196"/>
    </row>
    <row r="535">
      <c r="F535" s="196"/>
    </row>
    <row r="536">
      <c r="F536" s="196"/>
    </row>
    <row r="537">
      <c r="F537" s="196"/>
    </row>
    <row r="538">
      <c r="F538" s="196"/>
    </row>
    <row r="539">
      <c r="F539" s="196"/>
    </row>
    <row r="540">
      <c r="F540" s="196"/>
    </row>
    <row r="541">
      <c r="F541" s="196"/>
    </row>
    <row r="542">
      <c r="F542" s="196"/>
    </row>
    <row r="543">
      <c r="F543" s="196"/>
    </row>
    <row r="544">
      <c r="F544" s="196"/>
    </row>
    <row r="545">
      <c r="F545" s="196"/>
    </row>
    <row r="546">
      <c r="F546" s="196"/>
    </row>
    <row r="547">
      <c r="F547" s="196"/>
    </row>
    <row r="548">
      <c r="F548" s="196"/>
    </row>
    <row r="549">
      <c r="F549" s="196"/>
    </row>
    <row r="550">
      <c r="F550" s="196"/>
    </row>
    <row r="551">
      <c r="F551" s="196"/>
    </row>
    <row r="552">
      <c r="F552" s="196"/>
    </row>
    <row r="553">
      <c r="F553" s="196"/>
    </row>
    <row r="554">
      <c r="F554" s="196"/>
    </row>
    <row r="555">
      <c r="F555" s="196"/>
    </row>
    <row r="556">
      <c r="F556" s="196"/>
    </row>
    <row r="557">
      <c r="F557" s="196"/>
    </row>
    <row r="558">
      <c r="F558" s="196"/>
    </row>
    <row r="559">
      <c r="F559" s="196"/>
    </row>
    <row r="560">
      <c r="F560" s="196"/>
    </row>
    <row r="561">
      <c r="F561" s="196"/>
    </row>
    <row r="562">
      <c r="F562" s="196"/>
    </row>
    <row r="563">
      <c r="F563" s="196"/>
    </row>
    <row r="564">
      <c r="F564" s="196"/>
    </row>
    <row r="565">
      <c r="F565" s="196"/>
    </row>
    <row r="566">
      <c r="F566" s="196"/>
    </row>
    <row r="567">
      <c r="F567" s="196"/>
    </row>
    <row r="568">
      <c r="F568" s="196"/>
    </row>
    <row r="569">
      <c r="F569" s="196"/>
    </row>
    <row r="570">
      <c r="F570" s="196"/>
    </row>
    <row r="571">
      <c r="F571" s="196"/>
    </row>
    <row r="572">
      <c r="F572" s="196"/>
    </row>
    <row r="573">
      <c r="F573" s="196"/>
    </row>
    <row r="574">
      <c r="F574" s="196"/>
    </row>
    <row r="575">
      <c r="F575" s="196"/>
    </row>
    <row r="576">
      <c r="F576" s="196"/>
    </row>
    <row r="577">
      <c r="F577" s="196"/>
    </row>
    <row r="578">
      <c r="F578" s="196"/>
    </row>
    <row r="579">
      <c r="F579" s="196"/>
    </row>
    <row r="580">
      <c r="F580" s="196"/>
    </row>
    <row r="581">
      <c r="F581" s="196"/>
    </row>
    <row r="582">
      <c r="F582" s="196"/>
    </row>
    <row r="583">
      <c r="F583" s="196"/>
    </row>
    <row r="584">
      <c r="F584" s="196"/>
    </row>
    <row r="585">
      <c r="F585" s="196"/>
    </row>
    <row r="586">
      <c r="F586" s="196"/>
    </row>
    <row r="587">
      <c r="F587" s="196"/>
    </row>
    <row r="588">
      <c r="F588" s="196"/>
    </row>
    <row r="589">
      <c r="F589" s="196"/>
    </row>
    <row r="590">
      <c r="F590" s="196"/>
    </row>
    <row r="591">
      <c r="F591" s="196"/>
    </row>
    <row r="592">
      <c r="F592" s="196"/>
    </row>
    <row r="593">
      <c r="F593" s="196"/>
    </row>
    <row r="594">
      <c r="F594" s="196"/>
    </row>
    <row r="595">
      <c r="F595" s="196"/>
    </row>
    <row r="596">
      <c r="F596" s="196"/>
    </row>
    <row r="597">
      <c r="F597" s="196"/>
    </row>
    <row r="598">
      <c r="F598" s="196"/>
    </row>
    <row r="599">
      <c r="F599" s="196"/>
    </row>
    <row r="600">
      <c r="F600" s="196"/>
    </row>
    <row r="601">
      <c r="F601" s="196"/>
    </row>
    <row r="602">
      <c r="F602" s="196"/>
    </row>
    <row r="603">
      <c r="F603" s="196"/>
    </row>
    <row r="604">
      <c r="F604" s="196"/>
    </row>
    <row r="605">
      <c r="F605" s="196"/>
    </row>
    <row r="606">
      <c r="F606" s="196"/>
    </row>
    <row r="607">
      <c r="F607" s="196"/>
    </row>
    <row r="608">
      <c r="F608" s="196"/>
    </row>
    <row r="609">
      <c r="F609" s="196"/>
    </row>
    <row r="610">
      <c r="F610" s="196"/>
    </row>
    <row r="611">
      <c r="F611" s="196"/>
    </row>
    <row r="612">
      <c r="F612" s="196"/>
    </row>
    <row r="613">
      <c r="F613" s="196"/>
    </row>
    <row r="614">
      <c r="F614" s="196"/>
    </row>
    <row r="615">
      <c r="F615" s="196"/>
    </row>
    <row r="616">
      <c r="F616" s="196"/>
    </row>
    <row r="617">
      <c r="F617" s="196"/>
    </row>
    <row r="618">
      <c r="F618" s="196"/>
    </row>
    <row r="619">
      <c r="F619" s="196"/>
    </row>
    <row r="620">
      <c r="F620" s="196"/>
    </row>
    <row r="621">
      <c r="F621" s="196"/>
    </row>
    <row r="622">
      <c r="F622" s="196"/>
    </row>
    <row r="623">
      <c r="F623" s="196"/>
    </row>
    <row r="624">
      <c r="F624" s="196"/>
    </row>
    <row r="625">
      <c r="F625" s="196"/>
    </row>
    <row r="626">
      <c r="F626" s="196"/>
    </row>
    <row r="627">
      <c r="F627" s="196"/>
    </row>
    <row r="628">
      <c r="F628" s="196"/>
    </row>
    <row r="629">
      <c r="F629" s="196"/>
    </row>
    <row r="630">
      <c r="F630" s="196"/>
    </row>
    <row r="631">
      <c r="F631" s="196"/>
    </row>
    <row r="632">
      <c r="F632" s="196"/>
    </row>
    <row r="633">
      <c r="F633" s="196"/>
    </row>
    <row r="634">
      <c r="F634" s="196"/>
    </row>
    <row r="635">
      <c r="F635" s="196"/>
    </row>
    <row r="636">
      <c r="F636" s="196"/>
    </row>
    <row r="637">
      <c r="F637" s="196"/>
    </row>
    <row r="638">
      <c r="F638" s="196"/>
    </row>
    <row r="639">
      <c r="F639" s="196"/>
    </row>
    <row r="640">
      <c r="F640" s="196"/>
    </row>
    <row r="641">
      <c r="F641" s="196"/>
    </row>
    <row r="642">
      <c r="F642" s="196"/>
    </row>
    <row r="643">
      <c r="F643" s="196"/>
    </row>
    <row r="644">
      <c r="F644" s="196"/>
    </row>
    <row r="645">
      <c r="F645" s="196"/>
    </row>
    <row r="646">
      <c r="F646" s="196"/>
    </row>
    <row r="647">
      <c r="F647" s="196"/>
    </row>
    <row r="648">
      <c r="F648" s="196"/>
    </row>
    <row r="649">
      <c r="F649" s="196"/>
    </row>
    <row r="650">
      <c r="F650" s="196"/>
    </row>
    <row r="651">
      <c r="F651" s="196"/>
    </row>
    <row r="652">
      <c r="F652" s="196"/>
    </row>
    <row r="653">
      <c r="F653" s="196"/>
    </row>
    <row r="654">
      <c r="F654" s="196"/>
    </row>
    <row r="655">
      <c r="F655" s="196"/>
    </row>
    <row r="656">
      <c r="F656" s="196"/>
    </row>
    <row r="657">
      <c r="F657" s="196"/>
    </row>
    <row r="658">
      <c r="F658" s="196"/>
    </row>
    <row r="659">
      <c r="F659" s="196"/>
    </row>
    <row r="660">
      <c r="F660" s="196"/>
    </row>
    <row r="661">
      <c r="F661" s="196"/>
    </row>
    <row r="662">
      <c r="F662" s="196"/>
    </row>
    <row r="663">
      <c r="F663" s="196"/>
    </row>
    <row r="664">
      <c r="F664" s="196"/>
    </row>
    <row r="665">
      <c r="F665" s="196"/>
    </row>
    <row r="666">
      <c r="F666" s="196"/>
    </row>
    <row r="667">
      <c r="F667" s="196"/>
    </row>
    <row r="668">
      <c r="F668" s="196"/>
    </row>
    <row r="669">
      <c r="F669" s="196"/>
    </row>
    <row r="670">
      <c r="F670" s="196"/>
    </row>
    <row r="671">
      <c r="F671" s="196"/>
    </row>
    <row r="672">
      <c r="F672" s="196"/>
    </row>
    <row r="673">
      <c r="F673" s="196"/>
    </row>
    <row r="674">
      <c r="F674" s="196"/>
    </row>
    <row r="675">
      <c r="F675" s="196"/>
    </row>
    <row r="676">
      <c r="F676" s="196"/>
    </row>
    <row r="677">
      <c r="F677" s="196"/>
    </row>
    <row r="678">
      <c r="F678" s="196"/>
    </row>
    <row r="679">
      <c r="F679" s="196"/>
    </row>
    <row r="680">
      <c r="F680" s="196"/>
    </row>
    <row r="681">
      <c r="F681" s="196"/>
    </row>
    <row r="682">
      <c r="F682" s="196"/>
    </row>
    <row r="683">
      <c r="F683" s="196"/>
    </row>
    <row r="684">
      <c r="F684" s="196"/>
    </row>
    <row r="685">
      <c r="F685" s="196"/>
    </row>
    <row r="686">
      <c r="F686" s="196"/>
    </row>
    <row r="687">
      <c r="F687" s="196"/>
    </row>
    <row r="688">
      <c r="F688" s="196"/>
    </row>
    <row r="689">
      <c r="F689" s="196"/>
    </row>
    <row r="690">
      <c r="F690" s="196"/>
    </row>
    <row r="691">
      <c r="F691" s="196"/>
    </row>
    <row r="692">
      <c r="F692" s="196"/>
    </row>
    <row r="693">
      <c r="F693" s="196"/>
    </row>
    <row r="694">
      <c r="F694" s="196"/>
    </row>
    <row r="695">
      <c r="F695" s="196"/>
    </row>
    <row r="696">
      <c r="F696" s="196"/>
    </row>
    <row r="697">
      <c r="F697" s="196"/>
    </row>
    <row r="698">
      <c r="F698" s="196"/>
    </row>
    <row r="699">
      <c r="F699" s="196"/>
    </row>
    <row r="700">
      <c r="F700" s="196"/>
    </row>
    <row r="701">
      <c r="F701" s="196"/>
    </row>
    <row r="702">
      <c r="F702" s="196"/>
    </row>
    <row r="703">
      <c r="F703" s="196"/>
    </row>
    <row r="704">
      <c r="F704" s="196"/>
    </row>
    <row r="705">
      <c r="F705" s="196"/>
    </row>
    <row r="706">
      <c r="F706" s="196"/>
    </row>
    <row r="707">
      <c r="F707" s="196"/>
    </row>
    <row r="708">
      <c r="F708" s="196"/>
    </row>
    <row r="709">
      <c r="F709" s="196"/>
    </row>
    <row r="710">
      <c r="F710" s="196"/>
    </row>
    <row r="711">
      <c r="F711" s="196"/>
    </row>
    <row r="712">
      <c r="F712" s="196"/>
    </row>
    <row r="713">
      <c r="F713" s="196"/>
    </row>
    <row r="714">
      <c r="F714" s="196"/>
    </row>
    <row r="715">
      <c r="F715" s="196"/>
    </row>
    <row r="716">
      <c r="F716" s="196"/>
    </row>
    <row r="717">
      <c r="F717" s="196"/>
    </row>
    <row r="718">
      <c r="F718" s="196"/>
    </row>
    <row r="719">
      <c r="F719" s="196"/>
    </row>
    <row r="720">
      <c r="F720" s="196"/>
    </row>
    <row r="721">
      <c r="F721" s="196"/>
    </row>
    <row r="722">
      <c r="F722" s="196"/>
    </row>
    <row r="723">
      <c r="F723" s="196"/>
    </row>
    <row r="724">
      <c r="F724" s="196"/>
    </row>
    <row r="725">
      <c r="F725" s="196"/>
    </row>
    <row r="726">
      <c r="F726" s="196"/>
    </row>
    <row r="727">
      <c r="F727" s="196"/>
    </row>
    <row r="728">
      <c r="F728" s="196"/>
    </row>
    <row r="729">
      <c r="F729" s="196"/>
    </row>
    <row r="730">
      <c r="F730" s="196"/>
    </row>
    <row r="731">
      <c r="F731" s="196"/>
    </row>
    <row r="732">
      <c r="F732" s="196"/>
    </row>
    <row r="733">
      <c r="F733" s="196"/>
    </row>
    <row r="734">
      <c r="F734" s="196"/>
    </row>
    <row r="735">
      <c r="F735" s="196"/>
    </row>
    <row r="736">
      <c r="F736" s="196"/>
    </row>
    <row r="737">
      <c r="F737" s="196"/>
    </row>
    <row r="738">
      <c r="F738" s="196"/>
    </row>
    <row r="739">
      <c r="F739" s="196"/>
    </row>
    <row r="740">
      <c r="F740" s="196"/>
    </row>
    <row r="741">
      <c r="F741" s="196"/>
    </row>
    <row r="742">
      <c r="F742" s="196"/>
    </row>
    <row r="743">
      <c r="F743" s="196"/>
    </row>
    <row r="744">
      <c r="F744" s="196"/>
    </row>
    <row r="745">
      <c r="F745" s="196"/>
    </row>
    <row r="746">
      <c r="F746" s="196"/>
    </row>
    <row r="747">
      <c r="F747" s="196"/>
    </row>
    <row r="748">
      <c r="F748" s="196"/>
    </row>
    <row r="749">
      <c r="F749" s="196"/>
    </row>
    <row r="750">
      <c r="F750" s="196"/>
    </row>
    <row r="751">
      <c r="F751" s="196"/>
    </row>
    <row r="752">
      <c r="F752" s="196"/>
    </row>
    <row r="753">
      <c r="F753" s="196"/>
    </row>
    <row r="754">
      <c r="F754" s="196"/>
    </row>
    <row r="755">
      <c r="F755" s="196"/>
    </row>
    <row r="756">
      <c r="F756" s="196"/>
    </row>
    <row r="757">
      <c r="F757" s="196"/>
    </row>
    <row r="758">
      <c r="F758" s="196"/>
    </row>
    <row r="759">
      <c r="F759" s="196"/>
    </row>
    <row r="760">
      <c r="F760" s="196"/>
    </row>
    <row r="761">
      <c r="F761" s="196"/>
    </row>
    <row r="762">
      <c r="F762" s="196"/>
    </row>
    <row r="763">
      <c r="F763" s="196"/>
    </row>
    <row r="764">
      <c r="F764" s="196"/>
    </row>
    <row r="765">
      <c r="F765" s="196"/>
    </row>
    <row r="766">
      <c r="F766" s="196"/>
    </row>
    <row r="767">
      <c r="F767" s="196"/>
    </row>
    <row r="768">
      <c r="F768" s="196"/>
    </row>
    <row r="769">
      <c r="F769" s="196"/>
    </row>
    <row r="770">
      <c r="F770" s="196"/>
    </row>
    <row r="771">
      <c r="F771" s="196"/>
    </row>
    <row r="772">
      <c r="F772" s="196"/>
    </row>
    <row r="773">
      <c r="F773" s="196"/>
    </row>
    <row r="774">
      <c r="F774" s="196"/>
    </row>
    <row r="775">
      <c r="F775" s="196"/>
    </row>
    <row r="776">
      <c r="F776" s="196"/>
    </row>
    <row r="777">
      <c r="F777" s="196"/>
    </row>
    <row r="778">
      <c r="F778" s="196"/>
    </row>
    <row r="779">
      <c r="F779" s="196"/>
    </row>
    <row r="780">
      <c r="F780" s="196"/>
    </row>
    <row r="781">
      <c r="F781" s="196"/>
    </row>
    <row r="782">
      <c r="F782" s="196"/>
    </row>
    <row r="783">
      <c r="F783" s="196"/>
    </row>
    <row r="784">
      <c r="F784" s="196"/>
    </row>
    <row r="785">
      <c r="F785" s="196"/>
    </row>
    <row r="786">
      <c r="F786" s="196"/>
    </row>
    <row r="787">
      <c r="F787" s="196"/>
    </row>
    <row r="788">
      <c r="F788" s="196"/>
    </row>
    <row r="789">
      <c r="F789" s="196"/>
    </row>
    <row r="790">
      <c r="F790" s="196"/>
    </row>
    <row r="791">
      <c r="F791" s="196"/>
    </row>
    <row r="792">
      <c r="F792" s="196"/>
    </row>
    <row r="793">
      <c r="F793" s="196"/>
    </row>
    <row r="794">
      <c r="F794" s="196"/>
    </row>
    <row r="795">
      <c r="F795" s="196"/>
    </row>
    <row r="796">
      <c r="F796" s="196"/>
    </row>
    <row r="797">
      <c r="F797" s="196"/>
    </row>
    <row r="798">
      <c r="F798" s="196"/>
    </row>
    <row r="799">
      <c r="F799" s="196"/>
    </row>
    <row r="800">
      <c r="F800" s="196"/>
    </row>
    <row r="801">
      <c r="F801" s="196"/>
    </row>
    <row r="802">
      <c r="F802" s="196"/>
    </row>
    <row r="803">
      <c r="F803" s="196"/>
    </row>
    <row r="804">
      <c r="F804" s="196"/>
    </row>
    <row r="805">
      <c r="F805" s="196"/>
    </row>
    <row r="806">
      <c r="F806" s="196"/>
    </row>
    <row r="807">
      <c r="F807" s="196"/>
    </row>
    <row r="808">
      <c r="F808" s="196"/>
    </row>
    <row r="809">
      <c r="F809" s="196"/>
    </row>
    <row r="810">
      <c r="F810" s="196"/>
    </row>
    <row r="811">
      <c r="F811" s="196"/>
    </row>
    <row r="812">
      <c r="F812" s="196"/>
    </row>
    <row r="813">
      <c r="F813" s="196"/>
    </row>
    <row r="814">
      <c r="F814" s="196"/>
    </row>
    <row r="815">
      <c r="F815" s="196"/>
    </row>
    <row r="816">
      <c r="F816" s="196"/>
    </row>
    <row r="817">
      <c r="F817" s="196"/>
    </row>
    <row r="818">
      <c r="F818" s="196"/>
    </row>
    <row r="819">
      <c r="F819" s="196"/>
    </row>
    <row r="820">
      <c r="F820" s="196"/>
    </row>
    <row r="821">
      <c r="F821" s="196"/>
    </row>
    <row r="822">
      <c r="F822" s="196"/>
    </row>
    <row r="823">
      <c r="F823" s="196"/>
    </row>
    <row r="824">
      <c r="F824" s="196"/>
    </row>
    <row r="825">
      <c r="F825" s="196"/>
    </row>
    <row r="826">
      <c r="F826" s="196"/>
    </row>
    <row r="827">
      <c r="F827" s="196"/>
    </row>
    <row r="828">
      <c r="F828" s="196"/>
    </row>
    <row r="829">
      <c r="F829" s="196"/>
    </row>
    <row r="830">
      <c r="F830" s="196"/>
    </row>
    <row r="831">
      <c r="F831" s="196"/>
    </row>
    <row r="832">
      <c r="F832" s="196"/>
    </row>
    <row r="833">
      <c r="F833" s="196"/>
    </row>
    <row r="834">
      <c r="F834" s="196"/>
    </row>
    <row r="835">
      <c r="F835" s="196"/>
    </row>
    <row r="836">
      <c r="F836" s="196"/>
    </row>
    <row r="837">
      <c r="F837" s="196"/>
    </row>
    <row r="838">
      <c r="F838" s="196"/>
    </row>
    <row r="839">
      <c r="F839" s="196"/>
    </row>
    <row r="840">
      <c r="F840" s="196"/>
    </row>
    <row r="841">
      <c r="F841" s="196"/>
    </row>
    <row r="842">
      <c r="F842" s="196"/>
    </row>
    <row r="843">
      <c r="F843" s="196"/>
    </row>
    <row r="844">
      <c r="F844" s="196"/>
    </row>
    <row r="845">
      <c r="F845" s="196"/>
    </row>
    <row r="846">
      <c r="F846" s="196"/>
    </row>
    <row r="847">
      <c r="F847" s="196"/>
    </row>
    <row r="848">
      <c r="F848" s="196"/>
    </row>
    <row r="849">
      <c r="F849" s="196"/>
    </row>
    <row r="850">
      <c r="F850" s="196"/>
    </row>
    <row r="851">
      <c r="F851" s="196"/>
    </row>
    <row r="852">
      <c r="F852" s="196"/>
    </row>
    <row r="853">
      <c r="F853" s="196"/>
    </row>
    <row r="854">
      <c r="F854" s="196"/>
    </row>
    <row r="855">
      <c r="F855" s="196"/>
    </row>
    <row r="856">
      <c r="F856" s="196"/>
    </row>
    <row r="857">
      <c r="F857" s="196"/>
    </row>
    <row r="858">
      <c r="F858" s="196"/>
    </row>
    <row r="859">
      <c r="F859" s="196"/>
    </row>
    <row r="860">
      <c r="F860" s="196"/>
    </row>
    <row r="861">
      <c r="F861" s="196"/>
    </row>
    <row r="862">
      <c r="F862" s="196"/>
    </row>
    <row r="863">
      <c r="F863" s="196"/>
    </row>
    <row r="864">
      <c r="F864" s="196"/>
    </row>
    <row r="865">
      <c r="F865" s="196"/>
    </row>
    <row r="866">
      <c r="F866" s="196"/>
    </row>
    <row r="867">
      <c r="F867" s="196"/>
    </row>
    <row r="868">
      <c r="F868" s="196"/>
    </row>
    <row r="869">
      <c r="F869" s="196"/>
    </row>
    <row r="870">
      <c r="F870" s="196"/>
    </row>
    <row r="871">
      <c r="F871" s="196"/>
    </row>
    <row r="872">
      <c r="F872" s="196"/>
    </row>
    <row r="873">
      <c r="F873" s="196"/>
    </row>
    <row r="874">
      <c r="F874" s="196"/>
    </row>
    <row r="875">
      <c r="F875" s="196"/>
    </row>
    <row r="876">
      <c r="F876" s="196"/>
    </row>
    <row r="877">
      <c r="F877" s="196"/>
    </row>
    <row r="878">
      <c r="F878" s="196"/>
    </row>
    <row r="879">
      <c r="F879" s="196"/>
    </row>
    <row r="880">
      <c r="F880" s="196"/>
    </row>
    <row r="881">
      <c r="F881" s="196"/>
    </row>
    <row r="882">
      <c r="F882" s="196"/>
    </row>
    <row r="883">
      <c r="F883" s="196"/>
    </row>
    <row r="884">
      <c r="F884" s="196"/>
    </row>
    <row r="885">
      <c r="F885" s="196"/>
    </row>
    <row r="886">
      <c r="F886" s="196"/>
    </row>
    <row r="887">
      <c r="F887" s="196"/>
    </row>
    <row r="888">
      <c r="F888" s="196"/>
    </row>
    <row r="889">
      <c r="F889" s="196"/>
    </row>
    <row r="890">
      <c r="F890" s="196"/>
    </row>
    <row r="891">
      <c r="F891" s="196"/>
    </row>
    <row r="892">
      <c r="F892" s="196"/>
    </row>
    <row r="893">
      <c r="F893" s="196"/>
    </row>
    <row r="894">
      <c r="F894" s="196"/>
    </row>
    <row r="895">
      <c r="F895" s="196"/>
    </row>
    <row r="896">
      <c r="F896" s="196"/>
    </row>
    <row r="897">
      <c r="F897" s="196"/>
    </row>
    <row r="898">
      <c r="F898" s="196"/>
    </row>
    <row r="899">
      <c r="F899" s="196"/>
    </row>
    <row r="900">
      <c r="F900" s="196"/>
    </row>
    <row r="901">
      <c r="F901" s="196"/>
    </row>
    <row r="902">
      <c r="F902" s="196"/>
    </row>
    <row r="903">
      <c r="F903" s="196"/>
    </row>
    <row r="904">
      <c r="F904" s="196"/>
    </row>
    <row r="905">
      <c r="F905" s="196"/>
    </row>
    <row r="906">
      <c r="F906" s="196"/>
    </row>
    <row r="907">
      <c r="F907" s="196"/>
    </row>
    <row r="908">
      <c r="F908" s="196"/>
    </row>
    <row r="909">
      <c r="F909" s="196"/>
    </row>
    <row r="910">
      <c r="F910" s="196"/>
    </row>
    <row r="911">
      <c r="F911" s="196"/>
    </row>
    <row r="912">
      <c r="F912" s="196"/>
    </row>
    <row r="913">
      <c r="F913" s="196"/>
    </row>
    <row r="914">
      <c r="F914" s="196"/>
    </row>
    <row r="915">
      <c r="F915" s="196"/>
    </row>
    <row r="916">
      <c r="F916" s="196"/>
    </row>
    <row r="917">
      <c r="F917" s="196"/>
    </row>
    <row r="918">
      <c r="F918" s="196"/>
    </row>
    <row r="919">
      <c r="F919" s="196"/>
    </row>
    <row r="920">
      <c r="F920" s="196"/>
    </row>
    <row r="921">
      <c r="F921" s="196"/>
    </row>
    <row r="922">
      <c r="F922" s="196"/>
    </row>
    <row r="923">
      <c r="F923" s="196"/>
    </row>
    <row r="924">
      <c r="F924" s="196"/>
    </row>
    <row r="925">
      <c r="F925" s="196"/>
    </row>
    <row r="926">
      <c r="F926" s="196"/>
    </row>
    <row r="927">
      <c r="F927" s="196"/>
    </row>
    <row r="928">
      <c r="F928" s="196"/>
    </row>
    <row r="929">
      <c r="F929" s="196"/>
    </row>
    <row r="930">
      <c r="F930" s="196"/>
    </row>
    <row r="931">
      <c r="F931" s="196"/>
    </row>
    <row r="932">
      <c r="F932" s="196"/>
    </row>
    <row r="933">
      <c r="F933" s="196"/>
    </row>
    <row r="934">
      <c r="F934" s="196"/>
    </row>
    <row r="935">
      <c r="F935" s="196"/>
    </row>
    <row r="936">
      <c r="F936" s="196"/>
    </row>
    <row r="937">
      <c r="F937" s="196"/>
    </row>
    <row r="938">
      <c r="F938" s="196"/>
    </row>
    <row r="939">
      <c r="F939" s="196"/>
    </row>
    <row r="940">
      <c r="F940" s="196"/>
    </row>
    <row r="941">
      <c r="F941" s="196"/>
    </row>
    <row r="942">
      <c r="F942" s="196"/>
    </row>
    <row r="943">
      <c r="F943" s="196"/>
    </row>
    <row r="944">
      <c r="F944" s="196"/>
    </row>
    <row r="945">
      <c r="F945" s="196"/>
    </row>
    <row r="946">
      <c r="F946" s="196"/>
    </row>
    <row r="947">
      <c r="F947" s="196"/>
    </row>
    <row r="948">
      <c r="F948" s="196"/>
    </row>
    <row r="949">
      <c r="F949" s="196"/>
    </row>
    <row r="950">
      <c r="F950" s="196"/>
    </row>
    <row r="951">
      <c r="F951" s="196"/>
    </row>
    <row r="952">
      <c r="F952" s="196"/>
    </row>
    <row r="953">
      <c r="F953" s="196"/>
    </row>
    <row r="954">
      <c r="F954" s="196"/>
    </row>
    <row r="955">
      <c r="F955" s="196"/>
    </row>
    <row r="956">
      <c r="F956" s="196"/>
    </row>
    <row r="957">
      <c r="F957" s="196"/>
    </row>
    <row r="958">
      <c r="F958" s="196"/>
    </row>
    <row r="959">
      <c r="F959" s="196"/>
    </row>
    <row r="960">
      <c r="F960" s="196"/>
    </row>
    <row r="961">
      <c r="F961" s="196"/>
    </row>
    <row r="962">
      <c r="F962" s="196"/>
    </row>
    <row r="963">
      <c r="F963" s="196"/>
    </row>
    <row r="964">
      <c r="F964" s="196"/>
    </row>
    <row r="965">
      <c r="F965" s="196"/>
    </row>
    <row r="966">
      <c r="F966" s="196"/>
    </row>
    <row r="967">
      <c r="F967" s="196"/>
    </row>
    <row r="968">
      <c r="F968" s="196"/>
    </row>
    <row r="969">
      <c r="F969" s="196"/>
    </row>
    <row r="970">
      <c r="F970" s="196"/>
    </row>
    <row r="971">
      <c r="F971" s="196"/>
    </row>
    <row r="972">
      <c r="F972" s="196"/>
    </row>
    <row r="973">
      <c r="F973" s="196"/>
    </row>
    <row r="974">
      <c r="F974" s="196"/>
    </row>
    <row r="975">
      <c r="F975" s="196"/>
    </row>
    <row r="976">
      <c r="F976" s="196"/>
    </row>
    <row r="977">
      <c r="F977" s="196"/>
    </row>
    <row r="978">
      <c r="F978" s="196"/>
    </row>
    <row r="979">
      <c r="F979" s="196"/>
    </row>
    <row r="980">
      <c r="F980" s="196"/>
    </row>
    <row r="981">
      <c r="F981" s="196"/>
    </row>
    <row r="982">
      <c r="F982" s="196"/>
    </row>
    <row r="983">
      <c r="F983" s="196"/>
    </row>
    <row r="984">
      <c r="F984" s="196"/>
    </row>
    <row r="985">
      <c r="F985" s="196"/>
    </row>
    <row r="986">
      <c r="F986" s="196"/>
    </row>
    <row r="987">
      <c r="F987" s="196"/>
    </row>
    <row r="988">
      <c r="F988" s="196"/>
    </row>
    <row r="989">
      <c r="F989" s="196"/>
    </row>
    <row r="990">
      <c r="F990" s="196"/>
    </row>
    <row r="991">
      <c r="F991" s="196"/>
    </row>
    <row r="992">
      <c r="F992" s="196"/>
    </row>
    <row r="993">
      <c r="F993" s="196"/>
    </row>
    <row r="994">
      <c r="F994" s="196"/>
    </row>
    <row r="995">
      <c r="F995" s="196"/>
    </row>
    <row r="996">
      <c r="F996" s="196"/>
    </row>
    <row r="997">
      <c r="F997" s="196"/>
    </row>
    <row r="998">
      <c r="F998" s="196"/>
    </row>
    <row r="999">
      <c r="F999" s="196"/>
    </row>
    <row r="1000">
      <c r="F1000" s="196"/>
    </row>
    <row r="1001">
      <c r="F1001" s="196"/>
    </row>
  </sheetData>
  <mergeCells count="1">
    <mergeCell ref="A1:Q1"/>
  </mergeCells>
  <dataValidations>
    <dataValidation type="list" allowBlank="1" showErrorMessage="1" sqref="J3:J5">
      <formula1>"Принято,Отклонено,В работе"</formula1>
    </dataValidation>
    <dataValidation type="list" allowBlank="1" showErrorMessage="1" sqref="K3:K5">
      <formula1>"Предусмотрена,Не предусмотрена"</formula1>
    </dataValidation>
    <dataValidation type="list" allowBlank="1" showErrorMessage="1" sqref="O3:O5">
      <formula1>"Подготовка документов  в ПТО,На согласовании у заказчика,Запущено д/с,Направлено выполнение,Компенсация получена"</formula1>
    </dataValidation>
  </dataValidations>
  <hyperlinks>
    <hyperlink r:id="rId1" ref="G3"/>
    <hyperlink r:id="rId2" ref="I6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2" width="2.88"/>
    <col customWidth="1" min="3" max="3" width="29.75"/>
    <col customWidth="1" min="4" max="4" width="9.88"/>
    <col customWidth="1" min="5" max="5" width="6.88"/>
    <col customWidth="1" min="6" max="6" width="29.38"/>
    <col customWidth="1" min="7" max="7" width="29.75"/>
    <col customWidth="1" min="8" max="8" width="27.0"/>
    <col customWidth="1" min="9" max="9" width="32.38"/>
    <col customWidth="1" min="10" max="10" width="35.38"/>
    <col customWidth="1" min="11" max="11" width="13.63"/>
    <col customWidth="1" min="12" max="12" width="12.75"/>
    <col customWidth="1" min="13" max="13" width="12.63"/>
    <col customWidth="1" min="14" max="14" width="11.5"/>
    <col customWidth="1" min="15" max="16" width="11.25"/>
    <col customWidth="1" min="17" max="17" width="12.5"/>
    <col customWidth="1" min="18" max="18" width="12.25"/>
    <col customWidth="1" min="19" max="19" width="13.25"/>
    <col customWidth="1" min="20" max="20" width="45.63"/>
    <col customWidth="1" min="21" max="21" width="40.25"/>
  </cols>
  <sheetData>
    <row r="1">
      <c r="A1" s="224" t="s">
        <v>644</v>
      </c>
      <c r="B1" s="225"/>
      <c r="C1" s="225"/>
      <c r="D1" s="226" t="s">
        <v>644</v>
      </c>
      <c r="E1" s="228" t="s">
        <v>647</v>
      </c>
      <c r="F1" s="228" t="s">
        <v>648</v>
      </c>
      <c r="G1" s="229" t="s">
        <v>181</v>
      </c>
      <c r="H1" s="230" t="s">
        <v>23</v>
      </c>
      <c r="I1" s="231" t="s">
        <v>26</v>
      </c>
      <c r="J1" s="229" t="s">
        <v>178</v>
      </c>
      <c r="K1" s="232" t="s">
        <v>656</v>
      </c>
      <c r="L1" s="232" t="s">
        <v>657</v>
      </c>
      <c r="M1" s="232" t="s">
        <v>658</v>
      </c>
      <c r="N1" s="232" t="s">
        <v>659</v>
      </c>
      <c r="O1" s="233" t="s">
        <v>660</v>
      </c>
      <c r="P1" s="232" t="s">
        <v>661</v>
      </c>
      <c r="Q1" s="232" t="s">
        <v>662</v>
      </c>
      <c r="R1" s="232" t="s">
        <v>663</v>
      </c>
      <c r="S1" s="232" t="s">
        <v>664</v>
      </c>
      <c r="T1" s="232" t="s">
        <v>667</v>
      </c>
      <c r="U1" s="234"/>
    </row>
    <row r="2">
      <c r="A2" s="224"/>
      <c r="B2" s="225"/>
      <c r="C2" s="225"/>
      <c r="D2" s="235"/>
      <c r="E2" s="235"/>
      <c r="F2" s="235"/>
      <c r="G2" s="236"/>
      <c r="H2" s="235"/>
      <c r="I2" s="236"/>
      <c r="J2" s="236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4"/>
    </row>
    <row r="3">
      <c r="A3" s="237"/>
      <c r="B3" s="238"/>
      <c r="C3" s="238"/>
      <c r="D3" s="239"/>
      <c r="E3" s="240"/>
      <c r="F3" s="241"/>
      <c r="G3" s="242"/>
      <c r="H3" s="243"/>
      <c r="I3" s="244"/>
      <c r="J3" s="245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7"/>
    </row>
    <row r="4">
      <c r="A4" s="248" t="s">
        <v>683</v>
      </c>
      <c r="B4" s="249"/>
      <c r="C4" s="250"/>
      <c r="D4" s="251"/>
      <c r="E4" s="252" t="s">
        <v>688</v>
      </c>
      <c r="F4" s="253" t="s">
        <v>695</v>
      </c>
      <c r="G4" s="254" t="s">
        <v>697</v>
      </c>
      <c r="H4" s="255" t="s">
        <v>98</v>
      </c>
      <c r="I4" s="254" t="s">
        <v>102</v>
      </c>
      <c r="J4" s="256" t="s">
        <v>701</v>
      </c>
      <c r="K4" s="257">
        <v>1604208.82</v>
      </c>
      <c r="L4" s="258">
        <f t="shared" ref="L4:L53" si="1">K4-M4</f>
        <v>0</v>
      </c>
      <c r="M4" s="258">
        <f t="shared" ref="M4:M7" si="2">K4</f>
        <v>1604208.82</v>
      </c>
      <c r="N4" s="258">
        <v>0.0</v>
      </c>
      <c r="O4" s="258">
        <v>0.0</v>
      </c>
      <c r="P4" s="258">
        <v>0.0</v>
      </c>
      <c r="Q4" s="258">
        <f t="shared" ref="Q4:Q15" si="3">M4-N4-P4</f>
        <v>1604208.82</v>
      </c>
      <c r="R4" s="258">
        <f>Q4</f>
        <v>1604208.82</v>
      </c>
      <c r="S4" s="258">
        <f t="shared" ref="S4:S77" si="4">Q4-R4</f>
        <v>0</v>
      </c>
      <c r="T4" s="258"/>
      <c r="U4" s="259"/>
    </row>
    <row r="5">
      <c r="A5" s="248" t="s">
        <v>683</v>
      </c>
      <c r="B5" s="249"/>
      <c r="C5" s="250"/>
      <c r="D5" s="251"/>
      <c r="E5" s="252" t="s">
        <v>721</v>
      </c>
      <c r="F5" s="253" t="s">
        <v>695</v>
      </c>
      <c r="G5" s="254" t="s">
        <v>697</v>
      </c>
      <c r="H5" s="255" t="s">
        <v>98</v>
      </c>
      <c r="I5" s="254" t="s">
        <v>102</v>
      </c>
      <c r="J5" s="256" t="s">
        <v>731</v>
      </c>
      <c r="K5" s="257">
        <v>597320.99</v>
      </c>
      <c r="L5" s="258">
        <f t="shared" si="1"/>
        <v>0</v>
      </c>
      <c r="M5" s="258">
        <f t="shared" si="2"/>
        <v>597320.99</v>
      </c>
      <c r="N5" s="258">
        <v>0.0</v>
      </c>
      <c r="O5" s="258">
        <v>0.0</v>
      </c>
      <c r="P5" s="258">
        <v>0.0</v>
      </c>
      <c r="Q5" s="258">
        <f t="shared" si="3"/>
        <v>597320.99</v>
      </c>
      <c r="R5" s="258"/>
      <c r="S5" s="258">
        <f t="shared" si="4"/>
        <v>597320.99</v>
      </c>
      <c r="T5" s="258"/>
      <c r="U5" s="259"/>
    </row>
    <row r="6">
      <c r="A6" s="248" t="s">
        <v>683</v>
      </c>
      <c r="B6" s="249"/>
      <c r="C6" s="250"/>
      <c r="D6" s="251"/>
      <c r="E6" s="252" t="s">
        <v>721</v>
      </c>
      <c r="F6" s="253" t="s">
        <v>695</v>
      </c>
      <c r="G6" s="254" t="s">
        <v>747</v>
      </c>
      <c r="H6" s="254" t="s">
        <v>98</v>
      </c>
      <c r="I6" s="254" t="s">
        <v>102</v>
      </c>
      <c r="J6" s="256" t="s">
        <v>748</v>
      </c>
      <c r="K6" s="257">
        <v>159409.2</v>
      </c>
      <c r="L6" s="258">
        <f t="shared" si="1"/>
        <v>0</v>
      </c>
      <c r="M6" s="258">
        <f t="shared" si="2"/>
        <v>159409.2</v>
      </c>
      <c r="N6" s="258">
        <v>0.0</v>
      </c>
      <c r="O6" s="258">
        <v>0.0</v>
      </c>
      <c r="P6" s="258">
        <v>7970.46</v>
      </c>
      <c r="Q6" s="258">
        <f t="shared" si="3"/>
        <v>151438.74</v>
      </c>
      <c r="R6" s="258">
        <f t="shared" ref="R6:R8" si="5">Q6</f>
        <v>151438.74</v>
      </c>
      <c r="S6" s="258">
        <f t="shared" si="4"/>
        <v>0</v>
      </c>
      <c r="T6" s="258"/>
      <c r="U6" s="259"/>
    </row>
    <row r="7">
      <c r="A7" s="248" t="s">
        <v>683</v>
      </c>
      <c r="B7" s="249"/>
      <c r="C7" s="250"/>
      <c r="D7" s="251"/>
      <c r="E7" s="252" t="s">
        <v>721</v>
      </c>
      <c r="F7" s="253" t="s">
        <v>695</v>
      </c>
      <c r="G7" s="254" t="s">
        <v>747</v>
      </c>
      <c r="H7" s="255" t="s">
        <v>98</v>
      </c>
      <c r="I7" s="254" t="s">
        <v>102</v>
      </c>
      <c r="J7" s="256" t="s">
        <v>759</v>
      </c>
      <c r="K7" s="257">
        <v>74638.6</v>
      </c>
      <c r="L7" s="258">
        <f t="shared" si="1"/>
        <v>0</v>
      </c>
      <c r="M7" s="258">
        <f t="shared" si="2"/>
        <v>74638.6</v>
      </c>
      <c r="N7" s="258">
        <v>0.0</v>
      </c>
      <c r="O7" s="258">
        <v>0.0</v>
      </c>
      <c r="P7" s="258">
        <v>0.0</v>
      </c>
      <c r="Q7" s="258">
        <f t="shared" si="3"/>
        <v>74638.6</v>
      </c>
      <c r="R7" s="258">
        <f t="shared" si="5"/>
        <v>74638.6</v>
      </c>
      <c r="S7" s="258">
        <f t="shared" si="4"/>
        <v>0</v>
      </c>
      <c r="T7" s="258"/>
      <c r="U7" s="259"/>
    </row>
    <row r="8">
      <c r="A8" s="248" t="s">
        <v>761</v>
      </c>
      <c r="B8" s="249"/>
      <c r="C8" s="261" t="s">
        <v>360</v>
      </c>
      <c r="D8" s="262">
        <v>46227.0</v>
      </c>
      <c r="E8" s="252" t="s">
        <v>764</v>
      </c>
      <c r="F8" s="253" t="s">
        <v>695</v>
      </c>
      <c r="G8" s="254" t="s">
        <v>697</v>
      </c>
      <c r="H8" s="255" t="s">
        <v>654</v>
      </c>
      <c r="I8" s="256" t="s">
        <v>71</v>
      </c>
      <c r="J8" s="256" t="s">
        <v>669</v>
      </c>
      <c r="K8" s="257">
        <v>455896.0</v>
      </c>
      <c r="L8" s="258">
        <f t="shared" si="1"/>
        <v>0</v>
      </c>
      <c r="M8" s="258">
        <v>455896.0</v>
      </c>
      <c r="N8" s="258">
        <v>0.0</v>
      </c>
      <c r="O8" s="258">
        <v>0.0</v>
      </c>
      <c r="P8" s="258">
        <v>0.0</v>
      </c>
      <c r="Q8" s="258">
        <f t="shared" si="3"/>
        <v>455896</v>
      </c>
      <c r="R8" s="258">
        <f t="shared" si="5"/>
        <v>455896</v>
      </c>
      <c r="S8" s="258">
        <f t="shared" si="4"/>
        <v>0</v>
      </c>
      <c r="T8" s="263"/>
      <c r="U8" s="259"/>
    </row>
    <row r="9">
      <c r="A9" s="248" t="s">
        <v>761</v>
      </c>
      <c r="B9" s="249"/>
      <c r="C9" s="261" t="s">
        <v>328</v>
      </c>
      <c r="D9" s="262">
        <v>46231.0</v>
      </c>
      <c r="E9" s="252" t="s">
        <v>764</v>
      </c>
      <c r="F9" s="253" t="s">
        <v>695</v>
      </c>
      <c r="G9" s="254" t="s">
        <v>697</v>
      </c>
      <c r="H9" s="255" t="s">
        <v>654</v>
      </c>
      <c r="I9" s="256" t="s">
        <v>71</v>
      </c>
      <c r="J9" s="256" t="s">
        <v>699</v>
      </c>
      <c r="K9" s="257">
        <v>1198648.29</v>
      </c>
      <c r="L9" s="258">
        <f t="shared" si="1"/>
        <v>0</v>
      </c>
      <c r="M9" s="258">
        <v>1198648.29</v>
      </c>
      <c r="N9" s="258">
        <v>0.0</v>
      </c>
      <c r="O9" s="258">
        <v>0.0</v>
      </c>
      <c r="P9" s="258">
        <v>0.0</v>
      </c>
      <c r="Q9" s="258">
        <f t="shared" si="3"/>
        <v>1198648.29</v>
      </c>
      <c r="R9" s="258">
        <v>1198648.29</v>
      </c>
      <c r="S9" s="258">
        <f t="shared" si="4"/>
        <v>0</v>
      </c>
      <c r="T9" s="263"/>
      <c r="U9" s="259"/>
    </row>
    <row r="10">
      <c r="A10" s="248" t="s">
        <v>761</v>
      </c>
      <c r="B10" s="249"/>
      <c r="C10" s="261" t="s">
        <v>776</v>
      </c>
      <c r="D10" s="262">
        <v>46227.0</v>
      </c>
      <c r="E10" s="252" t="s">
        <v>764</v>
      </c>
      <c r="F10" s="253" t="s">
        <v>695</v>
      </c>
      <c r="G10" s="254" t="s">
        <v>697</v>
      </c>
      <c r="H10" s="254" t="s">
        <v>779</v>
      </c>
      <c r="I10" s="256" t="s">
        <v>71</v>
      </c>
      <c r="J10" s="256" t="s">
        <v>686</v>
      </c>
      <c r="K10" s="257">
        <v>1849986.05</v>
      </c>
      <c r="L10" s="258">
        <f t="shared" si="1"/>
        <v>0</v>
      </c>
      <c r="M10" s="258">
        <f>K10</f>
        <v>1849986.05</v>
      </c>
      <c r="N10" s="258">
        <v>0.0</v>
      </c>
      <c r="O10" s="258">
        <v>0.0</v>
      </c>
      <c r="P10" s="258">
        <v>0.0</v>
      </c>
      <c r="Q10" s="258">
        <f t="shared" si="3"/>
        <v>1849986.05</v>
      </c>
      <c r="R10" s="258">
        <f>Q10</f>
        <v>1849986.05</v>
      </c>
      <c r="S10" s="258">
        <f t="shared" si="4"/>
        <v>0</v>
      </c>
      <c r="T10" s="263"/>
      <c r="U10" s="259"/>
    </row>
    <row r="11">
      <c r="A11" s="248" t="s">
        <v>761</v>
      </c>
      <c r="B11" s="249"/>
      <c r="C11" s="261" t="s">
        <v>786</v>
      </c>
      <c r="D11" s="262">
        <v>46227.0</v>
      </c>
      <c r="E11" s="252" t="s">
        <v>764</v>
      </c>
      <c r="F11" s="253" t="s">
        <v>695</v>
      </c>
      <c r="G11" s="254" t="s">
        <v>697</v>
      </c>
      <c r="H11" s="254" t="s">
        <v>779</v>
      </c>
      <c r="I11" s="256" t="s">
        <v>71</v>
      </c>
      <c r="J11" s="256" t="s">
        <v>676</v>
      </c>
      <c r="K11" s="257">
        <v>1818464.3</v>
      </c>
      <c r="L11" s="258">
        <f t="shared" si="1"/>
        <v>0</v>
      </c>
      <c r="M11" s="258">
        <v>1818464.3</v>
      </c>
      <c r="N11" s="258">
        <v>0.0</v>
      </c>
      <c r="O11" s="258">
        <v>0.0</v>
      </c>
      <c r="P11" s="258">
        <v>0.0</v>
      </c>
      <c r="Q11" s="258">
        <f t="shared" si="3"/>
        <v>1818464.3</v>
      </c>
      <c r="R11" s="258">
        <v>1818464.3</v>
      </c>
      <c r="S11" s="258">
        <f t="shared" si="4"/>
        <v>0</v>
      </c>
      <c r="T11" s="263"/>
      <c r="U11" s="259"/>
    </row>
    <row r="12">
      <c r="A12" s="248" t="s">
        <v>761</v>
      </c>
      <c r="B12" s="249"/>
      <c r="C12" s="261" t="s">
        <v>789</v>
      </c>
      <c r="D12" s="262">
        <v>46230.0</v>
      </c>
      <c r="E12" s="252" t="s">
        <v>764</v>
      </c>
      <c r="F12" s="253" t="s">
        <v>695</v>
      </c>
      <c r="G12" s="254" t="s">
        <v>747</v>
      </c>
      <c r="H12" s="254" t="s">
        <v>779</v>
      </c>
      <c r="I12" s="256" t="s">
        <v>71</v>
      </c>
      <c r="J12" s="256" t="s">
        <v>692</v>
      </c>
      <c r="K12" s="257">
        <v>3779259.61</v>
      </c>
      <c r="L12" s="258">
        <f t="shared" si="1"/>
        <v>0</v>
      </c>
      <c r="M12" s="258">
        <f>K12</f>
        <v>3779259.61</v>
      </c>
      <c r="N12" s="258">
        <v>759065.55</v>
      </c>
      <c r="O12" s="258">
        <v>0.0</v>
      </c>
      <c r="P12" s="258">
        <v>0.0</v>
      </c>
      <c r="Q12" s="258">
        <f t="shared" si="3"/>
        <v>3020194.06</v>
      </c>
      <c r="R12" s="258">
        <f>Q12</f>
        <v>3020194.06</v>
      </c>
      <c r="S12" s="258">
        <f t="shared" si="4"/>
        <v>0</v>
      </c>
      <c r="T12" s="263"/>
      <c r="U12" s="259"/>
    </row>
    <row r="13">
      <c r="A13" s="248" t="s">
        <v>761</v>
      </c>
      <c r="B13" s="249"/>
      <c r="C13" s="261" t="s">
        <v>790</v>
      </c>
      <c r="D13" s="262">
        <v>46230.0</v>
      </c>
      <c r="E13" s="252" t="s">
        <v>764</v>
      </c>
      <c r="F13" s="253" t="s">
        <v>695</v>
      </c>
      <c r="G13" s="254" t="s">
        <v>747</v>
      </c>
      <c r="H13" s="254" t="s">
        <v>779</v>
      </c>
      <c r="I13" s="256" t="s">
        <v>71</v>
      </c>
      <c r="J13" s="265" t="s">
        <v>681</v>
      </c>
      <c r="K13" s="257">
        <v>1815120.64</v>
      </c>
      <c r="L13" s="258">
        <f t="shared" si="1"/>
        <v>0</v>
      </c>
      <c r="M13" s="258">
        <v>1815120.64</v>
      </c>
      <c r="N13" s="258">
        <v>1020000.0</v>
      </c>
      <c r="O13" s="258">
        <v>0.0</v>
      </c>
      <c r="P13" s="258">
        <v>0.0</v>
      </c>
      <c r="Q13" s="258">
        <f t="shared" si="3"/>
        <v>795120.64</v>
      </c>
      <c r="R13" s="258">
        <v>795120.6399999999</v>
      </c>
      <c r="S13" s="258">
        <f t="shared" si="4"/>
        <v>0</v>
      </c>
      <c r="T13" s="263"/>
      <c r="U13" s="259"/>
    </row>
    <row r="14">
      <c r="A14" s="248" t="s">
        <v>761</v>
      </c>
      <c r="B14" s="249"/>
      <c r="C14" s="266">
        <v>46082.0</v>
      </c>
      <c r="D14" s="262">
        <v>46202.0</v>
      </c>
      <c r="E14" s="252" t="s">
        <v>764</v>
      </c>
      <c r="F14" s="253" t="s">
        <v>695</v>
      </c>
      <c r="G14" s="254" t="s">
        <v>747</v>
      </c>
      <c r="H14" s="254" t="s">
        <v>794</v>
      </c>
      <c r="I14" s="256" t="s">
        <v>71</v>
      </c>
      <c r="J14" s="256" t="s">
        <v>795</v>
      </c>
      <c r="K14" s="257">
        <v>186478.38</v>
      </c>
      <c r="L14" s="258">
        <f t="shared" si="1"/>
        <v>0</v>
      </c>
      <c r="M14" s="258">
        <v>186478.38</v>
      </c>
      <c r="N14" s="258">
        <v>0.0</v>
      </c>
      <c r="O14" s="258">
        <v>0.0</v>
      </c>
      <c r="P14" s="258">
        <v>3729.57</v>
      </c>
      <c r="Q14" s="258">
        <f t="shared" si="3"/>
        <v>182748.81</v>
      </c>
      <c r="R14" s="258">
        <f>Q14</f>
        <v>182748.81</v>
      </c>
      <c r="S14" s="258">
        <f t="shared" si="4"/>
        <v>0</v>
      </c>
      <c r="T14" s="258"/>
      <c r="U14" s="259"/>
    </row>
    <row r="15">
      <c r="A15" s="248" t="s">
        <v>761</v>
      </c>
      <c r="B15" s="249"/>
      <c r="C15" s="261" t="s">
        <v>799</v>
      </c>
      <c r="D15" s="262">
        <v>46202.0</v>
      </c>
      <c r="E15" s="252" t="s">
        <v>764</v>
      </c>
      <c r="F15" s="253" t="s">
        <v>695</v>
      </c>
      <c r="G15" s="254" t="s">
        <v>747</v>
      </c>
      <c r="H15" s="255" t="s">
        <v>654</v>
      </c>
      <c r="I15" s="256" t="s">
        <v>71</v>
      </c>
      <c r="J15" s="256" t="s">
        <v>751</v>
      </c>
      <c r="K15" s="257">
        <v>260370.0</v>
      </c>
      <c r="L15" s="258">
        <f t="shared" si="1"/>
        <v>0</v>
      </c>
      <c r="M15" s="258">
        <v>260370.0</v>
      </c>
      <c r="N15" s="258">
        <v>0.0</v>
      </c>
      <c r="O15" s="258">
        <v>0.0</v>
      </c>
      <c r="P15" s="258">
        <v>0.0</v>
      </c>
      <c r="Q15" s="258">
        <f t="shared" si="3"/>
        <v>260370</v>
      </c>
      <c r="R15" s="258">
        <v>260370.0</v>
      </c>
      <c r="S15" s="258">
        <f t="shared" si="4"/>
        <v>0</v>
      </c>
      <c r="T15" s="258"/>
      <c r="U15" s="259"/>
    </row>
    <row r="16">
      <c r="A16" s="248" t="s">
        <v>761</v>
      </c>
      <c r="B16" s="249"/>
      <c r="C16" s="261" t="s">
        <v>803</v>
      </c>
      <c r="D16" s="262">
        <v>46232.0</v>
      </c>
      <c r="E16" s="252" t="s">
        <v>764</v>
      </c>
      <c r="F16" s="253" t="s">
        <v>695</v>
      </c>
      <c r="G16" s="254" t="s">
        <v>747</v>
      </c>
      <c r="H16" s="255" t="s">
        <v>654</v>
      </c>
      <c r="I16" s="256" t="s">
        <v>71</v>
      </c>
      <c r="J16" s="256" t="s">
        <v>807</v>
      </c>
      <c r="K16" s="257">
        <v>1238563.42</v>
      </c>
      <c r="L16" s="258">
        <f t="shared" si="1"/>
        <v>0</v>
      </c>
      <c r="M16" s="258">
        <v>1238563.42</v>
      </c>
      <c r="N16" s="258">
        <v>0.0</v>
      </c>
      <c r="O16" s="258">
        <v>0.0</v>
      </c>
      <c r="P16" s="258">
        <v>0.0</v>
      </c>
      <c r="Q16" s="258">
        <v>1238563.42</v>
      </c>
      <c r="R16" s="258">
        <v>1238563.42</v>
      </c>
      <c r="S16" s="258">
        <f t="shared" si="4"/>
        <v>0</v>
      </c>
      <c r="T16" s="258"/>
      <c r="U16" s="259"/>
    </row>
    <row r="17">
      <c r="A17" s="271" t="s">
        <v>761</v>
      </c>
      <c r="B17" s="249"/>
      <c r="C17" s="250"/>
      <c r="D17" s="251">
        <v>46231.0</v>
      </c>
      <c r="E17" s="252" t="s">
        <v>764</v>
      </c>
      <c r="F17" s="253" t="s">
        <v>695</v>
      </c>
      <c r="G17" s="254" t="s">
        <v>697</v>
      </c>
      <c r="H17" s="255" t="s">
        <v>811</v>
      </c>
      <c r="I17" s="256" t="s">
        <v>71</v>
      </c>
      <c r="J17" s="256" t="s">
        <v>767</v>
      </c>
      <c r="K17" s="257">
        <v>2284403.25</v>
      </c>
      <c r="L17" s="258">
        <f t="shared" si="1"/>
        <v>0</v>
      </c>
      <c r="M17" s="258">
        <v>2284403.25</v>
      </c>
      <c r="N17" s="258">
        <v>0.0</v>
      </c>
      <c r="O17" s="258">
        <v>0.0</v>
      </c>
      <c r="P17" s="258">
        <v>0.0</v>
      </c>
      <c r="Q17" s="258">
        <f t="shared" ref="Q17:Q26" si="6">M17-N17-P17</f>
        <v>2284403.25</v>
      </c>
      <c r="R17" s="258">
        <f t="shared" ref="R17:R23" si="7">Q17</f>
        <v>2284403.25</v>
      </c>
      <c r="S17" s="258">
        <f t="shared" si="4"/>
        <v>0</v>
      </c>
      <c r="T17" s="258"/>
      <c r="U17" s="259"/>
    </row>
    <row r="18">
      <c r="A18" s="271" t="s">
        <v>761</v>
      </c>
      <c r="B18" s="250"/>
      <c r="C18" s="250"/>
      <c r="D18" s="251">
        <v>46231.0</v>
      </c>
      <c r="E18" s="252" t="s">
        <v>764</v>
      </c>
      <c r="F18" s="253" t="s">
        <v>695</v>
      </c>
      <c r="G18" s="254" t="s">
        <v>747</v>
      </c>
      <c r="H18" s="255" t="s">
        <v>811</v>
      </c>
      <c r="I18" s="256" t="s">
        <v>71</v>
      </c>
      <c r="J18" s="256" t="s">
        <v>771</v>
      </c>
      <c r="K18" s="257">
        <v>120164.0</v>
      </c>
      <c r="L18" s="258">
        <f t="shared" si="1"/>
        <v>0</v>
      </c>
      <c r="M18" s="258">
        <v>120164.0</v>
      </c>
      <c r="N18" s="258">
        <v>0.0</v>
      </c>
      <c r="O18" s="258">
        <v>0.0</v>
      </c>
      <c r="P18" s="258">
        <v>2403.28</v>
      </c>
      <c r="Q18" s="258">
        <f t="shared" si="6"/>
        <v>117760.72</v>
      </c>
      <c r="R18" s="258">
        <f t="shared" si="7"/>
        <v>117760.72</v>
      </c>
      <c r="S18" s="258">
        <f t="shared" si="4"/>
        <v>0</v>
      </c>
      <c r="T18" s="258"/>
      <c r="U18" s="259"/>
    </row>
    <row r="19">
      <c r="A19" s="248" t="s">
        <v>822</v>
      </c>
      <c r="B19" s="249"/>
      <c r="C19" s="249"/>
      <c r="D19" s="251"/>
      <c r="E19" s="277"/>
      <c r="F19" s="253" t="s">
        <v>695</v>
      </c>
      <c r="G19" s="254" t="s">
        <v>697</v>
      </c>
      <c r="H19" s="280" t="s">
        <v>0</v>
      </c>
      <c r="I19" s="256" t="s">
        <v>161</v>
      </c>
      <c r="J19" s="256" t="s">
        <v>320</v>
      </c>
      <c r="K19" s="257">
        <v>1259122.43</v>
      </c>
      <c r="L19" s="258">
        <f t="shared" si="1"/>
        <v>0</v>
      </c>
      <c r="M19" s="258">
        <v>1259122.43</v>
      </c>
      <c r="N19" s="258">
        <v>0.0</v>
      </c>
      <c r="O19" s="258">
        <v>0.0</v>
      </c>
      <c r="P19" s="258">
        <v>0.0</v>
      </c>
      <c r="Q19" s="258">
        <f t="shared" si="6"/>
        <v>1259122.43</v>
      </c>
      <c r="R19" s="258">
        <f t="shared" si="7"/>
        <v>1259122.43</v>
      </c>
      <c r="S19" s="258">
        <f t="shared" si="4"/>
        <v>0</v>
      </c>
      <c r="T19" s="258"/>
      <c r="U19" s="259"/>
    </row>
    <row r="20">
      <c r="A20" s="248" t="s">
        <v>822</v>
      </c>
      <c r="B20" s="249"/>
      <c r="C20" s="250"/>
      <c r="D20" s="251"/>
      <c r="E20" s="277"/>
      <c r="F20" s="253" t="s">
        <v>695</v>
      </c>
      <c r="G20" s="254" t="s">
        <v>697</v>
      </c>
      <c r="H20" s="280" t="s">
        <v>366</v>
      </c>
      <c r="I20" s="256" t="s">
        <v>71</v>
      </c>
      <c r="J20" s="256" t="s">
        <v>411</v>
      </c>
      <c r="K20" s="257">
        <v>600000.0</v>
      </c>
      <c r="L20" s="258">
        <f t="shared" si="1"/>
        <v>0</v>
      </c>
      <c r="M20" s="258">
        <f t="shared" ref="M20:M21" si="8">K20</f>
        <v>600000</v>
      </c>
      <c r="N20" s="258">
        <v>0.0</v>
      </c>
      <c r="O20" s="258">
        <v>0.0</v>
      </c>
      <c r="P20" s="258">
        <v>0.0</v>
      </c>
      <c r="Q20" s="258">
        <f t="shared" si="6"/>
        <v>600000</v>
      </c>
      <c r="R20" s="258">
        <f t="shared" si="7"/>
        <v>600000</v>
      </c>
      <c r="S20" s="258">
        <f t="shared" si="4"/>
        <v>0</v>
      </c>
      <c r="T20" s="258"/>
      <c r="U20" s="259"/>
    </row>
    <row r="21">
      <c r="A21" s="248" t="s">
        <v>683</v>
      </c>
      <c r="B21" s="249"/>
      <c r="C21" s="250"/>
      <c r="D21" s="251"/>
      <c r="E21" s="252" t="s">
        <v>721</v>
      </c>
      <c r="F21" s="253" t="s">
        <v>695</v>
      </c>
      <c r="G21" s="254" t="s">
        <v>697</v>
      </c>
      <c r="H21" s="254" t="s">
        <v>830</v>
      </c>
      <c r="I21" s="256" t="s">
        <v>161</v>
      </c>
      <c r="J21" s="256" t="s">
        <v>832</v>
      </c>
      <c r="K21" s="257">
        <v>1052620.84</v>
      </c>
      <c r="L21" s="258">
        <f t="shared" si="1"/>
        <v>0</v>
      </c>
      <c r="M21" s="258">
        <f t="shared" si="8"/>
        <v>1052620.84</v>
      </c>
      <c r="N21" s="258">
        <v>0.0</v>
      </c>
      <c r="O21" s="258">
        <v>0.0</v>
      </c>
      <c r="P21" s="258">
        <v>0.0</v>
      </c>
      <c r="Q21" s="258">
        <f t="shared" si="6"/>
        <v>1052620.84</v>
      </c>
      <c r="R21" s="258">
        <f t="shared" si="7"/>
        <v>1052620.84</v>
      </c>
      <c r="S21" s="258">
        <f t="shared" si="4"/>
        <v>0</v>
      </c>
      <c r="T21" s="258"/>
      <c r="U21" s="259"/>
    </row>
    <row r="22">
      <c r="A22" s="248" t="s">
        <v>836</v>
      </c>
      <c r="B22" s="249"/>
      <c r="C22" s="284"/>
      <c r="D22" s="286">
        <v>46157.0</v>
      </c>
      <c r="E22" s="252" t="s">
        <v>764</v>
      </c>
      <c r="F22" s="253" t="s">
        <v>695</v>
      </c>
      <c r="G22" s="254" t="s">
        <v>697</v>
      </c>
      <c r="H22" s="254" t="s">
        <v>839</v>
      </c>
      <c r="I22" s="256" t="s">
        <v>840</v>
      </c>
      <c r="J22" s="256" t="s">
        <v>841</v>
      </c>
      <c r="K22" s="257">
        <v>1861810.2</v>
      </c>
      <c r="L22" s="258">
        <f t="shared" si="1"/>
        <v>0</v>
      </c>
      <c r="M22" s="258">
        <v>1861810.2</v>
      </c>
      <c r="N22" s="258">
        <v>0.0</v>
      </c>
      <c r="O22" s="258">
        <v>0.0</v>
      </c>
      <c r="P22" s="258">
        <v>0.0</v>
      </c>
      <c r="Q22" s="258">
        <f t="shared" si="6"/>
        <v>1861810.2</v>
      </c>
      <c r="R22" s="258">
        <f t="shared" si="7"/>
        <v>1861810.2</v>
      </c>
      <c r="S22" s="258">
        <f t="shared" si="4"/>
        <v>0</v>
      </c>
      <c r="T22" s="284"/>
      <c r="U22" s="259"/>
    </row>
    <row r="23">
      <c r="A23" s="248" t="s">
        <v>836</v>
      </c>
      <c r="B23" s="249"/>
      <c r="C23" s="284"/>
      <c r="D23" s="286">
        <v>46171.0</v>
      </c>
      <c r="E23" s="252" t="s">
        <v>764</v>
      </c>
      <c r="F23" s="253" t="s">
        <v>695</v>
      </c>
      <c r="G23" s="254" t="s">
        <v>844</v>
      </c>
      <c r="H23" s="254" t="s">
        <v>839</v>
      </c>
      <c r="I23" s="256" t="s">
        <v>840</v>
      </c>
      <c r="J23" s="256" t="s">
        <v>845</v>
      </c>
      <c r="K23" s="257">
        <v>2819809.47</v>
      </c>
      <c r="L23" s="258">
        <f t="shared" si="1"/>
        <v>0</v>
      </c>
      <c r="M23" s="258">
        <v>2819809.47</v>
      </c>
      <c r="N23" s="258">
        <v>602279.06</v>
      </c>
      <c r="O23" s="258">
        <v>0.0</v>
      </c>
      <c r="P23" s="258">
        <v>0.0</v>
      </c>
      <c r="Q23" s="258">
        <f t="shared" si="6"/>
        <v>2217530.41</v>
      </c>
      <c r="R23" s="258">
        <f t="shared" si="7"/>
        <v>2217530.41</v>
      </c>
      <c r="S23" s="258">
        <f t="shared" si="4"/>
        <v>0</v>
      </c>
      <c r="T23" s="284"/>
      <c r="U23" s="259"/>
    </row>
    <row r="24">
      <c r="A24" s="248" t="s">
        <v>761</v>
      </c>
      <c r="B24" s="249"/>
      <c r="C24" s="292"/>
      <c r="D24" s="251">
        <v>46228.0</v>
      </c>
      <c r="E24" s="295" t="s">
        <v>764</v>
      </c>
      <c r="F24" s="253" t="s">
        <v>695</v>
      </c>
      <c r="G24" s="254" t="s">
        <v>697</v>
      </c>
      <c r="H24" s="255" t="s">
        <v>854</v>
      </c>
      <c r="I24" s="256" t="s">
        <v>71</v>
      </c>
      <c r="J24" s="256" t="s">
        <v>855</v>
      </c>
      <c r="K24" s="257">
        <v>2193548.09</v>
      </c>
      <c r="L24" s="258">
        <f t="shared" si="1"/>
        <v>0</v>
      </c>
      <c r="M24" s="258">
        <v>2193548.09</v>
      </c>
      <c r="N24" s="258">
        <v>0.0</v>
      </c>
      <c r="O24" s="258">
        <v>0.0</v>
      </c>
      <c r="P24" s="258">
        <v>0.0</v>
      </c>
      <c r="Q24" s="258">
        <f t="shared" si="6"/>
        <v>2193548.09</v>
      </c>
      <c r="R24" s="258">
        <v>2193548.09</v>
      </c>
      <c r="S24" s="258">
        <f t="shared" si="4"/>
        <v>0</v>
      </c>
      <c r="T24" s="258"/>
      <c r="U24" s="259"/>
    </row>
    <row r="25">
      <c r="A25" s="248" t="s">
        <v>761</v>
      </c>
      <c r="B25" s="249"/>
      <c r="C25" s="301"/>
      <c r="D25" s="251">
        <v>46203.0</v>
      </c>
      <c r="E25" s="252" t="s">
        <v>764</v>
      </c>
      <c r="F25" s="253" t="s">
        <v>695</v>
      </c>
      <c r="G25" s="254" t="s">
        <v>747</v>
      </c>
      <c r="H25" s="255" t="s">
        <v>854</v>
      </c>
      <c r="I25" s="256" t="s">
        <v>71</v>
      </c>
      <c r="J25" s="256" t="s">
        <v>862</v>
      </c>
      <c r="K25" s="257">
        <v>6087305.77</v>
      </c>
      <c r="L25" s="258">
        <f t="shared" si="1"/>
        <v>0</v>
      </c>
      <c r="M25" s="258">
        <v>6087305.77</v>
      </c>
      <c r="N25" s="258">
        <v>5782940.48</v>
      </c>
      <c r="O25" s="258">
        <v>0.0</v>
      </c>
      <c r="P25" s="258">
        <v>304365.29</v>
      </c>
      <c r="Q25" s="258">
        <f t="shared" si="6"/>
        <v>-0.0000000008731149137</v>
      </c>
      <c r="R25" s="258"/>
      <c r="S25" s="258">
        <f t="shared" si="4"/>
        <v>-0.0000000008731149137</v>
      </c>
      <c r="T25" s="259"/>
      <c r="U25" s="259"/>
    </row>
    <row r="26">
      <c r="A26" s="308" t="s">
        <v>761</v>
      </c>
      <c r="B26" s="249"/>
      <c r="C26" s="309"/>
      <c r="D26" s="251">
        <v>46228.0</v>
      </c>
      <c r="E26" s="252" t="s">
        <v>764</v>
      </c>
      <c r="F26" s="253" t="s">
        <v>695</v>
      </c>
      <c r="G26" s="254" t="s">
        <v>697</v>
      </c>
      <c r="H26" s="255" t="s">
        <v>869</v>
      </c>
      <c r="I26" s="256" t="s">
        <v>102</v>
      </c>
      <c r="J26" s="256" t="s">
        <v>796</v>
      </c>
      <c r="K26" s="257">
        <v>1003192.98</v>
      </c>
      <c r="L26" s="258">
        <f t="shared" si="1"/>
        <v>0</v>
      </c>
      <c r="M26" s="258">
        <v>1003192.98</v>
      </c>
      <c r="N26" s="258">
        <v>0.0</v>
      </c>
      <c r="O26" s="258">
        <v>0.0</v>
      </c>
      <c r="P26" s="258">
        <v>0.0</v>
      </c>
      <c r="Q26" s="258">
        <f t="shared" si="6"/>
        <v>1003192.98</v>
      </c>
      <c r="R26" s="258">
        <f t="shared" ref="R26:R30" si="9">Q26</f>
        <v>1003192.98</v>
      </c>
      <c r="S26" s="258">
        <f t="shared" si="4"/>
        <v>0</v>
      </c>
      <c r="T26" s="258"/>
      <c r="U26" s="259"/>
    </row>
    <row r="27">
      <c r="A27" s="315" t="s">
        <v>683</v>
      </c>
      <c r="B27" s="249"/>
      <c r="C27" s="316"/>
      <c r="D27" s="251"/>
      <c r="E27" s="319" t="s">
        <v>721</v>
      </c>
      <c r="F27" s="253" t="s">
        <v>695</v>
      </c>
      <c r="G27" s="254" t="s">
        <v>697</v>
      </c>
      <c r="H27" s="255" t="s">
        <v>881</v>
      </c>
      <c r="I27" s="256" t="s">
        <v>210</v>
      </c>
      <c r="J27" s="256" t="s">
        <v>882</v>
      </c>
      <c r="K27" s="257">
        <v>1019567.64</v>
      </c>
      <c r="L27" s="258">
        <f t="shared" si="1"/>
        <v>0</v>
      </c>
      <c r="M27" s="258">
        <f>K27</f>
        <v>1019567.64</v>
      </c>
      <c r="N27" s="258">
        <v>0.0</v>
      </c>
      <c r="O27" s="258">
        <v>0.0</v>
      </c>
      <c r="P27" s="258">
        <v>0.0</v>
      </c>
      <c r="Q27" s="258">
        <v>1019567.64</v>
      </c>
      <c r="R27" s="258">
        <f t="shared" si="9"/>
        <v>1019567.64</v>
      </c>
      <c r="S27" s="258">
        <f t="shared" si="4"/>
        <v>0</v>
      </c>
      <c r="T27" s="258"/>
      <c r="U27" s="259"/>
    </row>
    <row r="28">
      <c r="A28" s="248" t="s">
        <v>761</v>
      </c>
      <c r="B28" s="249"/>
      <c r="C28" s="316" t="s">
        <v>885</v>
      </c>
      <c r="D28" s="251">
        <v>46231.0</v>
      </c>
      <c r="E28" s="295" t="s">
        <v>764</v>
      </c>
      <c r="F28" s="253" t="s">
        <v>695</v>
      </c>
      <c r="G28" s="254" t="s">
        <v>697</v>
      </c>
      <c r="H28" s="255" t="s">
        <v>213</v>
      </c>
      <c r="I28" s="256" t="s">
        <v>102</v>
      </c>
      <c r="J28" s="256" t="s">
        <v>887</v>
      </c>
      <c r="K28" s="257">
        <v>3855186.05</v>
      </c>
      <c r="L28" s="258">
        <f t="shared" si="1"/>
        <v>0</v>
      </c>
      <c r="M28" s="258">
        <v>3855186.05</v>
      </c>
      <c r="N28" s="258">
        <v>0.0</v>
      </c>
      <c r="O28" s="258">
        <v>0.0</v>
      </c>
      <c r="P28" s="258">
        <v>0.0</v>
      </c>
      <c r="Q28" s="258">
        <f t="shared" ref="Q28:Q54" si="10">M28-N28-P28</f>
        <v>3855186.05</v>
      </c>
      <c r="R28" s="258">
        <f t="shared" si="9"/>
        <v>3855186.05</v>
      </c>
      <c r="S28" s="258">
        <f t="shared" si="4"/>
        <v>0</v>
      </c>
      <c r="T28" s="258"/>
      <c r="U28" s="259"/>
    </row>
    <row r="29">
      <c r="A29" s="248" t="s">
        <v>761</v>
      </c>
      <c r="B29" s="249"/>
      <c r="C29" s="316" t="s">
        <v>890</v>
      </c>
      <c r="D29" s="251">
        <v>46231.0</v>
      </c>
      <c r="E29" s="295" t="s">
        <v>764</v>
      </c>
      <c r="F29" s="253" t="s">
        <v>695</v>
      </c>
      <c r="G29" s="254" t="s">
        <v>697</v>
      </c>
      <c r="H29" s="255" t="s">
        <v>213</v>
      </c>
      <c r="I29" s="256" t="s">
        <v>102</v>
      </c>
      <c r="J29" s="256" t="s">
        <v>897</v>
      </c>
      <c r="K29" s="257">
        <v>3855186.05</v>
      </c>
      <c r="L29" s="258">
        <f t="shared" si="1"/>
        <v>0</v>
      </c>
      <c r="M29" s="258">
        <v>3855186.05</v>
      </c>
      <c r="N29" s="258">
        <v>0.0</v>
      </c>
      <c r="O29" s="258">
        <v>0.0</v>
      </c>
      <c r="P29" s="258">
        <v>0.0</v>
      </c>
      <c r="Q29" s="258">
        <f t="shared" si="10"/>
        <v>3855186.05</v>
      </c>
      <c r="R29" s="258">
        <f t="shared" si="9"/>
        <v>3855186.05</v>
      </c>
      <c r="S29" s="258">
        <f t="shared" si="4"/>
        <v>0</v>
      </c>
      <c r="T29" s="258"/>
      <c r="U29" s="259"/>
    </row>
    <row r="30">
      <c r="A30" s="248" t="s">
        <v>761</v>
      </c>
      <c r="B30" s="249"/>
      <c r="C30" s="316" t="s">
        <v>902</v>
      </c>
      <c r="D30" s="251">
        <v>46231.0</v>
      </c>
      <c r="E30" s="295" t="s">
        <v>764</v>
      </c>
      <c r="F30" s="253" t="s">
        <v>695</v>
      </c>
      <c r="G30" s="254" t="s">
        <v>697</v>
      </c>
      <c r="H30" s="255" t="s">
        <v>213</v>
      </c>
      <c r="I30" s="256" t="s">
        <v>102</v>
      </c>
      <c r="J30" s="256" t="s">
        <v>905</v>
      </c>
      <c r="K30" s="257">
        <v>7710672.11</v>
      </c>
      <c r="L30" s="258">
        <f t="shared" si="1"/>
        <v>0</v>
      </c>
      <c r="M30" s="258">
        <v>7710672.11</v>
      </c>
      <c r="N30" s="258">
        <v>0.0</v>
      </c>
      <c r="O30" s="258">
        <v>0.0</v>
      </c>
      <c r="P30" s="258">
        <v>0.0</v>
      </c>
      <c r="Q30" s="258">
        <f t="shared" si="10"/>
        <v>7710672.11</v>
      </c>
      <c r="R30" s="258">
        <f t="shared" si="9"/>
        <v>7710672.11</v>
      </c>
      <c r="S30" s="258">
        <f t="shared" si="4"/>
        <v>0</v>
      </c>
      <c r="T30" s="258"/>
      <c r="U30" s="259"/>
    </row>
    <row r="31">
      <c r="A31" s="248" t="s">
        <v>761</v>
      </c>
      <c r="B31" s="249"/>
      <c r="C31" s="316" t="s">
        <v>912</v>
      </c>
      <c r="D31" s="251">
        <v>46231.0</v>
      </c>
      <c r="E31" s="295" t="s">
        <v>764</v>
      </c>
      <c r="F31" s="253" t="s">
        <v>695</v>
      </c>
      <c r="G31" s="254" t="s">
        <v>697</v>
      </c>
      <c r="H31" s="255" t="s">
        <v>213</v>
      </c>
      <c r="I31" s="256" t="s">
        <v>102</v>
      </c>
      <c r="J31" s="256" t="s">
        <v>823</v>
      </c>
      <c r="K31" s="257">
        <v>1145892.48</v>
      </c>
      <c r="L31" s="258">
        <f t="shared" si="1"/>
        <v>0</v>
      </c>
      <c r="M31" s="258">
        <v>1145892.48</v>
      </c>
      <c r="N31" s="258">
        <v>0.0</v>
      </c>
      <c r="O31" s="258">
        <v>0.0</v>
      </c>
      <c r="P31" s="258">
        <v>0.0</v>
      </c>
      <c r="Q31" s="258">
        <f t="shared" si="10"/>
        <v>1145892.48</v>
      </c>
      <c r="R31" s="258"/>
      <c r="S31" s="258">
        <f t="shared" si="4"/>
        <v>1145892.48</v>
      </c>
      <c r="T31" s="258"/>
      <c r="U31" s="259"/>
    </row>
    <row r="32">
      <c r="A32" s="248" t="s">
        <v>761</v>
      </c>
      <c r="B32" s="250"/>
      <c r="C32" s="322" t="s">
        <v>919</v>
      </c>
      <c r="D32" s="251">
        <v>46167.0</v>
      </c>
      <c r="E32" s="295" t="s">
        <v>764</v>
      </c>
      <c r="F32" s="253" t="s">
        <v>695</v>
      </c>
      <c r="G32" s="254" t="s">
        <v>697</v>
      </c>
      <c r="H32" s="255" t="s">
        <v>213</v>
      </c>
      <c r="I32" s="256" t="s">
        <v>102</v>
      </c>
      <c r="J32" s="256" t="s">
        <v>793</v>
      </c>
      <c r="K32" s="257">
        <v>3418298.4</v>
      </c>
      <c r="L32" s="258">
        <f t="shared" si="1"/>
        <v>0</v>
      </c>
      <c r="M32" s="258">
        <v>3418298.4</v>
      </c>
      <c r="N32" s="258">
        <v>0.0</v>
      </c>
      <c r="O32" s="258">
        <v>0.0</v>
      </c>
      <c r="P32" s="258">
        <v>0.0</v>
      </c>
      <c r="Q32" s="258">
        <f t="shared" si="10"/>
        <v>3418298.4</v>
      </c>
      <c r="R32" s="258">
        <v>1000000.0</v>
      </c>
      <c r="S32" s="258">
        <f t="shared" si="4"/>
        <v>2418298.4</v>
      </c>
      <c r="T32" s="258"/>
      <c r="U32" s="259"/>
    </row>
    <row r="33">
      <c r="A33" s="248" t="s">
        <v>761</v>
      </c>
      <c r="B33" s="249"/>
      <c r="C33" s="316" t="s">
        <v>922</v>
      </c>
      <c r="D33" s="251">
        <v>46231.0</v>
      </c>
      <c r="E33" s="252" t="s">
        <v>764</v>
      </c>
      <c r="F33" s="253" t="s">
        <v>695</v>
      </c>
      <c r="G33" s="254" t="s">
        <v>697</v>
      </c>
      <c r="H33" s="255" t="s">
        <v>213</v>
      </c>
      <c r="I33" s="256" t="s">
        <v>102</v>
      </c>
      <c r="J33" s="256" t="s">
        <v>838</v>
      </c>
      <c r="K33" s="257">
        <v>817490.0</v>
      </c>
      <c r="L33" s="258">
        <f t="shared" si="1"/>
        <v>0</v>
      </c>
      <c r="M33" s="258">
        <v>817490.0</v>
      </c>
      <c r="N33" s="258">
        <v>0.0</v>
      </c>
      <c r="O33" s="258">
        <v>0.0</v>
      </c>
      <c r="P33" s="258">
        <v>0.0</v>
      </c>
      <c r="Q33" s="258">
        <f t="shared" si="10"/>
        <v>817490</v>
      </c>
      <c r="R33" s="258"/>
      <c r="S33" s="258">
        <f t="shared" si="4"/>
        <v>817490</v>
      </c>
      <c r="T33" s="258"/>
      <c r="U33" s="259"/>
    </row>
    <row r="34">
      <c r="A34" s="249">
        <v>868200.19</v>
      </c>
      <c r="B34" s="249"/>
      <c r="C34" s="322" t="s">
        <v>924</v>
      </c>
      <c r="D34" s="251">
        <v>46231.0</v>
      </c>
      <c r="E34" s="319" t="s">
        <v>764</v>
      </c>
      <c r="F34" s="253" t="s">
        <v>695</v>
      </c>
      <c r="G34" s="254" t="s">
        <v>697</v>
      </c>
      <c r="H34" s="255" t="s">
        <v>213</v>
      </c>
      <c r="I34" s="256" t="s">
        <v>102</v>
      </c>
      <c r="J34" s="256" t="s">
        <v>856</v>
      </c>
      <c r="K34" s="257">
        <v>868200.19</v>
      </c>
      <c r="L34" s="258">
        <f t="shared" si="1"/>
        <v>0</v>
      </c>
      <c r="M34" s="258">
        <v>868200.19</v>
      </c>
      <c r="N34" s="258">
        <v>0.0</v>
      </c>
      <c r="O34" s="258">
        <v>0.0</v>
      </c>
      <c r="P34" s="258">
        <v>0.0</v>
      </c>
      <c r="Q34" s="258">
        <f t="shared" si="10"/>
        <v>868200.19</v>
      </c>
      <c r="R34" s="258"/>
      <c r="S34" s="258">
        <f t="shared" si="4"/>
        <v>868200.19</v>
      </c>
      <c r="T34" s="258"/>
      <c r="U34" s="259"/>
    </row>
    <row r="35">
      <c r="A35" s="248" t="s">
        <v>761</v>
      </c>
      <c r="B35" s="249"/>
      <c r="C35" s="322" t="s">
        <v>933</v>
      </c>
      <c r="D35" s="251">
        <v>46168.0</v>
      </c>
      <c r="E35" s="252" t="s">
        <v>764</v>
      </c>
      <c r="F35" s="326" t="s">
        <v>695</v>
      </c>
      <c r="G35" s="254" t="s">
        <v>697</v>
      </c>
      <c r="H35" s="255" t="s">
        <v>213</v>
      </c>
      <c r="I35" s="256" t="s">
        <v>102</v>
      </c>
      <c r="J35" s="256" t="s">
        <v>876</v>
      </c>
      <c r="K35" s="257">
        <v>1236238.91</v>
      </c>
      <c r="L35" s="258">
        <f t="shared" si="1"/>
        <v>0</v>
      </c>
      <c r="M35" s="258">
        <v>1236238.91</v>
      </c>
      <c r="N35" s="258">
        <v>0.0</v>
      </c>
      <c r="O35" s="258">
        <v>0.0</v>
      </c>
      <c r="P35" s="258">
        <v>0.0</v>
      </c>
      <c r="Q35" s="258">
        <f t="shared" si="10"/>
        <v>1236238.91</v>
      </c>
      <c r="R35" s="258"/>
      <c r="S35" s="258">
        <f t="shared" si="4"/>
        <v>1236238.91</v>
      </c>
      <c r="T35" s="258"/>
      <c r="U35" s="259"/>
    </row>
    <row r="36">
      <c r="A36" s="248" t="s">
        <v>761</v>
      </c>
      <c r="B36" s="249"/>
      <c r="C36" s="316" t="s">
        <v>939</v>
      </c>
      <c r="D36" s="251">
        <v>46231.0</v>
      </c>
      <c r="E36" s="252" t="s">
        <v>764</v>
      </c>
      <c r="F36" s="253" t="s">
        <v>695</v>
      </c>
      <c r="G36" s="254" t="s">
        <v>697</v>
      </c>
      <c r="H36" s="255" t="s">
        <v>213</v>
      </c>
      <c r="I36" s="256" t="s">
        <v>102</v>
      </c>
      <c r="J36" s="256" t="s">
        <v>895</v>
      </c>
      <c r="K36" s="257">
        <v>1070464.91</v>
      </c>
      <c r="L36" s="258">
        <f t="shared" si="1"/>
        <v>0</v>
      </c>
      <c r="M36" s="258">
        <v>1070464.91</v>
      </c>
      <c r="N36" s="258">
        <v>0.0</v>
      </c>
      <c r="O36" s="258">
        <v>0.0</v>
      </c>
      <c r="P36" s="258">
        <v>0.0</v>
      </c>
      <c r="Q36" s="258">
        <f t="shared" si="10"/>
        <v>1070464.91</v>
      </c>
      <c r="R36" s="258">
        <f>Q36</f>
        <v>1070464.91</v>
      </c>
      <c r="S36" s="258">
        <f t="shared" si="4"/>
        <v>0</v>
      </c>
      <c r="T36" s="258"/>
      <c r="U36" s="259"/>
    </row>
    <row r="37">
      <c r="A37" s="248" t="s">
        <v>761</v>
      </c>
      <c r="B37" s="249"/>
      <c r="C37" s="322" t="s">
        <v>946</v>
      </c>
      <c r="D37" s="251">
        <v>46264.0</v>
      </c>
      <c r="E37" s="295" t="s">
        <v>764</v>
      </c>
      <c r="F37" s="253" t="s">
        <v>695</v>
      </c>
      <c r="G37" s="254" t="s">
        <v>747</v>
      </c>
      <c r="H37" s="255" t="s">
        <v>213</v>
      </c>
      <c r="I37" s="256" t="s">
        <v>102</v>
      </c>
      <c r="J37" s="256" t="s">
        <v>951</v>
      </c>
      <c r="K37" s="257">
        <v>1527223.74</v>
      </c>
      <c r="L37" s="258">
        <f t="shared" si="1"/>
        <v>0</v>
      </c>
      <c r="M37" s="258">
        <v>1527223.74</v>
      </c>
      <c r="N37" s="258">
        <v>1527223.74</v>
      </c>
      <c r="O37" s="258">
        <v>0.0</v>
      </c>
      <c r="P37" s="258">
        <v>0.0</v>
      </c>
      <c r="Q37" s="258">
        <f t="shared" si="10"/>
        <v>0</v>
      </c>
      <c r="R37" s="258"/>
      <c r="S37" s="258">
        <f t="shared" si="4"/>
        <v>0</v>
      </c>
      <c r="T37" s="258"/>
      <c r="U37" s="259"/>
    </row>
    <row r="38">
      <c r="A38" s="248" t="s">
        <v>761</v>
      </c>
      <c r="B38" s="249"/>
      <c r="C38" s="322" t="s">
        <v>933</v>
      </c>
      <c r="D38" s="251">
        <v>46264.0</v>
      </c>
      <c r="E38" s="295" t="s">
        <v>764</v>
      </c>
      <c r="F38" s="253" t="s">
        <v>695</v>
      </c>
      <c r="G38" s="254" t="s">
        <v>747</v>
      </c>
      <c r="H38" s="255" t="s">
        <v>213</v>
      </c>
      <c r="I38" s="256" t="s">
        <v>102</v>
      </c>
      <c r="J38" s="256" t="s">
        <v>886</v>
      </c>
      <c r="K38" s="257">
        <v>135112.0</v>
      </c>
      <c r="L38" s="258">
        <f t="shared" si="1"/>
        <v>0</v>
      </c>
      <c r="M38" s="258">
        <v>135112.0</v>
      </c>
      <c r="N38" s="258">
        <v>132409.76</v>
      </c>
      <c r="O38" s="258">
        <v>0.0</v>
      </c>
      <c r="P38" s="258">
        <v>2702.24</v>
      </c>
      <c r="Q38" s="258">
        <f t="shared" si="10"/>
        <v>0</v>
      </c>
      <c r="R38" s="258"/>
      <c r="S38" s="258">
        <f t="shared" si="4"/>
        <v>0</v>
      </c>
      <c r="T38" s="258"/>
      <c r="U38" s="259"/>
    </row>
    <row r="39">
      <c r="A39" s="248" t="s">
        <v>761</v>
      </c>
      <c r="B39" s="249"/>
      <c r="C39" s="322" t="s">
        <v>963</v>
      </c>
      <c r="D39" s="251">
        <v>46264.0</v>
      </c>
      <c r="E39" s="295" t="s">
        <v>764</v>
      </c>
      <c r="F39" s="253" t="s">
        <v>695</v>
      </c>
      <c r="G39" s="254" t="s">
        <v>747</v>
      </c>
      <c r="H39" s="255" t="s">
        <v>213</v>
      </c>
      <c r="I39" s="256" t="s">
        <v>102</v>
      </c>
      <c r="J39" s="256" t="s">
        <v>921</v>
      </c>
      <c r="K39" s="257">
        <v>961933.0</v>
      </c>
      <c r="L39" s="258">
        <f t="shared" si="1"/>
        <v>0</v>
      </c>
      <c r="M39" s="258">
        <v>961933.0</v>
      </c>
      <c r="N39" s="258">
        <v>755000.0</v>
      </c>
      <c r="O39" s="258">
        <v>0.0</v>
      </c>
      <c r="P39" s="258">
        <v>0.0</v>
      </c>
      <c r="Q39" s="258">
        <f t="shared" si="10"/>
        <v>206933</v>
      </c>
      <c r="R39" s="258">
        <f>Q39</f>
        <v>206933</v>
      </c>
      <c r="S39" s="258">
        <f t="shared" si="4"/>
        <v>0</v>
      </c>
      <c r="T39" s="258"/>
      <c r="U39" s="259"/>
    </row>
    <row r="40">
      <c r="A40" s="248" t="s">
        <v>761</v>
      </c>
      <c r="B40" s="250"/>
      <c r="C40" s="322" t="s">
        <v>924</v>
      </c>
      <c r="D40" s="251">
        <v>46264.0</v>
      </c>
      <c r="E40" s="252" t="s">
        <v>764</v>
      </c>
      <c r="F40" s="253" t="s">
        <v>695</v>
      </c>
      <c r="G40" s="254" t="s">
        <v>747</v>
      </c>
      <c r="H40" s="255" t="s">
        <v>213</v>
      </c>
      <c r="I40" s="256" t="s">
        <v>102</v>
      </c>
      <c r="J40" s="256" t="s">
        <v>868</v>
      </c>
      <c r="K40" s="257">
        <v>137607.88</v>
      </c>
      <c r="L40" s="258">
        <f t="shared" si="1"/>
        <v>0</v>
      </c>
      <c r="M40" s="258">
        <v>137607.88</v>
      </c>
      <c r="N40" s="258">
        <v>134855.72</v>
      </c>
      <c r="O40" s="258">
        <v>0.0</v>
      </c>
      <c r="P40" s="258">
        <v>2752.16</v>
      </c>
      <c r="Q40" s="258">
        <f t="shared" si="10"/>
        <v>0</v>
      </c>
      <c r="R40" s="258"/>
      <c r="S40" s="258">
        <f t="shared" si="4"/>
        <v>0</v>
      </c>
      <c r="T40" s="258"/>
      <c r="U40" s="259"/>
    </row>
    <row r="41">
      <c r="A41" s="248" t="s">
        <v>822</v>
      </c>
      <c r="B41" s="249"/>
      <c r="C41" s="329"/>
      <c r="D41" s="251"/>
      <c r="E41" s="277"/>
      <c r="F41" s="253" t="s">
        <v>695</v>
      </c>
      <c r="G41" s="254" t="s">
        <v>747</v>
      </c>
      <c r="H41" s="280" t="s">
        <v>419</v>
      </c>
      <c r="I41" s="256" t="s">
        <v>71</v>
      </c>
      <c r="J41" s="265" t="s">
        <v>480</v>
      </c>
      <c r="K41" s="257">
        <v>1117361.24</v>
      </c>
      <c r="L41" s="258">
        <f t="shared" si="1"/>
        <v>0</v>
      </c>
      <c r="M41" s="258">
        <v>1117361.24</v>
      </c>
      <c r="N41" s="258">
        <v>340997.98</v>
      </c>
      <c r="O41" s="258">
        <v>0.0</v>
      </c>
      <c r="P41" s="258">
        <v>22347.22</v>
      </c>
      <c r="Q41" s="258">
        <f t="shared" si="10"/>
        <v>754016.04</v>
      </c>
      <c r="R41" s="258">
        <v>754016.04</v>
      </c>
      <c r="S41" s="258">
        <f t="shared" si="4"/>
        <v>0</v>
      </c>
      <c r="T41" s="258"/>
      <c r="U41" s="259"/>
    </row>
    <row r="42">
      <c r="A42" s="248" t="s">
        <v>822</v>
      </c>
      <c r="B42" s="249"/>
      <c r="C42" s="250"/>
      <c r="D42" s="251"/>
      <c r="E42" s="277"/>
      <c r="F42" s="253" t="s">
        <v>695</v>
      </c>
      <c r="G42" s="254" t="s">
        <v>697</v>
      </c>
      <c r="H42" s="280" t="s">
        <v>419</v>
      </c>
      <c r="I42" s="256" t="s">
        <v>71</v>
      </c>
      <c r="J42" s="265" t="s">
        <v>454</v>
      </c>
      <c r="K42" s="257">
        <v>1552418.47</v>
      </c>
      <c r="L42" s="258">
        <f t="shared" si="1"/>
        <v>0</v>
      </c>
      <c r="M42" s="258">
        <v>1552418.47</v>
      </c>
      <c r="N42" s="258">
        <v>0.0</v>
      </c>
      <c r="O42" s="258">
        <v>0.0</v>
      </c>
      <c r="P42" s="258">
        <v>0.0</v>
      </c>
      <c r="Q42" s="258">
        <f t="shared" si="10"/>
        <v>1552418.47</v>
      </c>
      <c r="R42" s="258">
        <v>1552418.47</v>
      </c>
      <c r="S42" s="258">
        <f t="shared" si="4"/>
        <v>0</v>
      </c>
      <c r="T42" s="258"/>
      <c r="U42" s="259"/>
    </row>
    <row r="43">
      <c r="A43" s="248" t="s">
        <v>822</v>
      </c>
      <c r="B43" s="249"/>
      <c r="C43" s="250"/>
      <c r="D43" s="251"/>
      <c r="E43" s="277"/>
      <c r="F43" s="253" t="s">
        <v>695</v>
      </c>
      <c r="G43" s="254" t="s">
        <v>697</v>
      </c>
      <c r="H43" s="280" t="s">
        <v>419</v>
      </c>
      <c r="I43" s="256" t="s">
        <v>71</v>
      </c>
      <c r="J43" s="265" t="s">
        <v>504</v>
      </c>
      <c r="K43" s="257">
        <v>780418.3</v>
      </c>
      <c r="L43" s="258">
        <f t="shared" si="1"/>
        <v>0</v>
      </c>
      <c r="M43" s="258">
        <v>780418.3</v>
      </c>
      <c r="N43" s="258">
        <v>0.0</v>
      </c>
      <c r="O43" s="258">
        <v>0.0</v>
      </c>
      <c r="P43" s="258">
        <v>0.0</v>
      </c>
      <c r="Q43" s="258">
        <f t="shared" si="10"/>
        <v>780418.3</v>
      </c>
      <c r="R43" s="258">
        <v>780418.3</v>
      </c>
      <c r="S43" s="258">
        <f t="shared" si="4"/>
        <v>0</v>
      </c>
      <c r="T43" s="258"/>
      <c r="U43" s="259"/>
    </row>
    <row r="44">
      <c r="A44" s="248" t="s">
        <v>822</v>
      </c>
      <c r="B44" s="249"/>
      <c r="C44" s="250"/>
      <c r="D44" s="251"/>
      <c r="E44" s="277"/>
      <c r="F44" s="253" t="s">
        <v>695</v>
      </c>
      <c r="G44" s="254" t="s">
        <v>697</v>
      </c>
      <c r="H44" s="280" t="s">
        <v>419</v>
      </c>
      <c r="I44" s="256" t="s">
        <v>71</v>
      </c>
      <c r="J44" s="265" t="s">
        <v>471</v>
      </c>
      <c r="K44" s="257">
        <v>2797454.16</v>
      </c>
      <c r="L44" s="258">
        <f t="shared" si="1"/>
        <v>0</v>
      </c>
      <c r="M44" s="258">
        <v>2797454.16</v>
      </c>
      <c r="N44" s="258">
        <v>0.0</v>
      </c>
      <c r="O44" s="258">
        <v>0.0</v>
      </c>
      <c r="P44" s="258">
        <v>0.0</v>
      </c>
      <c r="Q44" s="258">
        <f t="shared" si="10"/>
        <v>2797454.16</v>
      </c>
      <c r="R44" s="258">
        <v>2797454.16</v>
      </c>
      <c r="S44" s="258">
        <f t="shared" si="4"/>
        <v>0</v>
      </c>
      <c r="T44" s="258"/>
      <c r="U44" s="259"/>
    </row>
    <row r="45">
      <c r="A45" s="248" t="s">
        <v>822</v>
      </c>
      <c r="B45" s="249"/>
      <c r="C45" s="250"/>
      <c r="D45" s="251"/>
      <c r="E45" s="277"/>
      <c r="F45" s="253" t="s">
        <v>695</v>
      </c>
      <c r="G45" s="254" t="s">
        <v>697</v>
      </c>
      <c r="H45" s="280" t="s">
        <v>419</v>
      </c>
      <c r="I45" s="256" t="s">
        <v>71</v>
      </c>
      <c r="J45" s="331" t="s">
        <v>447</v>
      </c>
      <c r="K45" s="257">
        <v>3995949.62</v>
      </c>
      <c r="L45" s="258">
        <f t="shared" si="1"/>
        <v>0</v>
      </c>
      <c r="M45" s="258">
        <v>3995949.62</v>
      </c>
      <c r="N45" s="258">
        <v>0.0</v>
      </c>
      <c r="O45" s="258">
        <v>0.0</v>
      </c>
      <c r="P45" s="258">
        <v>0.0</v>
      </c>
      <c r="Q45" s="258">
        <f t="shared" si="10"/>
        <v>3995949.62</v>
      </c>
      <c r="R45" s="258">
        <v>3995949.62</v>
      </c>
      <c r="S45" s="258">
        <f t="shared" si="4"/>
        <v>0</v>
      </c>
      <c r="T45" s="258"/>
      <c r="U45" s="259"/>
    </row>
    <row r="46">
      <c r="A46" s="248" t="s">
        <v>822</v>
      </c>
      <c r="B46" s="249"/>
      <c r="C46" s="250"/>
      <c r="D46" s="251"/>
      <c r="E46" s="277"/>
      <c r="F46" s="253" t="s">
        <v>695</v>
      </c>
      <c r="G46" s="254" t="s">
        <v>747</v>
      </c>
      <c r="H46" s="280" t="s">
        <v>419</v>
      </c>
      <c r="I46" s="256" t="s">
        <v>71</v>
      </c>
      <c r="J46" s="331" t="s">
        <v>517</v>
      </c>
      <c r="K46" s="257">
        <v>2370928.17</v>
      </c>
      <c r="L46" s="258">
        <f t="shared" si="1"/>
        <v>0</v>
      </c>
      <c r="M46" s="258">
        <v>2370928.17</v>
      </c>
      <c r="N46" s="258">
        <v>800000.0</v>
      </c>
      <c r="O46" s="258">
        <v>0.0</v>
      </c>
      <c r="P46" s="258">
        <v>0.0</v>
      </c>
      <c r="Q46" s="258">
        <f t="shared" si="10"/>
        <v>1570928.17</v>
      </c>
      <c r="R46" s="258">
        <f>Q46</f>
        <v>1570928.17</v>
      </c>
      <c r="S46" s="258">
        <f t="shared" si="4"/>
        <v>0</v>
      </c>
      <c r="T46" s="258"/>
      <c r="U46" s="259"/>
    </row>
    <row r="47">
      <c r="A47" s="248" t="s">
        <v>822</v>
      </c>
      <c r="B47" s="249"/>
      <c r="C47" s="250"/>
      <c r="D47" s="251"/>
      <c r="E47" s="277"/>
      <c r="F47" s="253" t="s">
        <v>695</v>
      </c>
      <c r="G47" s="254" t="s">
        <v>747</v>
      </c>
      <c r="H47" s="280" t="s">
        <v>419</v>
      </c>
      <c r="I47" s="256" t="s">
        <v>71</v>
      </c>
      <c r="J47" s="331" t="s">
        <v>439</v>
      </c>
      <c r="K47" s="257">
        <v>628969.31</v>
      </c>
      <c r="L47" s="258">
        <f t="shared" si="1"/>
        <v>0</v>
      </c>
      <c r="M47" s="258">
        <v>628969.31</v>
      </c>
      <c r="N47" s="258">
        <v>0.0</v>
      </c>
      <c r="O47" s="258">
        <v>0.0</v>
      </c>
      <c r="P47" s="258">
        <v>0.0</v>
      </c>
      <c r="Q47" s="258">
        <f t="shared" si="10"/>
        <v>628969.31</v>
      </c>
      <c r="R47" s="258">
        <v>628969.31</v>
      </c>
      <c r="S47" s="258">
        <f t="shared" si="4"/>
        <v>0</v>
      </c>
      <c r="T47" s="258"/>
      <c r="U47" s="259"/>
    </row>
    <row r="48">
      <c r="A48" s="248" t="s">
        <v>822</v>
      </c>
      <c r="B48" s="249"/>
      <c r="C48" s="250" t="s">
        <v>993</v>
      </c>
      <c r="D48" s="251"/>
      <c r="E48" s="277"/>
      <c r="F48" s="253" t="s">
        <v>695</v>
      </c>
      <c r="G48" s="254" t="s">
        <v>747</v>
      </c>
      <c r="H48" s="280" t="s">
        <v>419</v>
      </c>
      <c r="I48" s="256" t="s">
        <v>71</v>
      </c>
      <c r="J48" s="336" t="s">
        <v>431</v>
      </c>
      <c r="K48" s="257">
        <v>2742907.31</v>
      </c>
      <c r="L48" s="258">
        <f t="shared" si="1"/>
        <v>0</v>
      </c>
      <c r="M48" s="258">
        <v>2742907.31</v>
      </c>
      <c r="N48" s="258">
        <v>0.0</v>
      </c>
      <c r="O48" s="258">
        <v>0.0</v>
      </c>
      <c r="P48" s="258">
        <v>0.0</v>
      </c>
      <c r="Q48" s="258">
        <f t="shared" si="10"/>
        <v>2742907.31</v>
      </c>
      <c r="R48" s="258">
        <v>2742907.31</v>
      </c>
      <c r="S48" s="258">
        <f t="shared" si="4"/>
        <v>0</v>
      </c>
      <c r="T48" s="258"/>
      <c r="U48" s="259"/>
    </row>
    <row r="49">
      <c r="A49" s="248" t="s">
        <v>822</v>
      </c>
      <c r="B49" s="249"/>
      <c r="C49" s="249"/>
      <c r="D49" s="251"/>
      <c r="E49" s="277"/>
      <c r="F49" s="253" t="s">
        <v>695</v>
      </c>
      <c r="G49" s="254" t="s">
        <v>697</v>
      </c>
      <c r="H49" s="280" t="s">
        <v>419</v>
      </c>
      <c r="I49" s="256" t="s">
        <v>71</v>
      </c>
      <c r="J49" s="265" t="s">
        <v>459</v>
      </c>
      <c r="K49" s="257">
        <v>1203179.41</v>
      </c>
      <c r="L49" s="258">
        <f t="shared" si="1"/>
        <v>0</v>
      </c>
      <c r="M49" s="258">
        <v>1203179.41</v>
      </c>
      <c r="N49" s="258">
        <v>0.0</v>
      </c>
      <c r="O49" s="258">
        <v>0.0</v>
      </c>
      <c r="P49" s="258">
        <v>0.0</v>
      </c>
      <c r="Q49" s="258">
        <f t="shared" si="10"/>
        <v>1203179.41</v>
      </c>
      <c r="R49" s="258">
        <v>1203179.41</v>
      </c>
      <c r="S49" s="258">
        <f t="shared" si="4"/>
        <v>0</v>
      </c>
      <c r="T49" s="258"/>
      <c r="U49" s="259"/>
    </row>
    <row r="50">
      <c r="A50" s="248" t="s">
        <v>822</v>
      </c>
      <c r="B50" s="249"/>
      <c r="C50" s="250"/>
      <c r="D50" s="251"/>
      <c r="E50" s="277"/>
      <c r="F50" s="253" t="s">
        <v>695</v>
      </c>
      <c r="G50" s="254" t="s">
        <v>747</v>
      </c>
      <c r="H50" s="280" t="s">
        <v>419</v>
      </c>
      <c r="I50" s="256" t="s">
        <v>71</v>
      </c>
      <c r="J50" s="256" t="s">
        <v>491</v>
      </c>
      <c r="K50" s="257">
        <v>104545.45</v>
      </c>
      <c r="L50" s="258">
        <f t="shared" si="1"/>
        <v>0</v>
      </c>
      <c r="M50" s="258">
        <v>104545.45</v>
      </c>
      <c r="N50" s="258">
        <v>0.0</v>
      </c>
      <c r="O50" s="258">
        <v>0.0</v>
      </c>
      <c r="P50" s="258">
        <v>0.0</v>
      </c>
      <c r="Q50" s="258">
        <f t="shared" si="10"/>
        <v>104545.45</v>
      </c>
      <c r="R50" s="258">
        <v>104545.45</v>
      </c>
      <c r="S50" s="258">
        <f t="shared" si="4"/>
        <v>0</v>
      </c>
      <c r="T50" s="258"/>
      <c r="U50" s="259"/>
    </row>
    <row r="51">
      <c r="A51" s="248" t="s">
        <v>822</v>
      </c>
      <c r="B51" s="249"/>
      <c r="C51" s="329"/>
      <c r="D51" s="251"/>
      <c r="E51" s="277"/>
      <c r="F51" s="253" t="s">
        <v>695</v>
      </c>
      <c r="G51" s="254" t="s">
        <v>697</v>
      </c>
      <c r="H51" s="280" t="s">
        <v>74</v>
      </c>
      <c r="I51" s="256" t="s">
        <v>71</v>
      </c>
      <c r="J51" s="265" t="s">
        <v>557</v>
      </c>
      <c r="K51" s="257">
        <v>3344889.98</v>
      </c>
      <c r="L51" s="258">
        <f t="shared" si="1"/>
        <v>0</v>
      </c>
      <c r="M51" s="258">
        <f t="shared" ref="M51:M53" si="11">K51</f>
        <v>3344889.98</v>
      </c>
      <c r="N51" s="258">
        <v>0.0</v>
      </c>
      <c r="O51" s="258">
        <v>0.0</v>
      </c>
      <c r="P51" s="258">
        <v>0.0</v>
      </c>
      <c r="Q51" s="258">
        <f t="shared" si="10"/>
        <v>3344889.98</v>
      </c>
      <c r="R51" s="258"/>
      <c r="S51" s="258">
        <f t="shared" si="4"/>
        <v>3344889.98</v>
      </c>
      <c r="T51" s="258"/>
      <c r="U51" s="259"/>
    </row>
    <row r="52">
      <c r="A52" s="248" t="s">
        <v>683</v>
      </c>
      <c r="B52" s="250"/>
      <c r="C52" s="292"/>
      <c r="D52" s="286"/>
      <c r="E52" s="252" t="s">
        <v>721</v>
      </c>
      <c r="F52" s="253" t="s">
        <v>695</v>
      </c>
      <c r="G52" s="254" t="s">
        <v>697</v>
      </c>
      <c r="H52" s="254" t="s">
        <v>293</v>
      </c>
      <c r="I52" s="256" t="s">
        <v>71</v>
      </c>
      <c r="J52" s="256" t="s">
        <v>1013</v>
      </c>
      <c r="K52" s="257">
        <v>1214412.76</v>
      </c>
      <c r="L52" s="258">
        <f t="shared" si="1"/>
        <v>0</v>
      </c>
      <c r="M52" s="258">
        <f t="shared" si="11"/>
        <v>1214412.76</v>
      </c>
      <c r="N52" s="258">
        <v>0.0</v>
      </c>
      <c r="O52" s="258">
        <v>0.0</v>
      </c>
      <c r="P52" s="258">
        <v>0.0</v>
      </c>
      <c r="Q52" s="258">
        <f t="shared" si="10"/>
        <v>1214412.76</v>
      </c>
      <c r="R52" s="258">
        <f t="shared" ref="R52:R53" si="12">Q52</f>
        <v>1214412.76</v>
      </c>
      <c r="S52" s="258">
        <f t="shared" si="4"/>
        <v>0</v>
      </c>
      <c r="T52" s="258"/>
      <c r="U52" s="259"/>
    </row>
    <row r="53">
      <c r="A53" s="344" t="s">
        <v>683</v>
      </c>
      <c r="B53" s="250"/>
      <c r="C53" s="346"/>
      <c r="D53" s="347"/>
      <c r="E53" s="350" t="s">
        <v>721</v>
      </c>
      <c r="F53" s="253" t="s">
        <v>695</v>
      </c>
      <c r="G53" s="254" t="s">
        <v>747</v>
      </c>
      <c r="H53" s="254" t="s">
        <v>293</v>
      </c>
      <c r="I53" s="256" t="s">
        <v>71</v>
      </c>
      <c r="J53" s="256" t="s">
        <v>1017</v>
      </c>
      <c r="K53" s="352">
        <v>4449116.42</v>
      </c>
      <c r="L53" s="353">
        <f t="shared" si="1"/>
        <v>0</v>
      </c>
      <c r="M53" s="353">
        <f t="shared" si="11"/>
        <v>4449116.42</v>
      </c>
      <c r="N53" s="353">
        <v>3000000.0</v>
      </c>
      <c r="O53" s="258">
        <v>0.0</v>
      </c>
      <c r="P53" s="353">
        <v>222455.83</v>
      </c>
      <c r="Q53" s="353">
        <f t="shared" si="10"/>
        <v>1226660.59</v>
      </c>
      <c r="R53" s="353">
        <f t="shared" si="12"/>
        <v>1226660.59</v>
      </c>
      <c r="S53" s="353">
        <f t="shared" si="4"/>
        <v>0</v>
      </c>
      <c r="T53" s="353"/>
      <c r="U53" s="354"/>
    </row>
    <row r="54">
      <c r="A54" s="355" t="s">
        <v>260</v>
      </c>
      <c r="B54" s="356"/>
      <c r="C54" s="357" t="s">
        <v>1018</v>
      </c>
      <c r="D54" s="358">
        <v>46196.0</v>
      </c>
      <c r="E54" s="361">
        <v>36.0</v>
      </c>
      <c r="F54" s="362" t="s">
        <v>695</v>
      </c>
      <c r="G54" s="363" t="s">
        <v>697</v>
      </c>
      <c r="H54" s="364" t="s">
        <v>1019</v>
      </c>
      <c r="I54" s="363" t="s">
        <v>228</v>
      </c>
      <c r="J54" s="364" t="s">
        <v>1020</v>
      </c>
      <c r="K54" s="365">
        <v>1850000.0</v>
      </c>
      <c r="L54" s="353">
        <v>0.0</v>
      </c>
      <c r="M54" s="353">
        <v>1850000.0</v>
      </c>
      <c r="N54" s="353"/>
      <c r="O54" s="353"/>
      <c r="P54" s="353"/>
      <c r="Q54" s="353">
        <f t="shared" si="10"/>
        <v>1850000</v>
      </c>
      <c r="R54" s="353">
        <v>1850000.0</v>
      </c>
      <c r="S54" s="353">
        <f t="shared" si="4"/>
        <v>0</v>
      </c>
      <c r="T54" s="368"/>
      <c r="U54" s="369"/>
    </row>
    <row r="55" ht="14.25" customHeight="1">
      <c r="A55" s="355" t="s">
        <v>260</v>
      </c>
      <c r="B55" s="356"/>
      <c r="C55" s="357" t="s">
        <v>1021</v>
      </c>
      <c r="D55" s="358">
        <v>46231.0</v>
      </c>
      <c r="E55" s="361">
        <v>22.0</v>
      </c>
      <c r="F55" s="362" t="s">
        <v>695</v>
      </c>
      <c r="G55" s="363" t="s">
        <v>697</v>
      </c>
      <c r="H55" s="364" t="s">
        <v>1022</v>
      </c>
      <c r="I55" s="363" t="s">
        <v>228</v>
      </c>
      <c r="J55" s="364" t="s">
        <v>1023</v>
      </c>
      <c r="K55" s="365">
        <v>1992450.0</v>
      </c>
      <c r="L55" s="353">
        <f t="shared" ref="L55:L57" si="13">K55-M55</f>
        <v>199245</v>
      </c>
      <c r="M55" s="353">
        <v>1793205.0</v>
      </c>
      <c r="N55" s="353"/>
      <c r="O55" s="373">
        <v>139932.8</v>
      </c>
      <c r="P55" s="353"/>
      <c r="Q55" s="353">
        <f t="shared" ref="Q55:Q56" si="14">M55-O55</f>
        <v>1653272.2</v>
      </c>
      <c r="R55" s="353">
        <v>1653272.2</v>
      </c>
      <c r="S55" s="353">
        <f t="shared" si="4"/>
        <v>0</v>
      </c>
      <c r="T55" s="368"/>
      <c r="U55" s="369"/>
    </row>
    <row r="56">
      <c r="A56" s="375" t="s">
        <v>260</v>
      </c>
      <c r="B56" s="356"/>
      <c r="C56" s="357" t="s">
        <v>1027</v>
      </c>
      <c r="D56" s="358">
        <v>46226.0</v>
      </c>
      <c r="E56" s="361">
        <v>6.0</v>
      </c>
      <c r="F56" s="362" t="s">
        <v>695</v>
      </c>
      <c r="G56" s="363" t="s">
        <v>697</v>
      </c>
      <c r="H56" s="363" t="s">
        <v>1028</v>
      </c>
      <c r="I56" s="363" t="s">
        <v>228</v>
      </c>
      <c r="J56" s="364" t="s">
        <v>1029</v>
      </c>
      <c r="K56" s="365">
        <v>1250000.0</v>
      </c>
      <c r="L56" s="353">
        <f t="shared" si="13"/>
        <v>62500</v>
      </c>
      <c r="M56" s="353">
        <v>1187500.0</v>
      </c>
      <c r="N56" s="353"/>
      <c r="O56" s="353">
        <v>350000.0</v>
      </c>
      <c r="P56" s="353"/>
      <c r="Q56" s="353">
        <f t="shared" si="14"/>
        <v>837500</v>
      </c>
      <c r="R56" s="353">
        <v>837500.0</v>
      </c>
      <c r="S56" s="353">
        <f t="shared" si="4"/>
        <v>0</v>
      </c>
      <c r="T56" s="368"/>
      <c r="U56" s="369"/>
    </row>
    <row r="57">
      <c r="A57" s="375" t="s">
        <v>260</v>
      </c>
      <c r="B57" s="356"/>
      <c r="C57" s="357" t="s">
        <v>1034</v>
      </c>
      <c r="D57" s="358">
        <v>46193.0</v>
      </c>
      <c r="E57" s="378">
        <v>46059.0</v>
      </c>
      <c r="F57" s="362" t="s">
        <v>1035</v>
      </c>
      <c r="G57" s="363" t="s">
        <v>697</v>
      </c>
      <c r="H57" s="363" t="s">
        <v>1028</v>
      </c>
      <c r="I57" s="363" t="s">
        <v>228</v>
      </c>
      <c r="J57" s="364" t="s">
        <v>1029</v>
      </c>
      <c r="K57" s="365">
        <v>3750000.0</v>
      </c>
      <c r="L57" s="353">
        <f t="shared" si="13"/>
        <v>3750000</v>
      </c>
      <c r="M57" s="353"/>
      <c r="N57" s="353"/>
      <c r="O57" s="353"/>
      <c r="P57" s="353"/>
      <c r="Q57" s="353">
        <f>M57-N57-P57</f>
        <v>0</v>
      </c>
      <c r="R57" s="353"/>
      <c r="S57" s="353">
        <f t="shared" si="4"/>
        <v>0</v>
      </c>
      <c r="T57" s="368"/>
      <c r="U57" s="369"/>
    </row>
    <row r="58">
      <c r="A58" s="382" t="s">
        <v>260</v>
      </c>
      <c r="B58" s="383"/>
      <c r="C58" s="385" t="s">
        <v>1048</v>
      </c>
      <c r="D58" s="386">
        <v>46193.0</v>
      </c>
      <c r="E58" s="387">
        <v>14.0</v>
      </c>
      <c r="F58" s="388" t="s">
        <v>695</v>
      </c>
      <c r="G58" s="389" t="s">
        <v>1057</v>
      </c>
      <c r="H58" s="389" t="s">
        <v>1058</v>
      </c>
      <c r="I58" s="389" t="s">
        <v>228</v>
      </c>
      <c r="J58" s="390" t="s">
        <v>1059</v>
      </c>
      <c r="K58" s="391">
        <v>4017176.08</v>
      </c>
      <c r="L58" s="392">
        <v>0.0</v>
      </c>
      <c r="M58" s="353">
        <f>K58</f>
        <v>4017176.08</v>
      </c>
      <c r="N58" s="393"/>
      <c r="O58" s="393"/>
      <c r="P58" s="393"/>
      <c r="Q58" s="394">
        <f t="shared" ref="Q58:Q59" si="15">K58-O58</f>
        <v>4017176.08</v>
      </c>
      <c r="R58" s="373">
        <v>4017176.08</v>
      </c>
      <c r="S58" s="353">
        <f t="shared" si="4"/>
        <v>0</v>
      </c>
      <c r="T58" s="368"/>
      <c r="U58" s="395"/>
    </row>
    <row r="59">
      <c r="A59" s="375" t="s">
        <v>260</v>
      </c>
      <c r="B59" s="356"/>
      <c r="C59" s="396" t="s">
        <v>1065</v>
      </c>
      <c r="D59" s="358">
        <v>46198.0</v>
      </c>
      <c r="E59" s="387">
        <v>15.0</v>
      </c>
      <c r="F59" s="362" t="s">
        <v>695</v>
      </c>
      <c r="G59" s="363" t="s">
        <v>697</v>
      </c>
      <c r="H59" s="389" t="s">
        <v>1058</v>
      </c>
      <c r="I59" s="363" t="s">
        <v>228</v>
      </c>
      <c r="J59" s="364" t="s">
        <v>1070</v>
      </c>
      <c r="K59" s="365">
        <v>2630216.13</v>
      </c>
      <c r="L59" s="392">
        <v>0.0</v>
      </c>
      <c r="M59" s="353">
        <v>2630216.13</v>
      </c>
      <c r="N59" s="353"/>
      <c r="O59" s="353">
        <v>100000.0</v>
      </c>
      <c r="P59" s="353"/>
      <c r="Q59" s="394">
        <f t="shared" si="15"/>
        <v>2530216.13</v>
      </c>
      <c r="R59" s="353">
        <v>2530216.13</v>
      </c>
      <c r="S59" s="353">
        <f t="shared" si="4"/>
        <v>0</v>
      </c>
      <c r="T59" s="368"/>
      <c r="U59" s="369"/>
    </row>
    <row r="60">
      <c r="A60" s="397" t="s">
        <v>822</v>
      </c>
      <c r="B60" s="398"/>
      <c r="C60" s="399"/>
      <c r="D60" s="400">
        <v>46205.0</v>
      </c>
      <c r="E60" s="401"/>
      <c r="F60" s="402" t="s">
        <v>695</v>
      </c>
      <c r="G60" s="403" t="s">
        <v>1073</v>
      </c>
      <c r="H60" s="404" t="s">
        <v>1074</v>
      </c>
      <c r="I60" s="405" t="s">
        <v>228</v>
      </c>
      <c r="J60" s="405" t="s">
        <v>1077</v>
      </c>
      <c r="K60" s="257">
        <v>1050000.0</v>
      </c>
      <c r="L60" s="353">
        <f t="shared" ref="L60:L77" si="16">K60-M60</f>
        <v>0</v>
      </c>
      <c r="M60" s="392">
        <f t="shared" ref="M60:M61" si="17">K60</f>
        <v>1050000</v>
      </c>
      <c r="N60" s="258">
        <v>0.0</v>
      </c>
      <c r="O60" s="353">
        <v>50000.0</v>
      </c>
      <c r="P60" s="258">
        <v>0.0</v>
      </c>
      <c r="Q60" s="353">
        <f t="shared" ref="Q60:Q61" si="18">M60-N60-P60-O60</f>
        <v>1000000</v>
      </c>
      <c r="R60" s="353">
        <v>1000000.0</v>
      </c>
      <c r="S60" s="353">
        <f t="shared" si="4"/>
        <v>0</v>
      </c>
      <c r="T60" s="354"/>
      <c r="U60" s="354"/>
    </row>
    <row r="61">
      <c r="A61" s="397" t="s">
        <v>822</v>
      </c>
      <c r="B61" s="398"/>
      <c r="C61" s="399"/>
      <c r="D61" s="400"/>
      <c r="E61" s="401"/>
      <c r="F61" s="402" t="s">
        <v>695</v>
      </c>
      <c r="G61" s="403" t="s">
        <v>1073</v>
      </c>
      <c r="H61" s="404" t="s">
        <v>1074</v>
      </c>
      <c r="I61" s="405" t="s">
        <v>228</v>
      </c>
      <c r="J61" s="405" t="s">
        <v>1077</v>
      </c>
      <c r="K61" s="257">
        <v>1050000.0</v>
      </c>
      <c r="L61" s="353">
        <f t="shared" si="16"/>
        <v>0</v>
      </c>
      <c r="M61" s="392">
        <f t="shared" si="17"/>
        <v>1050000</v>
      </c>
      <c r="N61" s="258">
        <v>0.0</v>
      </c>
      <c r="O61" s="353">
        <v>43272.7</v>
      </c>
      <c r="P61" s="258">
        <v>0.0</v>
      </c>
      <c r="Q61" s="353">
        <f t="shared" si="18"/>
        <v>1006727.3</v>
      </c>
      <c r="R61" s="353">
        <f t="shared" ref="R61:R63" si="19">Q61</f>
        <v>1006727.3</v>
      </c>
      <c r="S61" s="353">
        <f t="shared" si="4"/>
        <v>0</v>
      </c>
      <c r="T61" s="354"/>
      <c r="U61" s="354"/>
    </row>
    <row r="62">
      <c r="A62" s="344" t="s">
        <v>822</v>
      </c>
      <c r="B62" s="407"/>
      <c r="C62" s="408"/>
      <c r="D62" s="409"/>
      <c r="E62" s="410"/>
      <c r="F62" s="253" t="s">
        <v>695</v>
      </c>
      <c r="G62" s="254" t="s">
        <v>697</v>
      </c>
      <c r="H62" s="413" t="s">
        <v>237</v>
      </c>
      <c r="I62" s="256" t="s">
        <v>161</v>
      </c>
      <c r="J62" s="256" t="s">
        <v>655</v>
      </c>
      <c r="K62" s="257">
        <v>1102215.14</v>
      </c>
      <c r="L62" s="353">
        <f t="shared" si="16"/>
        <v>0</v>
      </c>
      <c r="M62" s="353">
        <v>1102215.14</v>
      </c>
      <c r="N62" s="258">
        <v>0.0</v>
      </c>
      <c r="O62" s="258">
        <v>0.0</v>
      </c>
      <c r="P62" s="258">
        <v>0.0</v>
      </c>
      <c r="Q62" s="353">
        <f t="shared" ref="Q62:Q77" si="20">M62-N62-P62</f>
        <v>1102215.14</v>
      </c>
      <c r="R62" s="353">
        <f t="shared" si="19"/>
        <v>1102215.14</v>
      </c>
      <c r="S62" s="353">
        <f t="shared" si="4"/>
        <v>0</v>
      </c>
      <c r="T62" s="353"/>
      <c r="U62" s="354"/>
    </row>
    <row r="63">
      <c r="A63" s="344" t="s">
        <v>822</v>
      </c>
      <c r="B63" s="407"/>
      <c r="C63" s="418"/>
      <c r="D63" s="409"/>
      <c r="E63" s="410"/>
      <c r="F63" s="253" t="s">
        <v>695</v>
      </c>
      <c r="G63" s="254" t="s">
        <v>697</v>
      </c>
      <c r="H63" s="413" t="s">
        <v>237</v>
      </c>
      <c r="I63" s="256" t="s">
        <v>161</v>
      </c>
      <c r="J63" s="419" t="s">
        <v>613</v>
      </c>
      <c r="K63" s="257">
        <v>1487004.38</v>
      </c>
      <c r="L63" s="353">
        <f t="shared" si="16"/>
        <v>0</v>
      </c>
      <c r="M63" s="353">
        <v>1487004.38</v>
      </c>
      <c r="N63" s="258">
        <v>0.0</v>
      </c>
      <c r="O63" s="258">
        <v>0.0</v>
      </c>
      <c r="P63" s="258">
        <v>0.0</v>
      </c>
      <c r="Q63" s="353">
        <f t="shared" si="20"/>
        <v>1487004.38</v>
      </c>
      <c r="R63" s="353">
        <f t="shared" si="19"/>
        <v>1487004.38</v>
      </c>
      <c r="S63" s="353">
        <f t="shared" si="4"/>
        <v>0</v>
      </c>
      <c r="T63" s="353"/>
      <c r="U63" s="354"/>
    </row>
    <row r="64">
      <c r="A64" s="344" t="s">
        <v>822</v>
      </c>
      <c r="B64" s="407"/>
      <c r="C64" s="422"/>
      <c r="D64" s="409"/>
      <c r="E64" s="410"/>
      <c r="F64" s="253" t="s">
        <v>695</v>
      </c>
      <c r="G64" s="254" t="s">
        <v>747</v>
      </c>
      <c r="H64" s="413" t="s">
        <v>237</v>
      </c>
      <c r="I64" s="256" t="s">
        <v>161</v>
      </c>
      <c r="J64" s="419" t="s">
        <v>646</v>
      </c>
      <c r="K64" s="257">
        <v>478693.62</v>
      </c>
      <c r="L64" s="353">
        <f t="shared" si="16"/>
        <v>0</v>
      </c>
      <c r="M64" s="353">
        <v>478693.62</v>
      </c>
      <c r="N64" s="353">
        <v>478693.62</v>
      </c>
      <c r="O64" s="258">
        <v>0.0</v>
      </c>
      <c r="P64" s="258">
        <v>0.0</v>
      </c>
      <c r="Q64" s="353">
        <f t="shared" si="20"/>
        <v>0</v>
      </c>
      <c r="R64" s="353">
        <v>0.0</v>
      </c>
      <c r="S64" s="353">
        <f t="shared" si="4"/>
        <v>0</v>
      </c>
      <c r="T64" s="353"/>
      <c r="U64" s="354"/>
    </row>
    <row r="65">
      <c r="A65" s="344" t="s">
        <v>822</v>
      </c>
      <c r="B65" s="407"/>
      <c r="C65" s="407"/>
      <c r="D65" s="409"/>
      <c r="E65" s="410"/>
      <c r="F65" s="253" t="s">
        <v>695</v>
      </c>
      <c r="G65" s="254" t="s">
        <v>697</v>
      </c>
      <c r="H65" s="413" t="s">
        <v>237</v>
      </c>
      <c r="I65" s="256" t="s">
        <v>161</v>
      </c>
      <c r="J65" s="419" t="s">
        <v>679</v>
      </c>
      <c r="K65" s="257">
        <v>975146.98</v>
      </c>
      <c r="L65" s="353">
        <f t="shared" si="16"/>
        <v>0</v>
      </c>
      <c r="M65" s="353">
        <v>975146.98</v>
      </c>
      <c r="N65" s="258">
        <v>0.0</v>
      </c>
      <c r="O65" s="258">
        <v>0.0</v>
      </c>
      <c r="P65" s="258">
        <v>0.0</v>
      </c>
      <c r="Q65" s="353">
        <f t="shared" si="20"/>
        <v>975146.98</v>
      </c>
      <c r="R65" s="353">
        <v>975146.98</v>
      </c>
      <c r="S65" s="353">
        <f t="shared" si="4"/>
        <v>0</v>
      </c>
      <c r="T65" s="353" t="s">
        <v>1115</v>
      </c>
      <c r="U65" s="354"/>
    </row>
    <row r="66">
      <c r="A66" s="344" t="s">
        <v>822</v>
      </c>
      <c r="B66" s="407"/>
      <c r="C66" s="407"/>
      <c r="D66" s="409"/>
      <c r="E66" s="410"/>
      <c r="F66" s="253" t="s">
        <v>695</v>
      </c>
      <c r="G66" s="254" t="s">
        <v>697</v>
      </c>
      <c r="H66" s="413" t="s">
        <v>237</v>
      </c>
      <c r="I66" s="256" t="s">
        <v>161</v>
      </c>
      <c r="J66" s="419" t="s">
        <v>596</v>
      </c>
      <c r="K66" s="257">
        <v>1357433.24</v>
      </c>
      <c r="L66" s="353">
        <f t="shared" si="16"/>
        <v>0</v>
      </c>
      <c r="M66" s="353">
        <v>1357433.24</v>
      </c>
      <c r="N66" s="258">
        <v>0.0</v>
      </c>
      <c r="O66" s="258">
        <v>0.0</v>
      </c>
      <c r="P66" s="258">
        <v>0.0</v>
      </c>
      <c r="Q66" s="353">
        <f t="shared" si="20"/>
        <v>1357433.24</v>
      </c>
      <c r="R66" s="353">
        <f>Q66</f>
        <v>1357433.24</v>
      </c>
      <c r="S66" s="353">
        <f t="shared" si="4"/>
        <v>0</v>
      </c>
      <c r="T66" s="353"/>
      <c r="U66" s="354"/>
    </row>
    <row r="67" ht="15.0" customHeight="1">
      <c r="A67" s="344" t="s">
        <v>822</v>
      </c>
      <c r="B67" s="407"/>
      <c r="C67" s="418"/>
      <c r="D67" s="409"/>
      <c r="E67" s="410"/>
      <c r="F67" s="253" t="s">
        <v>695</v>
      </c>
      <c r="G67" s="254" t="s">
        <v>697</v>
      </c>
      <c r="H67" s="413" t="s">
        <v>237</v>
      </c>
      <c r="I67" s="256" t="s">
        <v>161</v>
      </c>
      <c r="J67" s="426" t="s">
        <v>638</v>
      </c>
      <c r="K67" s="257">
        <v>1752431.37</v>
      </c>
      <c r="L67" s="353">
        <f t="shared" si="16"/>
        <v>0</v>
      </c>
      <c r="M67" s="353">
        <v>1752431.37</v>
      </c>
      <c r="N67" s="258">
        <v>0.0</v>
      </c>
      <c r="O67" s="258">
        <v>0.0</v>
      </c>
      <c r="P67" s="258">
        <v>0.0</v>
      </c>
      <c r="Q67" s="353">
        <f t="shared" si="20"/>
        <v>1752431.37</v>
      </c>
      <c r="R67" s="353">
        <v>1752431.37</v>
      </c>
      <c r="S67" s="353">
        <f t="shared" si="4"/>
        <v>0</v>
      </c>
      <c r="T67" s="353" t="s">
        <v>1115</v>
      </c>
      <c r="U67" s="354"/>
    </row>
    <row r="68" ht="15.0" customHeight="1">
      <c r="A68" s="344" t="s">
        <v>822</v>
      </c>
      <c r="B68" s="407"/>
      <c r="C68" s="422"/>
      <c r="D68" s="409"/>
      <c r="E68" s="410"/>
      <c r="F68" s="253" t="s">
        <v>695</v>
      </c>
      <c r="G68" s="254" t="s">
        <v>747</v>
      </c>
      <c r="H68" s="413" t="s">
        <v>237</v>
      </c>
      <c r="I68" s="256" t="s">
        <v>161</v>
      </c>
      <c r="J68" s="428" t="s">
        <v>580</v>
      </c>
      <c r="K68" s="257">
        <v>430432.0</v>
      </c>
      <c r="L68" s="353">
        <f t="shared" si="16"/>
        <v>0</v>
      </c>
      <c r="M68" s="353">
        <v>430432.0</v>
      </c>
      <c r="N68" s="353">
        <v>390000.0</v>
      </c>
      <c r="O68" s="258">
        <v>0.0</v>
      </c>
      <c r="P68" s="353">
        <v>8608.64</v>
      </c>
      <c r="Q68" s="353">
        <f t="shared" si="20"/>
        <v>31823.36</v>
      </c>
      <c r="R68" s="353">
        <v>31823.36</v>
      </c>
      <c r="S68" s="353">
        <f t="shared" si="4"/>
        <v>0</v>
      </c>
      <c r="T68" s="353" t="s">
        <v>1120</v>
      </c>
      <c r="U68" s="354"/>
    </row>
    <row r="69" ht="15.0" customHeight="1">
      <c r="A69" s="248" t="s">
        <v>822</v>
      </c>
      <c r="B69" s="249"/>
      <c r="C69" s="329"/>
      <c r="D69" s="251"/>
      <c r="E69" s="277"/>
      <c r="F69" s="253" t="s">
        <v>695</v>
      </c>
      <c r="G69" s="254" t="s">
        <v>697</v>
      </c>
      <c r="H69" s="413" t="s">
        <v>237</v>
      </c>
      <c r="I69" s="256" t="s">
        <v>161</v>
      </c>
      <c r="J69" s="430" t="s">
        <v>744</v>
      </c>
      <c r="K69" s="257">
        <v>1116030.19</v>
      </c>
      <c r="L69" s="258">
        <f t="shared" si="16"/>
        <v>0</v>
      </c>
      <c r="M69" s="257">
        <v>1116030.19</v>
      </c>
      <c r="N69" s="258">
        <v>0.0</v>
      </c>
      <c r="O69" s="258">
        <v>0.0</v>
      </c>
      <c r="P69" s="258">
        <v>0.0</v>
      </c>
      <c r="Q69" s="353">
        <f t="shared" si="20"/>
        <v>1116030.19</v>
      </c>
      <c r="R69" s="353">
        <f>Q69</f>
        <v>1116030.19</v>
      </c>
      <c r="S69" s="353">
        <f t="shared" si="4"/>
        <v>0</v>
      </c>
      <c r="T69" s="258"/>
      <c r="U69" s="259"/>
    </row>
    <row r="70">
      <c r="A70" s="344" t="s">
        <v>822</v>
      </c>
      <c r="B70" s="407"/>
      <c r="C70" s="407"/>
      <c r="D70" s="409"/>
      <c r="E70" s="410"/>
      <c r="F70" s="253" t="s">
        <v>695</v>
      </c>
      <c r="G70" s="254" t="s">
        <v>747</v>
      </c>
      <c r="H70" s="413" t="s">
        <v>237</v>
      </c>
      <c r="I70" s="256" t="s">
        <v>161</v>
      </c>
      <c r="J70" s="419" t="s">
        <v>610</v>
      </c>
      <c r="K70" s="257">
        <v>136719.09</v>
      </c>
      <c r="L70" s="353">
        <f t="shared" si="16"/>
        <v>0</v>
      </c>
      <c r="M70" s="353">
        <v>136719.09</v>
      </c>
      <c r="N70" s="258">
        <v>0.0</v>
      </c>
      <c r="O70" s="258">
        <v>0.0</v>
      </c>
      <c r="P70" s="258">
        <v>0.0</v>
      </c>
      <c r="Q70" s="353">
        <f t="shared" si="20"/>
        <v>136719.09</v>
      </c>
      <c r="R70" s="353">
        <v>136719.09</v>
      </c>
      <c r="S70" s="353">
        <f t="shared" si="4"/>
        <v>0</v>
      </c>
      <c r="T70" s="353" t="s">
        <v>1115</v>
      </c>
      <c r="U70" s="354"/>
    </row>
    <row r="71">
      <c r="A71" s="344" t="s">
        <v>822</v>
      </c>
      <c r="B71" s="407"/>
      <c r="C71" s="407"/>
      <c r="D71" s="409"/>
      <c r="E71" s="410"/>
      <c r="F71" s="253" t="s">
        <v>695</v>
      </c>
      <c r="G71" s="254" t="s">
        <v>747</v>
      </c>
      <c r="H71" s="413" t="s">
        <v>237</v>
      </c>
      <c r="I71" s="256" t="s">
        <v>161</v>
      </c>
      <c r="J71" s="419" t="s">
        <v>624</v>
      </c>
      <c r="K71" s="257">
        <v>55685.0</v>
      </c>
      <c r="L71" s="353">
        <f t="shared" si="16"/>
        <v>0</v>
      </c>
      <c r="M71" s="353">
        <v>55685.0</v>
      </c>
      <c r="N71" s="258">
        <v>0.0</v>
      </c>
      <c r="O71" s="258">
        <v>0.0</v>
      </c>
      <c r="P71" s="353">
        <v>2784.25</v>
      </c>
      <c r="Q71" s="353">
        <f t="shared" si="20"/>
        <v>52900.75</v>
      </c>
      <c r="R71" s="353">
        <v>52900.75</v>
      </c>
      <c r="S71" s="353">
        <f t="shared" si="4"/>
        <v>0</v>
      </c>
      <c r="T71" s="353" t="s">
        <v>1128</v>
      </c>
      <c r="U71" s="354"/>
    </row>
    <row r="72">
      <c r="A72" s="271"/>
      <c r="B72" s="407"/>
      <c r="C72" s="436"/>
      <c r="D72" s="409"/>
      <c r="E72" s="350" t="s">
        <v>721</v>
      </c>
      <c r="F72" s="253" t="s">
        <v>695</v>
      </c>
      <c r="G72" s="254" t="s">
        <v>747</v>
      </c>
      <c r="H72" s="254" t="s">
        <v>252</v>
      </c>
      <c r="I72" s="256" t="s">
        <v>102</v>
      </c>
      <c r="J72" s="256" t="s">
        <v>1130</v>
      </c>
      <c r="K72" s="352">
        <v>218908.79</v>
      </c>
      <c r="L72" s="353">
        <f t="shared" si="16"/>
        <v>0</v>
      </c>
      <c r="M72" s="353">
        <f t="shared" ref="M72:M75" si="21">K72</f>
        <v>218908.79</v>
      </c>
      <c r="N72" s="353">
        <v>0.0</v>
      </c>
      <c r="O72" s="353">
        <v>0.0</v>
      </c>
      <c r="P72" s="353">
        <v>10945.44</v>
      </c>
      <c r="Q72" s="353">
        <f t="shared" si="20"/>
        <v>207963.35</v>
      </c>
      <c r="R72" s="353">
        <f>Q72</f>
        <v>207963.35</v>
      </c>
      <c r="S72" s="353">
        <f t="shared" si="4"/>
        <v>0</v>
      </c>
      <c r="T72" s="353"/>
      <c r="U72" s="354"/>
    </row>
    <row r="73">
      <c r="A73" s="271" t="s">
        <v>836</v>
      </c>
      <c r="B73" s="407"/>
      <c r="C73" s="436"/>
      <c r="D73" s="409"/>
      <c r="E73" s="350" t="s">
        <v>721</v>
      </c>
      <c r="F73" s="253" t="s">
        <v>695</v>
      </c>
      <c r="G73" s="254" t="s">
        <v>747</v>
      </c>
      <c r="H73" s="254" t="s">
        <v>252</v>
      </c>
      <c r="I73" s="256" t="s">
        <v>102</v>
      </c>
      <c r="J73" s="256" t="s">
        <v>1134</v>
      </c>
      <c r="K73" s="352">
        <v>832114.3</v>
      </c>
      <c r="L73" s="353">
        <f t="shared" si="16"/>
        <v>0</v>
      </c>
      <c r="M73" s="353">
        <f t="shared" si="21"/>
        <v>832114.3</v>
      </c>
      <c r="N73" s="353">
        <v>0.0</v>
      </c>
      <c r="O73" s="353">
        <v>0.0</v>
      </c>
      <c r="P73" s="353">
        <v>16642.29</v>
      </c>
      <c r="Q73" s="353">
        <f t="shared" si="20"/>
        <v>815472.01</v>
      </c>
      <c r="R73" s="353"/>
      <c r="S73" s="353">
        <f t="shared" si="4"/>
        <v>815472.01</v>
      </c>
      <c r="T73" s="353"/>
      <c r="U73" s="354"/>
    </row>
    <row r="74">
      <c r="A74" s="271" t="s">
        <v>683</v>
      </c>
      <c r="B74" s="407"/>
      <c r="C74" s="436"/>
      <c r="D74" s="409"/>
      <c r="E74" s="350" t="s">
        <v>721</v>
      </c>
      <c r="F74" s="253" t="s">
        <v>695</v>
      </c>
      <c r="G74" s="254" t="s">
        <v>697</v>
      </c>
      <c r="H74" s="254" t="s">
        <v>1136</v>
      </c>
      <c r="I74" s="256" t="s">
        <v>161</v>
      </c>
      <c r="J74" s="256" t="s">
        <v>1137</v>
      </c>
      <c r="K74" s="352">
        <v>1374996.76</v>
      </c>
      <c r="L74" s="353">
        <f t="shared" si="16"/>
        <v>0</v>
      </c>
      <c r="M74" s="353">
        <f t="shared" si="21"/>
        <v>1374996.76</v>
      </c>
      <c r="N74" s="353">
        <v>0.0</v>
      </c>
      <c r="O74" s="353">
        <v>0.0</v>
      </c>
      <c r="P74" s="353">
        <v>0.0</v>
      </c>
      <c r="Q74" s="353">
        <f t="shared" si="20"/>
        <v>1374996.76</v>
      </c>
      <c r="R74" s="353">
        <v>1374996.76</v>
      </c>
      <c r="S74" s="353">
        <f t="shared" si="4"/>
        <v>0</v>
      </c>
      <c r="T74" s="353"/>
      <c r="U74" s="354"/>
    </row>
    <row r="75">
      <c r="A75" s="271" t="s">
        <v>683</v>
      </c>
      <c r="B75" s="407"/>
      <c r="C75" s="407"/>
      <c r="D75" s="409"/>
      <c r="E75" s="350" t="s">
        <v>721</v>
      </c>
      <c r="F75" s="253" t="s">
        <v>695</v>
      </c>
      <c r="G75" s="254" t="s">
        <v>747</v>
      </c>
      <c r="H75" s="254" t="s">
        <v>1136</v>
      </c>
      <c r="I75" s="256" t="s">
        <v>161</v>
      </c>
      <c r="J75" s="256" t="s">
        <v>1139</v>
      </c>
      <c r="K75" s="352">
        <v>4979233.1</v>
      </c>
      <c r="L75" s="353">
        <f t="shared" si="16"/>
        <v>0</v>
      </c>
      <c r="M75" s="353">
        <f t="shared" si="21"/>
        <v>4979233.1</v>
      </c>
      <c r="N75" s="353">
        <v>0.0</v>
      </c>
      <c r="O75" s="353">
        <v>0.0</v>
      </c>
      <c r="P75" s="353">
        <v>248961.65</v>
      </c>
      <c r="Q75" s="353">
        <f t="shared" si="20"/>
        <v>4730271.45</v>
      </c>
      <c r="R75" s="353"/>
      <c r="S75" s="353">
        <f t="shared" si="4"/>
        <v>4730271.45</v>
      </c>
      <c r="T75" s="353"/>
      <c r="U75" s="354"/>
    </row>
    <row r="76">
      <c r="A76" s="344" t="s">
        <v>822</v>
      </c>
      <c r="B76" s="407"/>
      <c r="C76" s="422"/>
      <c r="D76" s="409"/>
      <c r="E76" s="410"/>
      <c r="F76" s="253" t="s">
        <v>695</v>
      </c>
      <c r="G76" s="254" t="s">
        <v>697</v>
      </c>
      <c r="H76" s="413" t="s">
        <v>148</v>
      </c>
      <c r="I76" s="256" t="s">
        <v>71</v>
      </c>
      <c r="J76" s="441" t="s">
        <v>788</v>
      </c>
      <c r="K76" s="257">
        <v>2178113.72</v>
      </c>
      <c r="L76" s="353">
        <f t="shared" si="16"/>
        <v>0</v>
      </c>
      <c r="M76" s="353">
        <v>2178113.72</v>
      </c>
      <c r="N76" s="258">
        <v>0.0</v>
      </c>
      <c r="O76" s="258">
        <v>0.0</v>
      </c>
      <c r="P76" s="258">
        <v>0.0</v>
      </c>
      <c r="Q76" s="353">
        <f t="shared" si="20"/>
        <v>2178113.72</v>
      </c>
      <c r="R76" s="353">
        <v>2178113.72</v>
      </c>
      <c r="S76" s="353">
        <f t="shared" si="4"/>
        <v>0</v>
      </c>
      <c r="T76" s="353"/>
      <c r="U76" s="354"/>
    </row>
    <row r="77">
      <c r="A77" s="344" t="s">
        <v>822</v>
      </c>
      <c r="B77" s="407"/>
      <c r="C77" s="407"/>
      <c r="D77" s="409"/>
      <c r="E77" s="410"/>
      <c r="F77" s="253" t="s">
        <v>695</v>
      </c>
      <c r="G77" s="413" t="s">
        <v>747</v>
      </c>
      <c r="H77" s="413" t="s">
        <v>148</v>
      </c>
      <c r="I77" s="256" t="s">
        <v>71</v>
      </c>
      <c r="J77" s="419" t="s">
        <v>777</v>
      </c>
      <c r="K77" s="257">
        <v>4247889.51</v>
      </c>
      <c r="L77" s="353">
        <f t="shared" si="16"/>
        <v>0</v>
      </c>
      <c r="M77" s="353">
        <v>4247889.51</v>
      </c>
      <c r="N77" s="353">
        <v>1882200.0</v>
      </c>
      <c r="O77" s="258">
        <v>0.0</v>
      </c>
      <c r="P77" s="258">
        <v>0.0</v>
      </c>
      <c r="Q77" s="353">
        <f t="shared" si="20"/>
        <v>2365689.51</v>
      </c>
      <c r="R77" s="353">
        <f>Q77</f>
        <v>2365689.51</v>
      </c>
      <c r="S77" s="353">
        <f t="shared" si="4"/>
        <v>0</v>
      </c>
      <c r="T77" s="353"/>
      <c r="U77" s="354"/>
    </row>
    <row r="78">
      <c r="A78" s="443" t="s">
        <v>1141</v>
      </c>
      <c r="B78" s="443" t="s">
        <v>1143</v>
      </c>
      <c r="C78" s="443"/>
      <c r="D78" s="444"/>
      <c r="E78" s="445"/>
      <c r="F78" s="446"/>
      <c r="G78" s="447"/>
      <c r="H78" s="447"/>
      <c r="I78" s="448"/>
      <c r="J78" s="448"/>
      <c r="K78" s="449"/>
      <c r="L78" s="449"/>
      <c r="M78" s="353"/>
      <c r="N78" s="449"/>
      <c r="O78" s="449"/>
      <c r="P78" s="449"/>
      <c r="Q78" s="449"/>
      <c r="R78" s="449"/>
      <c r="S78" s="449"/>
      <c r="T78" s="450"/>
      <c r="U78" s="450"/>
    </row>
    <row r="79">
      <c r="D79" s="444"/>
      <c r="E79" s="451"/>
      <c r="F79" s="451"/>
      <c r="G79" s="452" t="s">
        <v>1144</v>
      </c>
      <c r="H79" s="11"/>
      <c r="I79" s="11"/>
      <c r="J79" s="14"/>
      <c r="K79" s="453"/>
      <c r="L79" s="450"/>
      <c r="M79" s="450"/>
      <c r="N79" s="450"/>
      <c r="O79" s="450"/>
      <c r="P79" s="450"/>
      <c r="Q79" s="450"/>
      <c r="R79" s="450"/>
      <c r="S79" s="450"/>
      <c r="T79" s="450"/>
      <c r="U79" s="450"/>
    </row>
    <row r="80">
      <c r="D80" s="444"/>
      <c r="E80" s="451"/>
      <c r="F80" s="451"/>
      <c r="G80" s="454" t="s">
        <v>1145</v>
      </c>
      <c r="H80" s="106"/>
      <c r="I80" s="106"/>
      <c r="J80" s="106"/>
      <c r="K80" s="455">
        <f>SUM(K4:K79)</f>
        <v>128694854.7</v>
      </c>
      <c r="L80" s="455">
        <f t="shared" ref="L80:N80" si="22">SUM(L4:L78)</f>
        <v>4011745</v>
      </c>
      <c r="M80" s="455">
        <f t="shared" si="22"/>
        <v>124683109.7</v>
      </c>
      <c r="N80" s="455">
        <f t="shared" si="22"/>
        <v>17605665.91</v>
      </c>
      <c r="O80" s="455"/>
      <c r="P80" s="455">
        <f t="shared" ref="P80:S80" si="23">SUM(P4:P78)</f>
        <v>856668.32</v>
      </c>
      <c r="Q80" s="455">
        <f t="shared" si="23"/>
        <v>105537570</v>
      </c>
      <c r="R80" s="455">
        <f t="shared" si="23"/>
        <v>89563495.55</v>
      </c>
      <c r="S80" s="455">
        <f t="shared" si="23"/>
        <v>15974074.41</v>
      </c>
      <c r="T80" s="450"/>
      <c r="U80" s="450"/>
    </row>
    <row r="81">
      <c r="D81" s="444"/>
      <c r="E81" s="451"/>
      <c r="F81" s="451"/>
      <c r="G81" s="458" t="s">
        <v>1146</v>
      </c>
      <c r="H81" s="11"/>
      <c r="I81" s="11"/>
      <c r="J81" s="11"/>
      <c r="K81" s="459">
        <f t="shared" ref="K81:N81" si="24">SUMIF($G$4:$G$78,"*земляные работы*",K4:K78)</f>
        <v>0</v>
      </c>
      <c r="L81" s="459">
        <f t="shared" si="24"/>
        <v>0</v>
      </c>
      <c r="M81" s="459">
        <f t="shared" si="24"/>
        <v>0</v>
      </c>
      <c r="N81" s="459">
        <f t="shared" si="24"/>
        <v>0</v>
      </c>
      <c r="O81" s="459"/>
      <c r="P81" s="459">
        <f t="shared" ref="P81:S81" si="25">SUMIF($G$4:$G$78,"*земляные работы*",P4:P78)</f>
        <v>0</v>
      </c>
      <c r="Q81" s="459">
        <f t="shared" si="25"/>
        <v>0</v>
      </c>
      <c r="R81" s="459">
        <f t="shared" si="25"/>
        <v>0</v>
      </c>
      <c r="S81" s="459">
        <f t="shared" si="25"/>
        <v>0</v>
      </c>
      <c r="T81" s="450"/>
      <c r="U81" s="450"/>
    </row>
    <row r="82">
      <c r="D82" s="444"/>
      <c r="E82" s="451"/>
      <c r="F82" s="451"/>
      <c r="G82" s="460" t="s">
        <v>1147</v>
      </c>
      <c r="H82" s="11"/>
      <c r="I82" s="11"/>
      <c r="J82" s="11"/>
      <c r="K82" s="461">
        <f t="shared" ref="K82:N82" si="26">SUMIF($G$4:$G$78,"*подготовительные работы*",K4:K78)</f>
        <v>43293865.63</v>
      </c>
      <c r="L82" s="461">
        <f t="shared" si="26"/>
        <v>0</v>
      </c>
      <c r="M82" s="461">
        <f t="shared" si="26"/>
        <v>43293865.63</v>
      </c>
      <c r="N82" s="461">
        <f t="shared" si="26"/>
        <v>17003386.85</v>
      </c>
      <c r="O82" s="461"/>
      <c r="P82" s="461">
        <f t="shared" ref="P82:S82" si="27">SUMIF($G$4:$G$78,"*подготовительные работы*",P4:P78)</f>
        <v>856668.32</v>
      </c>
      <c r="Q82" s="461">
        <f t="shared" si="27"/>
        <v>25433810.46</v>
      </c>
      <c r="R82" s="461">
        <f t="shared" si="27"/>
        <v>19888067</v>
      </c>
      <c r="S82" s="461">
        <f t="shared" si="27"/>
        <v>5545743.46</v>
      </c>
      <c r="T82" s="450"/>
      <c r="U82" s="450"/>
    </row>
    <row r="83">
      <c r="D83" s="444"/>
      <c r="E83" s="451"/>
      <c r="F83" s="451"/>
      <c r="G83" s="458" t="s">
        <v>1149</v>
      </c>
      <c r="H83" s="11"/>
      <c r="I83" s="11"/>
      <c r="J83" s="11"/>
      <c r="K83" s="459">
        <f t="shared" ref="K83:N83" si="28">SUMIF($G$4:$G$78,"*эксплуатация*",K4:K78)</f>
        <v>82581179.59</v>
      </c>
      <c r="L83" s="459">
        <f t="shared" si="28"/>
        <v>4011745</v>
      </c>
      <c r="M83" s="459">
        <f t="shared" si="28"/>
        <v>78569434.59</v>
      </c>
      <c r="N83" s="459">
        <f t="shared" si="28"/>
        <v>0</v>
      </c>
      <c r="O83" s="459"/>
      <c r="P83" s="459">
        <f t="shared" ref="P83:S83" si="29">SUMIF($G$4:$G$78,"*эксплуатация*",P4:P78)</f>
        <v>0</v>
      </c>
      <c r="Q83" s="459">
        <f t="shared" si="29"/>
        <v>77886229.09</v>
      </c>
      <c r="R83" s="459">
        <f t="shared" si="29"/>
        <v>67457898.14</v>
      </c>
      <c r="S83" s="459">
        <f t="shared" si="29"/>
        <v>10428330.95</v>
      </c>
      <c r="T83" s="450"/>
      <c r="U83" s="450"/>
    </row>
    <row r="84">
      <c r="D84" s="444"/>
      <c r="E84" s="451"/>
      <c r="F84" s="451"/>
      <c r="G84" s="460" t="s">
        <v>1150</v>
      </c>
      <c r="H84" s="11"/>
      <c r="I84" s="11"/>
      <c r="J84" s="11"/>
      <c r="K84" s="461">
        <f t="shared" ref="K84:N84" si="30">SUMIF($G$4:$G$78,"*водопонижение*",K4:K78)</f>
        <v>0</v>
      </c>
      <c r="L84" s="461">
        <f t="shared" si="30"/>
        <v>0</v>
      </c>
      <c r="M84" s="461">
        <f t="shared" si="30"/>
        <v>0</v>
      </c>
      <c r="N84" s="461">
        <f t="shared" si="30"/>
        <v>0</v>
      </c>
      <c r="O84" s="461"/>
      <c r="P84" s="461">
        <f t="shared" ref="P84:S84" si="31">SUMIF($G$4:$G$78,"*водопонижение*",P4:P78)</f>
        <v>0</v>
      </c>
      <c r="Q84" s="461">
        <f t="shared" si="31"/>
        <v>0</v>
      </c>
      <c r="R84" s="461">
        <f t="shared" si="31"/>
        <v>0</v>
      </c>
      <c r="S84" s="461">
        <f t="shared" si="31"/>
        <v>0</v>
      </c>
      <c r="T84" s="450"/>
      <c r="U84" s="450"/>
    </row>
    <row r="85">
      <c r="D85" s="444"/>
      <c r="E85" s="451"/>
      <c r="F85" s="451"/>
      <c r="G85" s="460" t="s">
        <v>1152</v>
      </c>
      <c r="H85" s="11"/>
      <c r="I85" s="11"/>
      <c r="J85" s="11"/>
      <c r="K85" s="461">
        <f t="shared" ref="K85:N85" si="32">SUMIF($G$4:$G$78,"*электромонтажные работы*",K4:K78)</f>
        <v>0</v>
      </c>
      <c r="L85" s="461">
        <f t="shared" si="32"/>
        <v>0</v>
      </c>
      <c r="M85" s="461">
        <f t="shared" si="32"/>
        <v>0</v>
      </c>
      <c r="N85" s="461">
        <f t="shared" si="32"/>
        <v>0</v>
      </c>
      <c r="O85" s="461"/>
      <c r="P85" s="461">
        <f t="shared" ref="P85:S85" si="33">SUMIF($G$4:$G$78,"*электромонтажные работы*",P4:P78)</f>
        <v>0</v>
      </c>
      <c r="Q85" s="461">
        <f t="shared" si="33"/>
        <v>0</v>
      </c>
      <c r="R85" s="461">
        <f t="shared" si="33"/>
        <v>0</v>
      </c>
      <c r="S85" s="461">
        <f t="shared" si="33"/>
        <v>0</v>
      </c>
      <c r="T85" s="450"/>
      <c r="U85" s="450"/>
    </row>
    <row r="86">
      <c r="D86" s="444"/>
      <c r="E86" s="451"/>
      <c r="F86" s="451"/>
      <c r="G86" s="472" t="s">
        <v>1154</v>
      </c>
      <c r="H86" s="11"/>
      <c r="I86" s="11"/>
      <c r="J86" s="11"/>
      <c r="K86" s="474"/>
      <c r="L86" s="474"/>
      <c r="M86" s="474"/>
      <c r="N86" s="474"/>
      <c r="O86" s="474"/>
      <c r="P86" s="474"/>
      <c r="Q86" s="474"/>
      <c r="R86" s="474"/>
      <c r="S86" s="474"/>
      <c r="T86" s="450"/>
      <c r="U86" s="450"/>
    </row>
    <row r="87">
      <c r="D87" s="444"/>
      <c r="E87" s="451"/>
      <c r="F87" s="451"/>
      <c r="G87" s="476" t="s">
        <v>1155</v>
      </c>
      <c r="H87" s="11"/>
      <c r="I87" s="11"/>
      <c r="J87" s="11"/>
      <c r="K87" s="478">
        <f t="shared" ref="K87:N87" si="34">SUMIF($F$4:$F$78,"На согласовании СК",K4:K78)</f>
        <v>0</v>
      </c>
      <c r="L87" s="478">
        <f t="shared" si="34"/>
        <v>0</v>
      </c>
      <c r="M87" s="478">
        <f t="shared" si="34"/>
        <v>0</v>
      </c>
      <c r="N87" s="478">
        <f t="shared" si="34"/>
        <v>0</v>
      </c>
      <c r="O87" s="478"/>
      <c r="P87" s="478">
        <f t="shared" ref="P87:S87" si="35">SUMIF($F$4:$F$78,"На согласовании СК",P4:P78)</f>
        <v>0</v>
      </c>
      <c r="Q87" s="478">
        <f t="shared" si="35"/>
        <v>0</v>
      </c>
      <c r="R87" s="478">
        <f t="shared" si="35"/>
        <v>0</v>
      </c>
      <c r="S87" s="478">
        <f t="shared" si="35"/>
        <v>0</v>
      </c>
      <c r="T87" s="450"/>
      <c r="U87" s="450"/>
    </row>
    <row r="88">
      <c r="D88" s="444"/>
      <c r="E88" s="451"/>
      <c r="F88" s="451"/>
      <c r="G88" s="476" t="s">
        <v>1158</v>
      </c>
      <c r="H88" s="11"/>
      <c r="I88" s="11"/>
      <c r="J88" s="11"/>
      <c r="K88" s="478">
        <f t="shared" ref="K88:N88" si="36">SUMIF($F$4:$F$78,"На согласовании ДС",K4:K78)</f>
        <v>0</v>
      </c>
      <c r="L88" s="478">
        <f t="shared" si="36"/>
        <v>0</v>
      </c>
      <c r="M88" s="478">
        <f t="shared" si="36"/>
        <v>0</v>
      </c>
      <c r="N88" s="478">
        <f t="shared" si="36"/>
        <v>0</v>
      </c>
      <c r="O88" s="478"/>
      <c r="P88" s="478">
        <f t="shared" ref="P88:S88" si="37">SUMIF($F$4:$F$78,"На согласовании ДС",P4:P78)</f>
        <v>0</v>
      </c>
      <c r="Q88" s="478">
        <f t="shared" si="37"/>
        <v>0</v>
      </c>
      <c r="R88" s="478">
        <f t="shared" si="37"/>
        <v>0</v>
      </c>
      <c r="S88" s="478">
        <f t="shared" si="37"/>
        <v>0</v>
      </c>
      <c r="T88" s="450"/>
      <c r="U88" s="450"/>
    </row>
    <row r="89">
      <c r="D89" s="444"/>
      <c r="E89" s="451"/>
      <c r="F89" s="451"/>
      <c r="G89" s="476" t="s">
        <v>1159</v>
      </c>
      <c r="H89" s="11"/>
      <c r="I89" s="11"/>
      <c r="J89" s="11"/>
      <c r="K89" s="478">
        <f t="shared" ref="K89:N89" si="38">SUMIF($F$4:$F$78,"ожидается подпись контрагента",K4:K78)</f>
        <v>0</v>
      </c>
      <c r="L89" s="478">
        <f t="shared" si="38"/>
        <v>0</v>
      </c>
      <c r="M89" s="478">
        <f t="shared" si="38"/>
        <v>0</v>
      </c>
      <c r="N89" s="478">
        <f t="shared" si="38"/>
        <v>0</v>
      </c>
      <c r="O89" s="478"/>
      <c r="P89" s="478">
        <f t="shared" ref="P89:S89" si="39">SUMIF($F$4:$F$78,"ожидается подпись контрагента",P4:P78)</f>
        <v>0</v>
      </c>
      <c r="Q89" s="478">
        <f t="shared" si="39"/>
        <v>0</v>
      </c>
      <c r="R89" s="478">
        <f t="shared" si="39"/>
        <v>0</v>
      </c>
      <c r="S89" s="478">
        <f t="shared" si="39"/>
        <v>0</v>
      </c>
      <c r="T89" s="450"/>
      <c r="U89" s="450"/>
    </row>
    <row r="90">
      <c r="D90" s="444"/>
      <c r="E90" s="451"/>
      <c r="F90" s="451"/>
      <c r="G90" s="486" t="s">
        <v>1160</v>
      </c>
      <c r="H90" s="11"/>
      <c r="I90" s="11"/>
      <c r="J90" s="11"/>
      <c r="K90" s="487">
        <f t="shared" ref="K90:N90" si="40">SUMIF($F$4:$F$78,"На согласовании подрядчика",K4:K78)</f>
        <v>0</v>
      </c>
      <c r="L90" s="487">
        <f t="shared" si="40"/>
        <v>0</v>
      </c>
      <c r="M90" s="487">
        <f t="shared" si="40"/>
        <v>0</v>
      </c>
      <c r="N90" s="487">
        <f t="shared" si="40"/>
        <v>0</v>
      </c>
      <c r="O90" s="487"/>
      <c r="P90" s="487">
        <f t="shared" ref="P90:S90" si="41">SUMIF($F$4:$F$78,"На согласовании подрядчика",P4:P78)</f>
        <v>0</v>
      </c>
      <c r="Q90" s="487">
        <f t="shared" si="41"/>
        <v>0</v>
      </c>
      <c r="R90" s="487">
        <f t="shared" si="41"/>
        <v>0</v>
      </c>
      <c r="S90" s="487">
        <f t="shared" si="41"/>
        <v>0</v>
      </c>
      <c r="T90" s="450"/>
      <c r="U90" s="450"/>
    </row>
    <row r="91">
      <c r="A91" s="488"/>
      <c r="B91" s="488"/>
      <c r="C91" s="488"/>
      <c r="D91" s="444"/>
      <c r="E91" s="451"/>
      <c r="F91" s="451"/>
      <c r="G91" s="489" t="s">
        <v>1162</v>
      </c>
      <c r="H91" s="11"/>
      <c r="I91" s="11"/>
      <c r="J91" s="11"/>
      <c r="K91" s="490">
        <f t="shared" ref="K91:N91" si="42">SUMIF($F$4:$F$78,"согласован",K4:K78)</f>
        <v>0</v>
      </c>
      <c r="L91" s="490">
        <f t="shared" si="42"/>
        <v>0</v>
      </c>
      <c r="M91" s="490">
        <f t="shared" si="42"/>
        <v>0</v>
      </c>
      <c r="N91" s="490">
        <f t="shared" si="42"/>
        <v>0</v>
      </c>
      <c r="O91" s="490"/>
      <c r="P91" s="490">
        <f t="shared" ref="P91:S91" si="43">SUMIF($F$4:$F$78,"согласован",P4:P78)</f>
        <v>0</v>
      </c>
      <c r="Q91" s="490">
        <f t="shared" si="43"/>
        <v>0</v>
      </c>
      <c r="R91" s="490">
        <f t="shared" si="43"/>
        <v>0</v>
      </c>
      <c r="S91" s="490">
        <f t="shared" si="43"/>
        <v>0</v>
      </c>
      <c r="T91" s="450"/>
      <c r="U91" s="450"/>
    </row>
    <row r="92">
      <c r="A92" s="488"/>
      <c r="B92" s="488"/>
      <c r="C92" s="488"/>
      <c r="D92" s="444"/>
      <c r="E92" s="451"/>
      <c r="F92" s="451"/>
      <c r="G92" s="458" t="s">
        <v>1164</v>
      </c>
      <c r="H92" s="11"/>
      <c r="I92" s="11"/>
      <c r="J92" s="11"/>
      <c r="K92" s="459">
        <f t="shared" ref="K92:N92" si="44">SUMIF($F$4:$F$78,"На подписании подрядчика",K4:K78)</f>
        <v>0</v>
      </c>
      <c r="L92" s="459">
        <f t="shared" si="44"/>
        <v>0</v>
      </c>
      <c r="M92" s="459">
        <f t="shared" si="44"/>
        <v>0</v>
      </c>
      <c r="N92" s="459">
        <f t="shared" si="44"/>
        <v>0</v>
      </c>
      <c r="O92" s="459"/>
      <c r="P92" s="459">
        <f t="shared" ref="P92:S92" si="45">SUMIF($F$4:$F$78,"На подписании подрядчика",P4:P78)</f>
        <v>0</v>
      </c>
      <c r="Q92" s="459">
        <f t="shared" si="45"/>
        <v>0</v>
      </c>
      <c r="R92" s="459">
        <f t="shared" si="45"/>
        <v>0</v>
      </c>
      <c r="S92" s="459">
        <f t="shared" si="45"/>
        <v>0</v>
      </c>
      <c r="T92" s="450"/>
      <c r="U92" s="450"/>
    </row>
    <row r="93">
      <c r="A93" s="488"/>
      <c r="B93" s="488"/>
      <c r="C93" s="488"/>
      <c r="D93" s="444"/>
      <c r="E93" s="451"/>
      <c r="F93" s="451"/>
      <c r="G93" s="458" t="s">
        <v>1166</v>
      </c>
      <c r="H93" s="11"/>
      <c r="I93" s="11"/>
      <c r="J93" s="11"/>
      <c r="K93" s="459">
        <f t="shared" ref="K93:N93" si="46">SUMIF($F$4:$F$78,"Подписан подрядчиком",K4:K78)</f>
        <v>0</v>
      </c>
      <c r="L93" s="459">
        <f t="shared" si="46"/>
        <v>0</v>
      </c>
      <c r="M93" s="459">
        <f t="shared" si="46"/>
        <v>0</v>
      </c>
      <c r="N93" s="459">
        <f t="shared" si="46"/>
        <v>0</v>
      </c>
      <c r="O93" s="459"/>
      <c r="P93" s="459">
        <f t="shared" ref="P93:S93" si="47">SUMIF($F$4:$F$78,"Подписан подрядчиком",P4:P78)</f>
        <v>0</v>
      </c>
      <c r="Q93" s="459">
        <f t="shared" si="47"/>
        <v>0</v>
      </c>
      <c r="R93" s="459">
        <f t="shared" si="47"/>
        <v>0</v>
      </c>
      <c r="S93" s="459">
        <f t="shared" si="47"/>
        <v>0</v>
      </c>
      <c r="T93" s="450"/>
      <c r="U93" s="450"/>
    </row>
    <row r="94">
      <c r="A94" s="488"/>
      <c r="B94" s="488"/>
      <c r="C94" s="488"/>
      <c r="D94" s="444"/>
      <c r="E94" s="451"/>
      <c r="F94" s="451"/>
      <c r="G94" s="511" t="s">
        <v>695</v>
      </c>
      <c r="H94" s="11"/>
      <c r="I94" s="11"/>
      <c r="J94" s="11"/>
      <c r="K94" s="515">
        <f t="shared" ref="K94:N94" si="48">SUMIF($F$4:$F$78,"Подписан обеими сторонами",K4:K78)</f>
        <v>124944854.7</v>
      </c>
      <c r="L94" s="515">
        <f t="shared" si="48"/>
        <v>261745</v>
      </c>
      <c r="M94" s="515">
        <f t="shared" si="48"/>
        <v>124683109.7</v>
      </c>
      <c r="N94" s="515">
        <f t="shared" si="48"/>
        <v>17605665.91</v>
      </c>
      <c r="O94" s="515"/>
      <c r="P94" s="515">
        <f t="shared" ref="P94:S94" si="49">SUMIF($F$4:$F$78,"Подписан обеими сторонами",P4:P78)</f>
        <v>856668.32</v>
      </c>
      <c r="Q94" s="515">
        <f t="shared" si="49"/>
        <v>105537570</v>
      </c>
      <c r="R94" s="515">
        <f t="shared" si="49"/>
        <v>89563495.55</v>
      </c>
      <c r="S94" s="515">
        <f t="shared" si="49"/>
        <v>15974074.41</v>
      </c>
      <c r="T94" s="450"/>
      <c r="U94" s="450"/>
    </row>
    <row r="95">
      <c r="A95" s="488"/>
      <c r="B95" s="488"/>
      <c r="C95" s="488"/>
      <c r="D95" s="444"/>
      <c r="E95" s="451"/>
      <c r="F95" s="451"/>
      <c r="G95" s="522" t="s">
        <v>1169</v>
      </c>
      <c r="H95" s="524"/>
      <c r="I95" s="524"/>
      <c r="J95" s="524"/>
      <c r="K95" s="525">
        <f t="shared" ref="K95:N95" si="50">SUMIF($F$4:$F$78,"ведутся работы",K4:K78)</f>
        <v>0</v>
      </c>
      <c r="L95" s="525">
        <f t="shared" si="50"/>
        <v>0</v>
      </c>
      <c r="M95" s="525">
        <f t="shared" si="50"/>
        <v>0</v>
      </c>
      <c r="N95" s="525">
        <f t="shared" si="50"/>
        <v>0</v>
      </c>
      <c r="O95" s="525"/>
      <c r="P95" s="525">
        <f t="shared" ref="P95:S95" si="51">SUMIF($F$4:$F$78,"ведутся работы",P4:P78)</f>
        <v>0</v>
      </c>
      <c r="Q95" s="525">
        <f t="shared" si="51"/>
        <v>0</v>
      </c>
      <c r="R95" s="525">
        <f t="shared" si="51"/>
        <v>0</v>
      </c>
      <c r="S95" s="525">
        <f t="shared" si="51"/>
        <v>0</v>
      </c>
      <c r="T95" s="530"/>
      <c r="U95" s="530"/>
    </row>
    <row r="96">
      <c r="A96" s="488"/>
      <c r="B96" s="488"/>
      <c r="C96" s="488"/>
      <c r="D96" s="444"/>
      <c r="E96" s="451"/>
      <c r="F96" s="451"/>
      <c r="G96" s="533" t="s">
        <v>1171</v>
      </c>
      <c r="H96" s="535"/>
      <c r="I96" s="535"/>
      <c r="J96" s="535"/>
      <c r="K96" s="538">
        <f t="shared" ref="K96:N96" si="52">SUMIF($F$4:$F$78,"сформирован",K4:K78)</f>
        <v>0</v>
      </c>
      <c r="L96" s="538">
        <f t="shared" si="52"/>
        <v>0</v>
      </c>
      <c r="M96" s="538">
        <f t="shared" si="52"/>
        <v>0</v>
      </c>
      <c r="N96" s="538">
        <f t="shared" si="52"/>
        <v>0</v>
      </c>
      <c r="O96" s="538"/>
      <c r="P96" s="538">
        <f t="shared" ref="P96:S96" si="53">SUMIF($F$4:$F$78,"сформирован",P4:P78)</f>
        <v>0</v>
      </c>
      <c r="Q96" s="538">
        <f t="shared" si="53"/>
        <v>0</v>
      </c>
      <c r="R96" s="538">
        <f t="shared" si="53"/>
        <v>0</v>
      </c>
      <c r="S96" s="538">
        <f t="shared" si="53"/>
        <v>0</v>
      </c>
      <c r="T96" s="530"/>
      <c r="U96" s="530"/>
    </row>
    <row r="97">
      <c r="A97" s="488"/>
      <c r="B97" s="488"/>
      <c r="C97" s="488"/>
      <c r="D97" s="444"/>
      <c r="E97" s="451"/>
      <c r="F97" s="451"/>
      <c r="G97" s="542" t="s">
        <v>1177</v>
      </c>
      <c r="H97" s="106"/>
      <c r="I97" s="106"/>
      <c r="J97" s="106"/>
      <c r="K97" s="543">
        <f t="shared" ref="K97:N97" si="54">SUMIF($F$4:$F$78,"Удален",K4:K78)</f>
        <v>0</v>
      </c>
      <c r="L97" s="543">
        <f t="shared" si="54"/>
        <v>0</v>
      </c>
      <c r="M97" s="543">
        <f t="shared" si="54"/>
        <v>0</v>
      </c>
      <c r="N97" s="543">
        <f t="shared" si="54"/>
        <v>0</v>
      </c>
      <c r="O97" s="543"/>
      <c r="P97" s="543">
        <f t="shared" ref="P97:S97" si="55">SUMIF($F$4:$F$78,"Удален",P4:P78)</f>
        <v>0</v>
      </c>
      <c r="Q97" s="543">
        <f t="shared" si="55"/>
        <v>0</v>
      </c>
      <c r="R97" s="543">
        <f t="shared" si="55"/>
        <v>0</v>
      </c>
      <c r="S97" s="543">
        <f t="shared" si="55"/>
        <v>0</v>
      </c>
      <c r="T97" s="547"/>
      <c r="U97" s="547"/>
    </row>
    <row r="98">
      <c r="A98" s="488"/>
      <c r="B98" s="488"/>
      <c r="C98" s="488"/>
      <c r="D98" s="444"/>
      <c r="E98" s="451"/>
      <c r="F98" s="451"/>
      <c r="G98" s="548" t="s">
        <v>1035</v>
      </c>
      <c r="H98" s="549"/>
      <c r="I98" s="549"/>
      <c r="J98" s="549"/>
      <c r="K98" s="550">
        <f t="shared" ref="K98:N98" si="56">SUMIF($F$4:$F$78,"Отклонен",K4:K78)</f>
        <v>3750000</v>
      </c>
      <c r="L98" s="550">
        <f t="shared" si="56"/>
        <v>3750000</v>
      </c>
      <c r="M98" s="550">
        <f t="shared" si="56"/>
        <v>0</v>
      </c>
      <c r="N98" s="550">
        <f t="shared" si="56"/>
        <v>0</v>
      </c>
      <c r="O98" s="550"/>
      <c r="P98" s="550">
        <f t="shared" ref="P98:S98" si="57">SUMIF($F$4:$F$78,"Отклонен",P4:P78)</f>
        <v>0</v>
      </c>
      <c r="Q98" s="550">
        <f t="shared" si="57"/>
        <v>0</v>
      </c>
      <c r="R98" s="550">
        <f t="shared" si="57"/>
        <v>0</v>
      </c>
      <c r="S98" s="550">
        <f t="shared" si="57"/>
        <v>0</v>
      </c>
      <c r="T98" s="530"/>
      <c r="U98" s="530"/>
    </row>
  </sheetData>
  <autoFilter ref="$A$3:$T$98"/>
  <mergeCells count="40">
    <mergeCell ref="G96:J96"/>
    <mergeCell ref="G97:J97"/>
    <mergeCell ref="G98:J98"/>
    <mergeCell ref="G89:J89"/>
    <mergeCell ref="G90:J90"/>
    <mergeCell ref="G91:J91"/>
    <mergeCell ref="G92:J92"/>
    <mergeCell ref="G93:J93"/>
    <mergeCell ref="G94:J94"/>
    <mergeCell ref="G95:J95"/>
    <mergeCell ref="R1:R2"/>
    <mergeCell ref="S1:S2"/>
    <mergeCell ref="T1:T2"/>
    <mergeCell ref="K1:K2"/>
    <mergeCell ref="L1:L2"/>
    <mergeCell ref="M1:M2"/>
    <mergeCell ref="N1:N2"/>
    <mergeCell ref="O1:O2"/>
    <mergeCell ref="P1:P2"/>
    <mergeCell ref="Q1:Q2"/>
    <mergeCell ref="D1:D2"/>
    <mergeCell ref="E1:E2"/>
    <mergeCell ref="F1:F2"/>
    <mergeCell ref="G1:G2"/>
    <mergeCell ref="H1:H2"/>
    <mergeCell ref="I1:I2"/>
    <mergeCell ref="J1:J2"/>
    <mergeCell ref="G83:J83"/>
    <mergeCell ref="G84:J84"/>
    <mergeCell ref="G85:J85"/>
    <mergeCell ref="G86:J86"/>
    <mergeCell ref="G87:J87"/>
    <mergeCell ref="G88:J88"/>
    <mergeCell ref="A78:A90"/>
    <mergeCell ref="B78:B90"/>
    <mergeCell ref="C78:C90"/>
    <mergeCell ref="G79:J79"/>
    <mergeCell ref="G80:J80"/>
    <mergeCell ref="G81:J81"/>
    <mergeCell ref="G82:J82"/>
  </mergeCells>
  <conditionalFormatting sqref="L29:S30 D32 L32:S32">
    <cfRule type="expression" dxfId="0" priority="1">
      <formula>$G29="Согласован"</formula>
    </cfRule>
  </conditionalFormatting>
  <conditionalFormatting sqref="L29:S30 D32 L32:S32">
    <cfRule type="expression" dxfId="1" priority="2">
      <formula>$G29="на согласовании ДС"</formula>
    </cfRule>
  </conditionalFormatting>
  <conditionalFormatting sqref="L29:S30 D32 L32:S32">
    <cfRule type="expression" dxfId="2" priority="3">
      <formula>$G29="на согласовании СК"</formula>
    </cfRule>
  </conditionalFormatting>
  <conditionalFormatting sqref="L29:S30 D32 L32:S32">
    <cfRule type="expression" dxfId="3" priority="4">
      <formula>$G29="на согласовании подрядчика"</formula>
    </cfRule>
  </conditionalFormatting>
  <conditionalFormatting sqref="L29:S30 D32 L32:S32">
    <cfRule type="expression" dxfId="2" priority="5">
      <formula>$G29="ожидается подпись контрагента"</formula>
    </cfRule>
  </conditionalFormatting>
  <conditionalFormatting sqref="L29:S30 D32 L32:S32">
    <cfRule type="expression" dxfId="4" priority="6">
      <formula>$G29="ведутся работы"</formula>
    </cfRule>
  </conditionalFormatting>
  <conditionalFormatting sqref="L29:S30 D32 L32:S32">
    <cfRule type="expression" dxfId="5" priority="7">
      <formula>$G29="сформирован"</formula>
    </cfRule>
  </conditionalFormatting>
  <conditionalFormatting sqref="L29:S30 D32 L32:S32">
    <cfRule type="expression" dxfId="5" priority="8">
      <formula>$G29="Удален"</formula>
    </cfRule>
  </conditionalFormatting>
  <conditionalFormatting sqref="L29:S30 D32 L32:S32">
    <cfRule type="expression" dxfId="6" priority="9">
      <formula>$G29="На подписании подрядчика"</formula>
    </cfRule>
  </conditionalFormatting>
  <conditionalFormatting sqref="L29:S30 D32 L32:S32">
    <cfRule type="expression" dxfId="6" priority="10">
      <formula>$G29="Подписан подрядчиком"</formula>
    </cfRule>
  </conditionalFormatting>
  <conditionalFormatting sqref="L29:S30 D32 L32:S32">
    <cfRule type="expression" dxfId="7" priority="11">
      <formula>$G29="Подписан обеими сторонами"</formula>
    </cfRule>
  </conditionalFormatting>
  <conditionalFormatting sqref="L29:S30 D32 L32:S32">
    <cfRule type="expression" dxfId="5" priority="12">
      <formula>$G29="Отклонен"</formula>
    </cfRule>
  </conditionalFormatting>
  <conditionalFormatting sqref="L29:S30 D32 L32:S32">
    <cfRule type="expression" dxfId="5" priority="13">
      <formula>$G29="Отклонен"</formula>
    </cfRule>
  </conditionalFormatting>
  <conditionalFormatting sqref="L29:S30 D32 L32:S32">
    <cfRule type="expression" dxfId="7" priority="14">
      <formula>$G29="Подписан обеими сторонами"</formula>
    </cfRule>
  </conditionalFormatting>
  <conditionalFormatting sqref="L29:S30 D32 L32:S32">
    <cfRule type="expression" dxfId="6" priority="15">
      <formula>$G29="Подписан подрядчиком"</formula>
    </cfRule>
  </conditionalFormatting>
  <conditionalFormatting sqref="L29:S30 D32 L32:S32">
    <cfRule type="expression" dxfId="6" priority="16">
      <formula>$G29="На подписании подрядчика"</formula>
    </cfRule>
  </conditionalFormatting>
  <conditionalFormatting sqref="L29:S30 D32 L32:S32">
    <cfRule type="expression" dxfId="5" priority="17">
      <formula>$G29="Удален"</formula>
    </cfRule>
  </conditionalFormatting>
  <conditionalFormatting sqref="L29:S30 D32 L32:S32">
    <cfRule type="expression" dxfId="5" priority="18">
      <formula>$G29="сформирован"</formula>
    </cfRule>
  </conditionalFormatting>
  <conditionalFormatting sqref="L29:S30 D32 L32:S32">
    <cfRule type="expression" dxfId="4" priority="19">
      <formula>$G29="ведутся работы"</formula>
    </cfRule>
  </conditionalFormatting>
  <conditionalFormatting sqref="L29:S30 D32 L32:S32">
    <cfRule type="expression" dxfId="2" priority="20">
      <formula>$G29="ожидается подпись контрагента"</formula>
    </cfRule>
  </conditionalFormatting>
  <conditionalFormatting sqref="L29:S30 D32 L32:S32">
    <cfRule type="expression" dxfId="3" priority="21">
      <formula>$G29="на согласовании подрядчика"</formula>
    </cfRule>
  </conditionalFormatting>
  <conditionalFormatting sqref="L29:S30 D32 L32:S32">
    <cfRule type="expression" dxfId="2" priority="22">
      <formula>$G29="на согласовании СК"</formula>
    </cfRule>
  </conditionalFormatting>
  <conditionalFormatting sqref="L29:S30 D32 L32:S32">
    <cfRule type="expression" dxfId="1" priority="23">
      <formula>$G29="на согласовании ДС"</formula>
    </cfRule>
  </conditionalFormatting>
  <conditionalFormatting sqref="L29:S30 D32 L32:S32">
    <cfRule type="expression" dxfId="0" priority="24">
      <formula>$G29="Согласован"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25">
      <formula>$D4="Отклонен"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7" priority="26">
      <formula>$D4="Подписан обеими сторонами"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6" priority="27">
      <formula>$D4="Подписан подрядчиком"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6" priority="28">
      <formula>$D4="На подписании подрядчика"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29">
      <formula>$D4="Удален"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30">
      <formula>$D4="сформирован"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4" priority="31">
      <formula>$D4="ведутся работы"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2" priority="32">
      <formula>$D4="ожидается подпись контрагента"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3" priority="33">
      <formula>$D4="на согласовании подрядчика"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2" priority="34">
      <formula>$D4="на согласовании СК"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1" priority="35">
      <formula>$D4="на согласовании ДС"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0" priority="36">
      <formula>$D4="Согласован"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37">
      <formula>$C4="Отклонен"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7" priority="38">
      <formula>$C4="Подписан обеими сторонами"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6" priority="39">
      <formula>$C4="Подписан подрядчиком"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6" priority="40">
      <formula>$C4="На подписании подрядчика"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41">
      <formula>$C4="Удален"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42">
      <formula>$C4="сформирован"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4" priority="43">
      <formula>$C4="ведутся работы"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2" priority="44">
      <formula>$C4="ожидается подпись контрагента"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3" priority="45">
      <formula>$C4="на согласовании подрядчика"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2" priority="46">
      <formula>$C4="на согласовании СК"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1" priority="47">
      <formula>$C4="на согласовании ДС"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0" priority="48">
      <formula>$C4="Согласован"</formula>
    </cfRule>
  </conditionalFormatting>
  <conditionalFormatting sqref="D22:D23 D27:D31 C28:C31 D33:D40 D54:D61">
    <cfRule type="expression" dxfId="5" priority="49">
      <formula>$C22="Отклонен"</formula>
    </cfRule>
  </conditionalFormatting>
  <conditionalFormatting sqref="D22:D23 D27:D31 C28:C31 D33:D40 D54:D61">
    <cfRule type="expression" dxfId="7" priority="50">
      <formula>$C22="Подписан обеими сторонами"</formula>
    </cfRule>
  </conditionalFormatting>
  <conditionalFormatting sqref="D22:D23 D27:D31 C28:C31 D33:D40 D54:D61">
    <cfRule type="expression" dxfId="6" priority="51">
      <formula>$C22="Подписан подрядчиком"</formula>
    </cfRule>
  </conditionalFormatting>
  <conditionalFormatting sqref="D22:D23 D27:D31 C28:C31 D33:D40 D54:D61">
    <cfRule type="expression" dxfId="6" priority="52">
      <formula>$C22="На подписании подрядчика"</formula>
    </cfRule>
  </conditionalFormatting>
  <conditionalFormatting sqref="D22:D23 D27:D31 C28:C31 D33:D40 D54:D61">
    <cfRule type="expression" dxfId="5" priority="53">
      <formula>$C22="Удален"</formula>
    </cfRule>
  </conditionalFormatting>
  <conditionalFormatting sqref="D22:D23 D27:D31 C28:C31 D33:D40 D54:D61">
    <cfRule type="expression" dxfId="5" priority="54">
      <formula>$C22="сформирован"</formula>
    </cfRule>
  </conditionalFormatting>
  <conditionalFormatting sqref="D22:D23 D27:D31 C28:C31 D33:D40 D54:D61">
    <cfRule type="expression" dxfId="4" priority="55">
      <formula>$C22="ведутся работы"</formula>
    </cfRule>
  </conditionalFormatting>
  <conditionalFormatting sqref="D22:D23 D27:D31 C28:C31 D33:D40 D54:D61">
    <cfRule type="expression" dxfId="2" priority="56">
      <formula>$C22="ожидается подпись контрагента"</formula>
    </cfRule>
  </conditionalFormatting>
  <conditionalFormatting sqref="D22:D23 D27:D31 C28:C31 D33:D40 D54:D61">
    <cfRule type="expression" dxfId="3" priority="57">
      <formula>$C22="на согласовании подрядчика"</formula>
    </cfRule>
  </conditionalFormatting>
  <conditionalFormatting sqref="D22:D23 D27:D31 C28:C31 D33:D40 D54:D61">
    <cfRule type="expression" dxfId="2" priority="58">
      <formula>$C22="на согласовании СК"</formula>
    </cfRule>
  </conditionalFormatting>
  <conditionalFormatting sqref="D22:D23 D27:D31 C28:C31 D33:D40 D54:D61">
    <cfRule type="expression" dxfId="1" priority="59">
      <formula>$C22="на согласовании ДС"</formula>
    </cfRule>
  </conditionalFormatting>
  <conditionalFormatting sqref="D22:D23 D27:D31 C28:C31 D33:D40 D54:D61">
    <cfRule type="expression" dxfId="0" priority="60">
      <formula>$C22="Согласован"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0" priority="61">
      <formula>$H4="Согласован"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1" priority="62">
      <formula>$H4="на согласовании ДС"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2" priority="63">
      <formula>$H4="на согласовании СК"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3" priority="64">
      <formula>$H4="на согласовании подрядчика"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2" priority="65">
      <formula>$H4="ожидается подпись контрагента"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4" priority="66">
      <formula>$H4="ведутся работы"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67">
      <formula>$H4="сформирован"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68">
      <formula>$H4="Удален"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6" priority="69">
      <formula>$H4="На подписании подрядчика"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6" priority="70">
      <formula>$H4="Подписан подрядчиком"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7" priority="71">
      <formula>$H4="Подписан обеими сторонами"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72">
      <formula>$H4="Отклонен"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5" priority="73">
      <formula>$F4="Отклонен"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7" priority="74">
      <formula>$F4="Подписан обеими сторонами"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6" priority="75">
      <formula>$F4="Подписан подрядчиком"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6" priority="76">
      <formula>$F4="На подписании подрядчика"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5" priority="77">
      <formula>$F4="Удален"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5" priority="78">
      <formula>$F4="сформирован"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4" priority="79">
      <formula>$F4="ведутся работы"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2" priority="80">
      <formula>$F4="ожидается подпись контрагента"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3" priority="81">
      <formula>$F4="на согласовании подрядчика"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2" priority="82">
      <formula>$F4="на согласовании СК"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1" priority="83">
      <formula>$F4="на согласовании ДС"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A69 D69 G69:M69 N69:N71 P69:P70 Q69:R69 T69:U69 A72 K73:K74 L73:M75 N73:N76 O73:P77 Q73:R75">
    <cfRule type="expression" dxfId="0" priority="84">
      <formula>$F4="Согласован"</formula>
    </cfRule>
  </conditionalFormatting>
  <conditionalFormatting sqref="L4:L77 M4:M78 N4:P77 R4:R77 Q17:Q40 D19 S19:S40 D27 D32:D36 K33 K37 K39 D41:D50 A45:A50 F54:F61 K54:K61 D68 Q70:Q71 F72:F74 D76:D77 Q76 S76">
    <cfRule type="expression" dxfId="5" priority="85">
      <formula>$H4="Отклонен"</formula>
    </cfRule>
  </conditionalFormatting>
  <conditionalFormatting sqref="L4:L77 M4:M78 N4:P77 R4:R77 Q17:Q40 D19 S19:S40 D27 D32:D36 K33 K37 K39 D41:D50 A45:A50 F54:F61 K54:K61 D68 Q70:Q71 F72:F74 D76:D77 Q76 S76">
    <cfRule type="expression" dxfId="7" priority="86">
      <formula>$H4="Подписан обеими сторонами"</formula>
    </cfRule>
  </conditionalFormatting>
  <conditionalFormatting sqref="L4:L77 M4:M78 N4:P77 R4:R77 Q17:Q40 D19 S19:S40 D27 D32:D36 K33 K37 K39 D41:D50 A45:A50 F54:F61 K54:K61 D68 Q70:Q71 F72:F74 D76:D77 Q76 S76">
    <cfRule type="expression" dxfId="6" priority="87">
      <formula>$H4="Подписан подрядчиком"</formula>
    </cfRule>
  </conditionalFormatting>
  <conditionalFormatting sqref="L4:L77 M4:M78 N4:P77 R4:R77 Q17:Q40 D19 S19:S40 D27 D32:D36 K33 K37 K39 D41:D50 A45:A50 F54:F61 K54:K61 D68 Q70:Q71 F72:F74 D76:D77 Q76 S76">
    <cfRule type="expression" dxfId="6" priority="88">
      <formula>$H4="На подписании подрядчика"</formula>
    </cfRule>
  </conditionalFormatting>
  <conditionalFormatting sqref="L4:L77 M4:M78 N4:P77 R4:R77 Q17:Q40 D19 S19:S40 D27 D32:D36 K33 K37 K39 D41:D50 A45:A50 F54:F61 K54:K61 D68 Q70:Q71 F72:F74 D76:D77 Q76 S76">
    <cfRule type="expression" dxfId="5" priority="89">
      <formula>$H4="Удален"</formula>
    </cfRule>
  </conditionalFormatting>
  <conditionalFormatting sqref="L4:L77 M4:M78 N4:P77 R4:R77 Q17:Q40 D19 S19:S40 D27 D32:D36 K33 K37 K39 D41:D50 A45:A50 F54:F61 K54:K61 D68 Q70:Q71 F72:F74 D76:D77 Q76 S76">
    <cfRule type="expression" dxfId="5" priority="90">
      <formula>$H4="сформирован"</formula>
    </cfRule>
  </conditionalFormatting>
  <conditionalFormatting sqref="L4:L77 M4:M78 N4:P77 R4:R77 Q17:Q40 D19 S19:S40 D27 D32:D36 K33 K37 K39 D41:D50 A45:A50 F54:F61 K54:K61 D68 Q70:Q71 F72:F74 D76:D77 Q76 S76">
    <cfRule type="expression" dxfId="4" priority="91">
      <formula>$H4="ведутся работы"</formula>
    </cfRule>
  </conditionalFormatting>
  <conditionalFormatting sqref="L4:L77 M4:M78 N4:P77 R4:R77 Q17:Q40 D19 S19:S40 D27 D32:D36 K33 K37 K39 D41:D50 A45:A50 F54:F61 K54:K61 D68 Q70:Q71 F72:F74 D76:D77 Q76 S76">
    <cfRule type="expression" dxfId="2" priority="92">
      <formula>$H4="ожидается подпись контрагента"</formula>
    </cfRule>
  </conditionalFormatting>
  <conditionalFormatting sqref="L4:L77 M4:M78 N4:P77 R4:R77 Q17:Q40 D19 S19:S40 D27 D32:D36 K33 K37 K39 D41:D50 A45:A50 F54:F61 K54:K61 D68 Q70:Q71 F72:F74 D76:D77 Q76 S76">
    <cfRule type="expression" dxfId="3" priority="93">
      <formula>$H4="на согласовании подрядчика"</formula>
    </cfRule>
  </conditionalFormatting>
  <conditionalFormatting sqref="L4:L77 M4:M78 N4:P77 R4:R77 Q17:Q40 D19 S19:S40 D27 D32:D36 K33 K37 K39 D41:D50 A45:A50 F54:F61 K54:K61 D68 Q70:Q71 F72:F74 D76:D77 Q76 S76">
    <cfRule type="expression" dxfId="2" priority="94">
      <formula>$H4="на согласовании СК"</formula>
    </cfRule>
  </conditionalFormatting>
  <conditionalFormatting sqref="L4:L77 M4:M78 N4:P77 R4:R77 Q17:Q40 D19 S19:S40 D27 D32:D36 K33 K37 K39 D41:D50 A45:A50 F54:F61 K54:K61 D68 Q70:Q71 F72:F74 D76:D77 Q76 S76">
    <cfRule type="expression" dxfId="1" priority="95">
      <formula>$H4="на согласовании ДС"</formula>
    </cfRule>
  </conditionalFormatting>
  <conditionalFormatting sqref="L4:L77 M4:M78 N4:P77 R4:R77 Q17:Q40 D19 S19:S40 D27 D32:D36 K33 K37 K39 D41:D50 A45:A50 F54:F61 K54:K61 D68 Q70:Q71 F72:F74 D76:D77 Q76 S76">
    <cfRule type="expression" dxfId="0" priority="96">
      <formula>$H4="Согласован"</formula>
    </cfRule>
  </conditionalFormatting>
  <conditionalFormatting sqref="B4:B77 F4:F77 K4:L77 M4:M78 N4:U77 C17:C77 A19:A20 I20:I21 J20 A27 J32 A34">
    <cfRule type="expression" dxfId="5" priority="97">
      <formula>$F4="Отклонен"</formula>
    </cfRule>
  </conditionalFormatting>
  <conditionalFormatting sqref="B4:B77 F4:F77 K4:L77 M4:M78 N4:U77 C17:C77 A19:A20 I20:I21 J20 A27 J32 A34">
    <cfRule type="expression" dxfId="7" priority="98">
      <formula>$F4="Подписан обеими сторонами"</formula>
    </cfRule>
  </conditionalFormatting>
  <conditionalFormatting sqref="B4:B77 F4:F77 K4:L77 M4:M78 N4:U77 C17:C77 A19:A20 I20:I21 J20 A27 J32 A34">
    <cfRule type="expression" dxfId="6" priority="99">
      <formula>$F4="Подписан подрядчиком"</formula>
    </cfRule>
  </conditionalFormatting>
  <conditionalFormatting sqref="B4:B77 F4:F77 K4:L77 M4:M78 N4:U77 C17:C77 A19:A20 I20:I21 J20 A27 J32 A34">
    <cfRule type="expression" dxfId="6" priority="100">
      <formula>$F4="На подписании подрядчика"</formula>
    </cfRule>
  </conditionalFormatting>
  <conditionalFormatting sqref="B4:B77 F4:F77 K4:L77 M4:M78 N4:U77 C17:C77 A19:A20 I20:I21 J20 A27 J32 A34">
    <cfRule type="expression" dxfId="5" priority="101">
      <formula>$F4="Удален"</formula>
    </cfRule>
  </conditionalFormatting>
  <conditionalFormatting sqref="B4:B77 F4:F77 K4:L77 M4:M78 N4:U77 C17:C77 A19:A20 I20:I21 J20 A27 J32 A34">
    <cfRule type="expression" dxfId="5" priority="102">
      <formula>$F4="сформирован"</formula>
    </cfRule>
  </conditionalFormatting>
  <conditionalFormatting sqref="B4:B77 F4:F77 K4:L77 M4:M78 N4:U77 C17:C77 A19:A20 I20:I21 J20 A27 J32 A34">
    <cfRule type="expression" dxfId="4" priority="103">
      <formula>$F4="ведутся работы"</formula>
    </cfRule>
  </conditionalFormatting>
  <conditionalFormatting sqref="B4:B77 F4:F77 K4:L77 M4:M78 N4:U77 C17:C77 A19:A20 I20:I21 J20 A27 J32 A34">
    <cfRule type="expression" dxfId="2" priority="104">
      <formula>$F4="ожидается подпись контрагента"</formula>
    </cfRule>
  </conditionalFormatting>
  <conditionalFormatting sqref="B4:B77 F4:F77 K4:L77 M4:M78 N4:U77 C17:C77 A19:A20 I20:I21 J20 A27 J32 A34">
    <cfRule type="expression" dxfId="3" priority="105">
      <formula>$F4="на согласовании подрядчика"</formula>
    </cfRule>
  </conditionalFormatting>
  <conditionalFormatting sqref="B4:B77 F4:F77 K4:L77 M4:M78 N4:U77 C17:C77 A19:A20 I20:I21 J20 A27 J32 A34">
    <cfRule type="expression" dxfId="2" priority="106">
      <formula>$F4="на согласовании СК"</formula>
    </cfRule>
  </conditionalFormatting>
  <conditionalFormatting sqref="B4:B77 F4:F77 K4:L77 M4:M78 N4:U77 C17:C77 A19:A20 I20:I21 J20 A27 J32 A34">
    <cfRule type="expression" dxfId="1" priority="107">
      <formula>$F4="на согласовании ДС"</formula>
    </cfRule>
  </conditionalFormatting>
  <conditionalFormatting sqref="B4:B77 F4:F77 K4:L77 M4:M78 N4:U77 C17:C77 A19:A20 I20:I21 J20 A27 J32 A34">
    <cfRule type="expression" dxfId="0" priority="108">
      <formula>$F4="Согласован"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09">
      <formula>$F4="Отклонен"</formula>
    </cfRule>
  </conditionalFormatting>
  <conditionalFormatting sqref="L4:L77 M4:M78 Q4:R77 S17:S40 N19:N52 O19:O71 P19:P52 G27:G40 H32 F33:F35 K33:K35 T33:U35 K37:K40 F40 T40:U40 N54:N71 P54:P71 S70:S71 N76 O76:P77 S76">
    <cfRule type="expression" dxfId="7" priority="110">
      <formula>$F4="Подписан обеими сторонами"</formula>
    </cfRule>
  </conditionalFormatting>
  <conditionalFormatting sqref="L4:L77 M4:M78 Q4:R77 S17:S40 N19:N52 O19:O71 P19:P52 G27:G40 H32 F33:F35 K33:K35 T33:U35 K37:K40 F40 T40:U40 N54:N71 P54:P71 S70:S71 N76 O76:P77 S76">
    <cfRule type="expression" dxfId="6" priority="111">
      <formula>$F4="Подписан подрядчиком"</formula>
    </cfRule>
  </conditionalFormatting>
  <conditionalFormatting sqref="L4:L77 M4:M78 Q4:R77 S17:S40 N19:N52 O19:O71 P19:P52 G27:G40 H32 F33:F35 K33:K35 T33:U35 K37:K40 F40 T40:U40 N54:N71 P54:P71 S70:S71 N76 O76:P77 S76">
    <cfRule type="expression" dxfId="6" priority="112">
      <formula>$F4="На подписании подрядчика"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13">
      <formula>$F4="Удален"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14">
      <formula>$F4="сформирован"</formula>
    </cfRule>
  </conditionalFormatting>
  <conditionalFormatting sqref="L4:L77 M4:M78 Q4:R77 S17:S40 N19:N52 O19:O71 P19:P52 G27:G40 H32 F33:F35 K33:K35 T33:U35 K37:K40 F40 T40:U40 N54:N71 P54:P71 S70:S71 N76 O76:P77 S76">
    <cfRule type="expression" dxfId="4" priority="115">
      <formula>$F4="ведутся работы"</formula>
    </cfRule>
  </conditionalFormatting>
  <conditionalFormatting sqref="L4:L77 M4:M78 Q4:R77 S17:S40 N19:N52 O19:O71 P19:P52 G27:G40 H32 F33:F35 K33:K35 T33:U35 K37:K40 F40 T40:U40 N54:N71 P54:P71 S70:S71 N76 O76:P77 S76">
    <cfRule type="expression" dxfId="2" priority="116">
      <formula>$F4="ожидается подпись контрагента"</formula>
    </cfRule>
  </conditionalFormatting>
  <conditionalFormatting sqref="L4:L77 M4:M78 Q4:R77 S17:S40 N19:N52 O19:O71 P19:P52 G27:G40 H32 F33:F35 K33:K35 T33:U35 K37:K40 F40 T40:U40 N54:N71 P54:P71 S70:S71 N76 O76:P77 S76">
    <cfRule type="expression" dxfId="3" priority="117">
      <formula>$F4="на согласовании подрядчика"</formula>
    </cfRule>
  </conditionalFormatting>
  <conditionalFormatting sqref="L4:L77 M4:M78 Q4:R77 S17:S40 N19:N52 O19:O71 P19:P52 G27:G40 H32 F33:F35 K33:K35 T33:U35 K37:K40 F40 T40:U40 N54:N71 P54:P71 S70:S71 N76 O76:P77 S76">
    <cfRule type="expression" dxfId="2" priority="118">
      <formula>$F4="на согласовании СК"</formula>
    </cfRule>
  </conditionalFormatting>
  <conditionalFormatting sqref="L4:L77 M4:M78 Q4:R77 S17:S40 N19:N52 O19:O71 P19:P52 G27:G40 H32 F33:F35 K33:K35 T33:U35 K37:K40 F40 T40:U40 N54:N71 P54:P71 S70:S71 N76 O76:P77 S76">
    <cfRule type="expression" dxfId="1" priority="119">
      <formula>$F4="на согласовании ДС"</formula>
    </cfRule>
  </conditionalFormatting>
  <conditionalFormatting sqref="A4:U78">
    <cfRule type="expression" dxfId="5" priority="120">
      <formula>$F4="Отклонен"</formula>
    </cfRule>
  </conditionalFormatting>
  <conditionalFormatting sqref="A4:U78">
    <cfRule type="expression" dxfId="7" priority="121">
      <formula>$F4="Подписан обеими сторонами"</formula>
    </cfRule>
  </conditionalFormatting>
  <conditionalFormatting sqref="A4:U78">
    <cfRule type="expression" dxfId="6" priority="122">
      <formula>$F4="Подписан подрядчиком"</formula>
    </cfRule>
  </conditionalFormatting>
  <conditionalFormatting sqref="A4:U78">
    <cfRule type="expression" dxfId="6" priority="123">
      <formula>$F4="На подписании подрядчика"</formula>
    </cfRule>
  </conditionalFormatting>
  <conditionalFormatting sqref="A4:U78">
    <cfRule type="expression" dxfId="5" priority="124">
      <formula>$F4="Удален"</formula>
    </cfRule>
  </conditionalFormatting>
  <conditionalFormatting sqref="A4:U78">
    <cfRule type="expression" dxfId="5" priority="125">
      <formula>$F4="сформирован"</formula>
    </cfRule>
  </conditionalFormatting>
  <conditionalFormatting sqref="A4:U78">
    <cfRule type="expression" dxfId="4" priority="126">
      <formula>$F4="ведутся работы"</formula>
    </cfRule>
  </conditionalFormatting>
  <conditionalFormatting sqref="A4:U78">
    <cfRule type="expression" dxfId="2" priority="127">
      <formula>$F4="ожидается подпись контрагента"</formula>
    </cfRule>
  </conditionalFormatting>
  <conditionalFormatting sqref="A4:U78">
    <cfRule type="expression" dxfId="3" priority="128">
      <formula>$F4="на согласовании подрядчика"</formula>
    </cfRule>
  </conditionalFormatting>
  <conditionalFormatting sqref="A4:U78">
    <cfRule type="expression" dxfId="2" priority="129">
      <formula>$F4="на согласовании СК"</formula>
    </cfRule>
  </conditionalFormatting>
  <conditionalFormatting sqref="A4:U78">
    <cfRule type="expression" dxfId="1" priority="130">
      <formula>$F4="на согласовании ДС"</formula>
    </cfRule>
  </conditionalFormatting>
  <conditionalFormatting sqref="A4:U78">
    <cfRule type="expression" dxfId="0" priority="131">
      <formula>$F4="Согласован"</formula>
    </cfRule>
  </conditionalFormatting>
  <dataValidations>
    <dataValidation type="list" allowBlank="1" sqref="F58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работы,Удален,Отклонен,Сформирован"</formula1>
    </dataValidation>
    <dataValidation type="list" allowBlank="1" sqref="F27 F34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работы,Удален,Отклонен,Сформирован"</formula1>
    </dataValidation>
    <dataValidation type="list" allowBlank="1" sqref="F4:F26 F28:F33 F35:F57 F59:F77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работы,Удален,Отклонен,Сформирован,Отозван"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H19"/>
    <hyperlink r:id="rId17" ref="H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E52"/>
    <hyperlink r:id="rId50" ref="E53"/>
    <hyperlink r:id="rId51" ref="H62"/>
    <hyperlink r:id="rId52" ref="H63"/>
    <hyperlink r:id="rId53" ref="H64"/>
    <hyperlink r:id="rId54" ref="H65"/>
    <hyperlink r:id="rId55" ref="H66"/>
    <hyperlink r:id="rId56" ref="H67"/>
    <hyperlink r:id="rId57" ref="H68"/>
    <hyperlink r:id="rId58" ref="H69"/>
    <hyperlink r:id="rId59" ref="H70"/>
    <hyperlink r:id="rId60" ref="H71"/>
    <hyperlink r:id="rId61" ref="E72"/>
    <hyperlink r:id="rId62" ref="E73"/>
    <hyperlink r:id="rId63" ref="E74"/>
    <hyperlink r:id="rId64" ref="E75"/>
    <hyperlink r:id="rId65" ref="H76"/>
    <hyperlink r:id="rId66" ref="G77"/>
    <hyperlink r:id="rId67" ref="H77"/>
  </hyperlinks>
  <printOptions gridLines="1" horizontalCentered="1"/>
  <pageMargins bottom="0.21518714270305256" footer="0.0" header="0.0" left="0.16665861552582004" right="0.25" top="0.19685039370078738"/>
  <pageSetup fitToHeight="0" paperSize="8" cellComments="atEnd" orientation="landscape" pageOrder="overThenDown"/>
  <drawing r:id="rId6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2" width="2.88"/>
    <col customWidth="1" min="3" max="3" width="29.75"/>
    <col customWidth="1" min="4" max="4" width="9.88"/>
    <col customWidth="1" min="5" max="5" width="6.88"/>
    <col customWidth="1" min="6" max="6" width="29.38"/>
    <col customWidth="1" min="7" max="7" width="29.75"/>
    <col customWidth="1" min="8" max="8" width="27.0"/>
    <col customWidth="1" min="9" max="9" width="32.38"/>
    <col customWidth="1" min="10" max="10" width="35.38"/>
    <col customWidth="1" min="11" max="11" width="13.63"/>
    <col customWidth="1" min="12" max="12" width="12.75"/>
    <col customWidth="1" min="13" max="13" width="12.63"/>
    <col customWidth="1" min="14" max="14" width="11.5"/>
    <col customWidth="1" min="15" max="16" width="11.25"/>
    <col customWidth="1" min="17" max="17" width="12.5"/>
    <col customWidth="1" min="18" max="18" width="12.25"/>
    <col customWidth="1" min="19" max="19" width="13.25"/>
    <col customWidth="1" min="20" max="20" width="45.63"/>
    <col customWidth="1" min="21" max="21" width="40.25"/>
  </cols>
  <sheetData>
    <row r="1">
      <c r="A1" s="281" t="s">
        <v>644</v>
      </c>
      <c r="B1" s="282"/>
      <c r="C1" s="282"/>
      <c r="D1" s="283" t="s">
        <v>644</v>
      </c>
      <c r="E1" s="285" t="s">
        <v>647</v>
      </c>
      <c r="F1" s="285" t="s">
        <v>648</v>
      </c>
      <c r="G1" s="287" t="s">
        <v>181</v>
      </c>
      <c r="H1" s="288" t="s">
        <v>23</v>
      </c>
      <c r="I1" s="289" t="s">
        <v>26</v>
      </c>
      <c r="J1" s="287" t="s">
        <v>178</v>
      </c>
      <c r="K1" s="290" t="s">
        <v>656</v>
      </c>
      <c r="L1" s="290" t="s">
        <v>657</v>
      </c>
      <c r="M1" s="290" t="s">
        <v>658</v>
      </c>
      <c r="N1" s="290" t="s">
        <v>659</v>
      </c>
      <c r="O1" s="290" t="s">
        <v>660</v>
      </c>
      <c r="P1" s="290" t="s">
        <v>661</v>
      </c>
      <c r="Q1" s="290" t="s">
        <v>662</v>
      </c>
      <c r="R1" s="290" t="s">
        <v>663</v>
      </c>
      <c r="S1" s="290" t="s">
        <v>664</v>
      </c>
      <c r="T1" s="290" t="s">
        <v>667</v>
      </c>
      <c r="U1" s="234"/>
    </row>
    <row r="2">
      <c r="A2" s="291"/>
      <c r="B2" s="282"/>
      <c r="C2" s="282"/>
      <c r="D2" s="235"/>
      <c r="E2" s="235"/>
      <c r="F2" s="235"/>
      <c r="G2" s="236"/>
      <c r="H2" s="235"/>
      <c r="I2" s="236"/>
      <c r="J2" s="236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4"/>
    </row>
    <row r="3">
      <c r="A3" s="293"/>
      <c r="B3" s="294"/>
      <c r="C3" s="294"/>
      <c r="D3" s="296"/>
      <c r="E3" s="298"/>
      <c r="F3" s="298"/>
      <c r="G3" s="299"/>
      <c r="H3" s="300" t="s">
        <v>644</v>
      </c>
      <c r="I3" s="302"/>
      <c r="J3" s="303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247"/>
    </row>
    <row r="4">
      <c r="A4" s="305" t="s">
        <v>683</v>
      </c>
      <c r="B4" s="306"/>
      <c r="C4" s="306"/>
      <c r="D4" s="307"/>
      <c r="E4" s="310" t="s">
        <v>721</v>
      </c>
      <c r="F4" s="311" t="s">
        <v>695</v>
      </c>
      <c r="G4" s="312" t="s">
        <v>697</v>
      </c>
      <c r="H4" s="312" t="s">
        <v>98</v>
      </c>
      <c r="I4" s="312" t="s">
        <v>102</v>
      </c>
      <c r="J4" s="313" t="s">
        <v>701</v>
      </c>
      <c r="K4" s="314">
        <v>1604208.82</v>
      </c>
      <c r="L4" s="317">
        <f t="shared" ref="L4:L29" si="1">K4-M4</f>
        <v>0</v>
      </c>
      <c r="M4" s="317">
        <v>1604208.82</v>
      </c>
      <c r="N4" s="318"/>
      <c r="O4" s="318"/>
      <c r="P4" s="318"/>
      <c r="Q4" s="317">
        <f t="shared" ref="Q4:Q67" si="2">M4-N4-P4</f>
        <v>1604208.82</v>
      </c>
      <c r="R4" s="318"/>
      <c r="S4" s="317">
        <f t="shared" ref="S4:S67" si="3">Q4-R4</f>
        <v>1604208.82</v>
      </c>
      <c r="T4" s="318"/>
      <c r="U4" s="259"/>
    </row>
    <row r="5">
      <c r="A5" s="305" t="s">
        <v>683</v>
      </c>
      <c r="B5" s="306"/>
      <c r="C5" s="306"/>
      <c r="D5" s="307"/>
      <c r="E5" s="310" t="s">
        <v>721</v>
      </c>
      <c r="F5" s="311" t="s">
        <v>695</v>
      </c>
      <c r="G5" s="312" t="s">
        <v>697</v>
      </c>
      <c r="H5" s="312" t="s">
        <v>98</v>
      </c>
      <c r="I5" s="312" t="s">
        <v>102</v>
      </c>
      <c r="J5" s="313" t="s">
        <v>731</v>
      </c>
      <c r="K5" s="314">
        <v>1179960.78</v>
      </c>
      <c r="L5" s="317">
        <f t="shared" si="1"/>
        <v>0</v>
      </c>
      <c r="M5" s="317">
        <v>1179960.78</v>
      </c>
      <c r="N5" s="318"/>
      <c r="O5" s="318"/>
      <c r="P5" s="318"/>
      <c r="Q5" s="317">
        <f t="shared" si="2"/>
        <v>1179960.78</v>
      </c>
      <c r="R5" s="318"/>
      <c r="S5" s="317">
        <f t="shared" si="3"/>
        <v>1179960.78</v>
      </c>
      <c r="T5" s="318"/>
      <c r="U5" s="259"/>
    </row>
    <row r="6">
      <c r="A6" s="305" t="s">
        <v>683</v>
      </c>
      <c r="B6" s="306"/>
      <c r="C6" s="306"/>
      <c r="D6" s="307"/>
      <c r="E6" s="310" t="s">
        <v>721</v>
      </c>
      <c r="F6" s="311" t="s">
        <v>695</v>
      </c>
      <c r="G6" s="312" t="s">
        <v>747</v>
      </c>
      <c r="H6" s="312" t="s">
        <v>98</v>
      </c>
      <c r="I6" s="312" t="s">
        <v>102</v>
      </c>
      <c r="J6" s="312" t="s">
        <v>748</v>
      </c>
      <c r="K6" s="314">
        <v>77066.5</v>
      </c>
      <c r="L6" s="317">
        <f t="shared" si="1"/>
        <v>0</v>
      </c>
      <c r="M6" s="317">
        <v>77066.5</v>
      </c>
      <c r="N6" s="318"/>
      <c r="O6" s="318"/>
      <c r="P6" s="317">
        <v>3853.33</v>
      </c>
      <c r="Q6" s="317">
        <f t="shared" si="2"/>
        <v>73213.17</v>
      </c>
      <c r="R6" s="318"/>
      <c r="S6" s="317">
        <f t="shared" si="3"/>
        <v>73213.17</v>
      </c>
      <c r="T6" s="318"/>
      <c r="U6" s="259"/>
    </row>
    <row r="7">
      <c r="A7" s="305" t="s">
        <v>683</v>
      </c>
      <c r="B7" s="306"/>
      <c r="C7" s="320" t="s">
        <v>896</v>
      </c>
      <c r="D7" s="307"/>
      <c r="E7" s="321"/>
      <c r="F7" s="311" t="s">
        <v>695</v>
      </c>
      <c r="G7" s="312" t="s">
        <v>747</v>
      </c>
      <c r="H7" s="312" t="s">
        <v>98</v>
      </c>
      <c r="I7" s="312" t="s">
        <v>102</v>
      </c>
      <c r="J7" s="312" t="s">
        <v>898</v>
      </c>
      <c r="K7" s="314">
        <v>1443252.69</v>
      </c>
      <c r="L7" s="317">
        <f t="shared" si="1"/>
        <v>0</v>
      </c>
      <c r="M7" s="317">
        <v>1443252.69</v>
      </c>
      <c r="N7" s="317">
        <v>1371090.06</v>
      </c>
      <c r="O7" s="318"/>
      <c r="P7" s="317">
        <v>72162.63</v>
      </c>
      <c r="Q7" s="317">
        <f t="shared" si="2"/>
        <v>-0.0000000001164153218</v>
      </c>
      <c r="R7" s="318"/>
      <c r="S7" s="317">
        <f t="shared" si="3"/>
        <v>-0.0000000001164153218</v>
      </c>
      <c r="T7" s="318"/>
      <c r="U7" s="259"/>
    </row>
    <row r="8">
      <c r="A8" s="305" t="s">
        <v>683</v>
      </c>
      <c r="B8" s="306"/>
      <c r="C8" s="306"/>
      <c r="D8" s="307"/>
      <c r="E8" s="310" t="s">
        <v>721</v>
      </c>
      <c r="F8" s="311" t="s">
        <v>695</v>
      </c>
      <c r="G8" s="312" t="s">
        <v>747</v>
      </c>
      <c r="H8" s="312" t="s">
        <v>98</v>
      </c>
      <c r="I8" s="312" t="s">
        <v>102</v>
      </c>
      <c r="J8" s="313" t="s">
        <v>910</v>
      </c>
      <c r="K8" s="314">
        <v>205267.24</v>
      </c>
      <c r="L8" s="317">
        <f t="shared" si="1"/>
        <v>0</v>
      </c>
      <c r="M8" s="317">
        <v>205267.24</v>
      </c>
      <c r="N8" s="318"/>
      <c r="O8" s="318"/>
      <c r="P8" s="318"/>
      <c r="Q8" s="317">
        <f t="shared" si="2"/>
        <v>205267.24</v>
      </c>
      <c r="R8" s="318"/>
      <c r="S8" s="317">
        <f t="shared" si="3"/>
        <v>205267.24</v>
      </c>
      <c r="T8" s="318"/>
      <c r="U8" s="259"/>
    </row>
    <row r="9">
      <c r="A9" s="305" t="s">
        <v>683</v>
      </c>
      <c r="B9" s="306"/>
      <c r="C9" s="306"/>
      <c r="D9" s="307"/>
      <c r="E9" s="310" t="s">
        <v>721</v>
      </c>
      <c r="F9" s="311" t="s">
        <v>695</v>
      </c>
      <c r="G9" s="312" t="s">
        <v>697</v>
      </c>
      <c r="H9" s="312" t="s">
        <v>134</v>
      </c>
      <c r="I9" s="312" t="s">
        <v>71</v>
      </c>
      <c r="J9" s="313" t="s">
        <v>916</v>
      </c>
      <c r="K9" s="314">
        <v>2413280.36</v>
      </c>
      <c r="L9" s="317">
        <f t="shared" si="1"/>
        <v>0</v>
      </c>
      <c r="M9" s="317">
        <f>K9</f>
        <v>2413280.36</v>
      </c>
      <c r="N9" s="318"/>
      <c r="O9" s="318"/>
      <c r="P9" s="318"/>
      <c r="Q9" s="317">
        <f t="shared" si="2"/>
        <v>2413280.36</v>
      </c>
      <c r="R9" s="318"/>
      <c r="S9" s="317">
        <f t="shared" si="3"/>
        <v>2413280.36</v>
      </c>
      <c r="T9" s="318"/>
      <c r="U9" s="259"/>
    </row>
    <row r="10">
      <c r="A10" s="305" t="s">
        <v>761</v>
      </c>
      <c r="B10" s="306"/>
      <c r="C10" s="323" t="s">
        <v>360</v>
      </c>
      <c r="D10" s="324">
        <v>46258.0</v>
      </c>
      <c r="E10" s="310" t="s">
        <v>764</v>
      </c>
      <c r="F10" s="311" t="s">
        <v>695</v>
      </c>
      <c r="G10" s="312" t="s">
        <v>697</v>
      </c>
      <c r="H10" s="312" t="s">
        <v>654</v>
      </c>
      <c r="I10" s="312" t="s">
        <v>71</v>
      </c>
      <c r="J10" s="312" t="s">
        <v>669</v>
      </c>
      <c r="K10" s="314">
        <v>455896.0</v>
      </c>
      <c r="L10" s="317">
        <f t="shared" si="1"/>
        <v>0</v>
      </c>
      <c r="M10" s="317">
        <v>455896.0</v>
      </c>
      <c r="N10" s="317">
        <v>0.0</v>
      </c>
      <c r="O10" s="317">
        <v>0.0</v>
      </c>
      <c r="P10" s="317">
        <v>0.0</v>
      </c>
      <c r="Q10" s="317">
        <f t="shared" si="2"/>
        <v>455896</v>
      </c>
      <c r="R10" s="317">
        <f>Q10</f>
        <v>455896</v>
      </c>
      <c r="S10" s="317">
        <f t="shared" si="3"/>
        <v>0</v>
      </c>
      <c r="T10" s="318"/>
      <c r="U10" s="259"/>
    </row>
    <row r="11">
      <c r="A11" s="305" t="s">
        <v>761</v>
      </c>
      <c r="B11" s="306"/>
      <c r="C11" s="323" t="s">
        <v>328</v>
      </c>
      <c r="D11" s="324">
        <v>46258.0</v>
      </c>
      <c r="E11" s="310" t="s">
        <v>764</v>
      </c>
      <c r="F11" s="311" t="s">
        <v>695</v>
      </c>
      <c r="G11" s="312" t="s">
        <v>697</v>
      </c>
      <c r="H11" s="312" t="s">
        <v>654</v>
      </c>
      <c r="I11" s="312" t="s">
        <v>71</v>
      </c>
      <c r="J11" s="312" t="s">
        <v>699</v>
      </c>
      <c r="K11" s="314">
        <v>1198648.29</v>
      </c>
      <c r="L11" s="317">
        <f t="shared" si="1"/>
        <v>0</v>
      </c>
      <c r="M11" s="317">
        <v>1198648.29</v>
      </c>
      <c r="N11" s="317">
        <v>0.0</v>
      </c>
      <c r="O11" s="317">
        <v>0.0</v>
      </c>
      <c r="P11" s="317">
        <v>0.0</v>
      </c>
      <c r="Q11" s="317">
        <f t="shared" si="2"/>
        <v>1198648.29</v>
      </c>
      <c r="R11" s="317">
        <v>1198648.29</v>
      </c>
      <c r="S11" s="317">
        <f t="shared" si="3"/>
        <v>0</v>
      </c>
      <c r="T11" s="318"/>
      <c r="U11" s="259"/>
    </row>
    <row r="12">
      <c r="A12" s="305" t="s">
        <v>761</v>
      </c>
      <c r="B12" s="325" t="s">
        <v>931</v>
      </c>
      <c r="C12" s="323" t="s">
        <v>789</v>
      </c>
      <c r="D12" s="324">
        <v>46258.0</v>
      </c>
      <c r="E12" s="310" t="s">
        <v>764</v>
      </c>
      <c r="F12" s="311" t="s">
        <v>695</v>
      </c>
      <c r="G12" s="312" t="s">
        <v>697</v>
      </c>
      <c r="H12" s="312" t="s">
        <v>779</v>
      </c>
      <c r="I12" s="312" t="s">
        <v>71</v>
      </c>
      <c r="J12" s="312" t="s">
        <v>686</v>
      </c>
      <c r="K12" s="314">
        <v>1180492.55</v>
      </c>
      <c r="L12" s="317">
        <f t="shared" si="1"/>
        <v>0</v>
      </c>
      <c r="M12" s="317">
        <v>1180492.55</v>
      </c>
      <c r="N12" s="317">
        <v>0.0</v>
      </c>
      <c r="O12" s="317">
        <v>0.0</v>
      </c>
      <c r="P12" s="317">
        <v>0.0</v>
      </c>
      <c r="Q12" s="317">
        <f t="shared" si="2"/>
        <v>1180492.55</v>
      </c>
      <c r="R12" s="317">
        <f t="shared" ref="R12:R13" si="4">Q12</f>
        <v>1180492.55</v>
      </c>
      <c r="S12" s="317">
        <f t="shared" si="3"/>
        <v>0</v>
      </c>
      <c r="T12" s="318"/>
      <c r="U12" s="259"/>
    </row>
    <row r="13">
      <c r="A13" s="305" t="s">
        <v>761</v>
      </c>
      <c r="B13" s="306"/>
      <c r="C13" s="323" t="s">
        <v>790</v>
      </c>
      <c r="D13" s="324">
        <v>46258.0</v>
      </c>
      <c r="E13" s="310" t="s">
        <v>764</v>
      </c>
      <c r="F13" s="311" t="s">
        <v>695</v>
      </c>
      <c r="G13" s="312" t="s">
        <v>697</v>
      </c>
      <c r="H13" s="312" t="s">
        <v>779</v>
      </c>
      <c r="I13" s="312" t="s">
        <v>71</v>
      </c>
      <c r="J13" s="312" t="s">
        <v>676</v>
      </c>
      <c r="K13" s="314">
        <v>1148970.8</v>
      </c>
      <c r="L13" s="317">
        <f t="shared" si="1"/>
        <v>0</v>
      </c>
      <c r="M13" s="317">
        <v>1148970.8</v>
      </c>
      <c r="N13" s="317">
        <v>0.0</v>
      </c>
      <c r="O13" s="317">
        <v>0.0</v>
      </c>
      <c r="P13" s="317">
        <v>0.0</v>
      </c>
      <c r="Q13" s="317">
        <f t="shared" si="2"/>
        <v>1148970.8</v>
      </c>
      <c r="R13" s="317">
        <f t="shared" si="4"/>
        <v>1148970.8</v>
      </c>
      <c r="S13" s="317">
        <f t="shared" si="3"/>
        <v>0</v>
      </c>
      <c r="T13" s="318"/>
      <c r="U13" s="259"/>
    </row>
    <row r="14">
      <c r="A14" s="305" t="s">
        <v>761</v>
      </c>
      <c r="B14" s="306"/>
      <c r="C14" s="323" t="s">
        <v>790</v>
      </c>
      <c r="D14" s="324">
        <v>46259.0</v>
      </c>
      <c r="E14" s="310" t="s">
        <v>764</v>
      </c>
      <c r="F14" s="311" t="s">
        <v>695</v>
      </c>
      <c r="G14" s="312" t="s">
        <v>747</v>
      </c>
      <c r="H14" s="312" t="s">
        <v>779</v>
      </c>
      <c r="I14" s="312" t="s">
        <v>71</v>
      </c>
      <c r="J14" s="312" t="s">
        <v>681</v>
      </c>
      <c r="K14" s="314">
        <v>2215418.08</v>
      </c>
      <c r="L14" s="317">
        <f t="shared" si="1"/>
        <v>0</v>
      </c>
      <c r="M14" s="317">
        <f>K14</f>
        <v>2215418.08</v>
      </c>
      <c r="N14" s="317">
        <v>0.0</v>
      </c>
      <c r="O14" s="317">
        <v>0.0</v>
      </c>
      <c r="P14" s="317">
        <v>0.0</v>
      </c>
      <c r="Q14" s="317">
        <f t="shared" si="2"/>
        <v>2215418.08</v>
      </c>
      <c r="R14" s="317">
        <v>2215418.08</v>
      </c>
      <c r="S14" s="317">
        <f t="shared" si="3"/>
        <v>0</v>
      </c>
      <c r="T14" s="318"/>
      <c r="U14" s="259"/>
    </row>
    <row r="15">
      <c r="A15" s="305" t="s">
        <v>761</v>
      </c>
      <c r="B15" s="325" t="s">
        <v>959</v>
      </c>
      <c r="C15" s="323" t="s">
        <v>960</v>
      </c>
      <c r="D15" s="324">
        <v>46259.0</v>
      </c>
      <c r="E15" s="310" t="s">
        <v>764</v>
      </c>
      <c r="F15" s="311" t="s">
        <v>695</v>
      </c>
      <c r="G15" s="312" t="s">
        <v>747</v>
      </c>
      <c r="H15" s="312" t="s">
        <v>779</v>
      </c>
      <c r="I15" s="312" t="s">
        <v>71</v>
      </c>
      <c r="J15" s="312" t="s">
        <v>964</v>
      </c>
      <c r="K15" s="314">
        <v>1274000.0</v>
      </c>
      <c r="L15" s="317">
        <f t="shared" si="1"/>
        <v>0</v>
      </c>
      <c r="M15" s="317">
        <v>1274000.0</v>
      </c>
      <c r="N15" s="317">
        <v>0.0</v>
      </c>
      <c r="O15" s="317">
        <v>0.0</v>
      </c>
      <c r="P15" s="317">
        <v>25480.0</v>
      </c>
      <c r="Q15" s="317">
        <f t="shared" si="2"/>
        <v>1248520</v>
      </c>
      <c r="R15" s="317">
        <v>1248520.0</v>
      </c>
      <c r="S15" s="317">
        <f t="shared" si="3"/>
        <v>0</v>
      </c>
      <c r="T15" s="318"/>
      <c r="U15" s="259"/>
    </row>
    <row r="16">
      <c r="A16" s="327" t="s">
        <v>761</v>
      </c>
      <c r="B16" s="306"/>
      <c r="C16" s="306"/>
      <c r="D16" s="324">
        <v>46258.0</v>
      </c>
      <c r="E16" s="310" t="s">
        <v>764</v>
      </c>
      <c r="F16" s="311" t="s">
        <v>695</v>
      </c>
      <c r="G16" s="312" t="s">
        <v>697</v>
      </c>
      <c r="H16" s="312" t="s">
        <v>811</v>
      </c>
      <c r="I16" s="312" t="s">
        <v>71</v>
      </c>
      <c r="J16" s="312" t="s">
        <v>767</v>
      </c>
      <c r="K16" s="314">
        <v>1113784.17</v>
      </c>
      <c r="L16" s="317">
        <f t="shared" si="1"/>
        <v>0</v>
      </c>
      <c r="M16" s="317">
        <v>1113784.17</v>
      </c>
      <c r="N16" s="317">
        <v>0.0</v>
      </c>
      <c r="O16" s="317">
        <v>0.0</v>
      </c>
      <c r="P16" s="317">
        <v>0.0</v>
      </c>
      <c r="Q16" s="317">
        <f t="shared" si="2"/>
        <v>1113784.17</v>
      </c>
      <c r="R16" s="317">
        <v>1113784.17</v>
      </c>
      <c r="S16" s="317">
        <f t="shared" si="3"/>
        <v>0</v>
      </c>
      <c r="T16" s="318"/>
      <c r="U16" s="259"/>
    </row>
    <row r="17">
      <c r="A17" s="328" t="s">
        <v>761</v>
      </c>
      <c r="B17" s="306"/>
      <c r="C17" s="306"/>
      <c r="D17" s="324">
        <v>46260.0</v>
      </c>
      <c r="E17" s="310" t="s">
        <v>764</v>
      </c>
      <c r="F17" s="311" t="s">
        <v>695</v>
      </c>
      <c r="G17" s="312" t="s">
        <v>747</v>
      </c>
      <c r="H17" s="312" t="s">
        <v>811</v>
      </c>
      <c r="I17" s="312" t="s">
        <v>71</v>
      </c>
      <c r="J17" s="312" t="s">
        <v>771</v>
      </c>
      <c r="K17" s="314">
        <v>618826.43</v>
      </c>
      <c r="L17" s="317">
        <f t="shared" si="1"/>
        <v>0</v>
      </c>
      <c r="M17" s="317">
        <v>618826.43</v>
      </c>
      <c r="N17" s="317">
        <v>0.0</v>
      </c>
      <c r="O17" s="317">
        <v>0.0</v>
      </c>
      <c r="P17" s="317">
        <v>12376.53</v>
      </c>
      <c r="Q17" s="317">
        <f t="shared" si="2"/>
        <v>606449.9</v>
      </c>
      <c r="R17" s="317">
        <v>606449.9</v>
      </c>
      <c r="S17" s="317">
        <f t="shared" si="3"/>
        <v>0</v>
      </c>
      <c r="T17" s="318"/>
      <c r="U17" s="259"/>
    </row>
    <row r="18">
      <c r="A18" s="305" t="s">
        <v>761</v>
      </c>
      <c r="B18" s="325" t="s">
        <v>972</v>
      </c>
      <c r="C18" s="330">
        <v>46083.0</v>
      </c>
      <c r="D18" s="324">
        <v>46260.0</v>
      </c>
      <c r="E18" s="310" t="s">
        <v>764</v>
      </c>
      <c r="F18" s="311" t="s">
        <v>695</v>
      </c>
      <c r="G18" s="312" t="s">
        <v>747</v>
      </c>
      <c r="H18" s="312" t="s">
        <v>654</v>
      </c>
      <c r="I18" s="312" t="s">
        <v>71</v>
      </c>
      <c r="J18" s="312" t="s">
        <v>734</v>
      </c>
      <c r="K18" s="314">
        <v>826642.58</v>
      </c>
      <c r="L18" s="317">
        <f t="shared" si="1"/>
        <v>0</v>
      </c>
      <c r="M18" s="317">
        <f>K18</f>
        <v>826642.58</v>
      </c>
      <c r="N18" s="317">
        <v>0.0</v>
      </c>
      <c r="O18" s="317">
        <v>0.0</v>
      </c>
      <c r="P18" s="317">
        <v>16532.85</v>
      </c>
      <c r="Q18" s="317">
        <f t="shared" si="2"/>
        <v>810109.73</v>
      </c>
      <c r="R18" s="317">
        <v>810109.73</v>
      </c>
      <c r="S18" s="317">
        <f t="shared" si="3"/>
        <v>0</v>
      </c>
      <c r="T18" s="318"/>
      <c r="U18" s="259"/>
    </row>
    <row r="19">
      <c r="A19" s="305" t="s">
        <v>761</v>
      </c>
      <c r="B19" s="306"/>
      <c r="C19" s="323" t="s">
        <v>981</v>
      </c>
      <c r="D19" s="324">
        <v>46260.0</v>
      </c>
      <c r="E19" s="310" t="s">
        <v>764</v>
      </c>
      <c r="F19" s="311" t="s">
        <v>695</v>
      </c>
      <c r="G19" s="312" t="s">
        <v>747</v>
      </c>
      <c r="H19" s="312" t="s">
        <v>654</v>
      </c>
      <c r="I19" s="312" t="s">
        <v>71</v>
      </c>
      <c r="J19" s="312" t="s">
        <v>983</v>
      </c>
      <c r="K19" s="314">
        <v>3568535.7</v>
      </c>
      <c r="L19" s="317">
        <f t="shared" si="1"/>
        <v>0</v>
      </c>
      <c r="M19" s="317">
        <v>3568535.7</v>
      </c>
      <c r="N19" s="317">
        <v>0.0</v>
      </c>
      <c r="O19" s="317">
        <v>0.0</v>
      </c>
      <c r="P19" s="317">
        <v>0.0</v>
      </c>
      <c r="Q19" s="317">
        <f t="shared" si="2"/>
        <v>3568535.7</v>
      </c>
      <c r="R19" s="317">
        <v>3568535.7</v>
      </c>
      <c r="S19" s="317">
        <f t="shared" si="3"/>
        <v>0</v>
      </c>
      <c r="T19" s="318"/>
      <c r="U19" s="259"/>
    </row>
    <row r="20">
      <c r="A20" s="305" t="s">
        <v>822</v>
      </c>
      <c r="B20" s="306"/>
      <c r="C20" s="306"/>
      <c r="D20" s="307"/>
      <c r="E20" s="321"/>
      <c r="F20" s="311" t="s">
        <v>695</v>
      </c>
      <c r="G20" s="312" t="s">
        <v>697</v>
      </c>
      <c r="H20" s="332" t="s">
        <v>0</v>
      </c>
      <c r="I20" s="312" t="s">
        <v>161</v>
      </c>
      <c r="J20" s="313" t="s">
        <v>320</v>
      </c>
      <c r="K20" s="314">
        <v>1259122.43</v>
      </c>
      <c r="L20" s="317">
        <f t="shared" si="1"/>
        <v>0</v>
      </c>
      <c r="M20" s="317">
        <v>1259122.43</v>
      </c>
      <c r="N20" s="317">
        <v>0.0</v>
      </c>
      <c r="O20" s="317">
        <v>0.0</v>
      </c>
      <c r="P20" s="317">
        <v>0.0</v>
      </c>
      <c r="Q20" s="317">
        <f t="shared" si="2"/>
        <v>1259122.43</v>
      </c>
      <c r="R20" s="317">
        <v>1259122.43</v>
      </c>
      <c r="S20" s="317">
        <f t="shared" si="3"/>
        <v>0</v>
      </c>
      <c r="T20" s="318"/>
      <c r="U20" s="259"/>
    </row>
    <row r="21">
      <c r="A21" s="305" t="s">
        <v>822</v>
      </c>
      <c r="B21" s="306"/>
      <c r="C21" s="325" t="s">
        <v>989</v>
      </c>
      <c r="D21" s="307"/>
      <c r="E21" s="321"/>
      <c r="F21" s="311" t="s">
        <v>695</v>
      </c>
      <c r="G21" s="312" t="s">
        <v>747</v>
      </c>
      <c r="H21" s="312" t="s">
        <v>0</v>
      </c>
      <c r="I21" s="312" t="s">
        <v>161</v>
      </c>
      <c r="J21" s="313" t="s">
        <v>357</v>
      </c>
      <c r="K21" s="314">
        <v>1343150.07</v>
      </c>
      <c r="L21" s="317">
        <f t="shared" si="1"/>
        <v>0</v>
      </c>
      <c r="M21" s="317">
        <v>1343150.07</v>
      </c>
      <c r="N21" s="317">
        <v>0.0</v>
      </c>
      <c r="O21" s="317">
        <v>0.0</v>
      </c>
      <c r="P21" s="317">
        <v>67157.5</v>
      </c>
      <c r="Q21" s="317">
        <f t="shared" si="2"/>
        <v>1275992.57</v>
      </c>
      <c r="R21" s="317">
        <f>Q21</f>
        <v>1275992.57</v>
      </c>
      <c r="S21" s="317">
        <f t="shared" si="3"/>
        <v>0</v>
      </c>
      <c r="T21" s="318"/>
      <c r="U21" s="259"/>
    </row>
    <row r="22">
      <c r="A22" s="305" t="s">
        <v>822</v>
      </c>
      <c r="B22" s="306"/>
      <c r="C22" s="306"/>
      <c r="D22" s="307"/>
      <c r="E22" s="321"/>
      <c r="F22" s="311" t="s">
        <v>695</v>
      </c>
      <c r="G22" s="312" t="s">
        <v>697</v>
      </c>
      <c r="H22" s="332" t="s">
        <v>366</v>
      </c>
      <c r="I22" s="312" t="s">
        <v>71</v>
      </c>
      <c r="J22" s="312" t="s">
        <v>411</v>
      </c>
      <c r="K22" s="314">
        <v>1090000.0</v>
      </c>
      <c r="L22" s="317">
        <f t="shared" si="1"/>
        <v>0</v>
      </c>
      <c r="M22" s="317">
        <v>1090000.0</v>
      </c>
      <c r="N22" s="318"/>
      <c r="O22" s="318"/>
      <c r="P22" s="318"/>
      <c r="Q22" s="317">
        <f t="shared" si="2"/>
        <v>1090000</v>
      </c>
      <c r="R22" s="318"/>
      <c r="S22" s="317">
        <f t="shared" si="3"/>
        <v>1090000</v>
      </c>
      <c r="T22" s="318"/>
      <c r="U22" s="259"/>
    </row>
    <row r="23">
      <c r="A23" s="305" t="s">
        <v>683</v>
      </c>
      <c r="B23" s="306"/>
      <c r="C23" s="306"/>
      <c r="D23" s="307"/>
      <c r="E23" s="310" t="s">
        <v>721</v>
      </c>
      <c r="F23" s="311" t="s">
        <v>695</v>
      </c>
      <c r="G23" s="312" t="s">
        <v>747</v>
      </c>
      <c r="H23" s="312" t="s">
        <v>830</v>
      </c>
      <c r="I23" s="312" t="s">
        <v>161</v>
      </c>
      <c r="J23" s="313" t="s">
        <v>1002</v>
      </c>
      <c r="K23" s="314">
        <v>813841.86</v>
      </c>
      <c r="L23" s="317">
        <f t="shared" si="1"/>
        <v>0</v>
      </c>
      <c r="M23" s="317">
        <v>813841.86</v>
      </c>
      <c r="N23" s="317">
        <f>M23</f>
        <v>813841.86</v>
      </c>
      <c r="O23" s="317">
        <v>0.0</v>
      </c>
      <c r="P23" s="317">
        <v>0.0</v>
      </c>
      <c r="Q23" s="317">
        <f t="shared" si="2"/>
        <v>0</v>
      </c>
      <c r="R23" s="318"/>
      <c r="S23" s="317">
        <f t="shared" si="3"/>
        <v>0</v>
      </c>
      <c r="T23" s="318"/>
      <c r="U23" s="259"/>
    </row>
    <row r="24">
      <c r="A24" s="305" t="s">
        <v>683</v>
      </c>
      <c r="B24" s="306"/>
      <c r="C24" s="306"/>
      <c r="D24" s="307"/>
      <c r="E24" s="310" t="s">
        <v>721</v>
      </c>
      <c r="F24" s="311" t="s">
        <v>695</v>
      </c>
      <c r="G24" s="312" t="s">
        <v>697</v>
      </c>
      <c r="H24" s="312" t="s">
        <v>830</v>
      </c>
      <c r="I24" s="312" t="s">
        <v>161</v>
      </c>
      <c r="J24" s="313" t="s">
        <v>832</v>
      </c>
      <c r="K24" s="314">
        <v>1212922.33</v>
      </c>
      <c r="L24" s="317">
        <f t="shared" si="1"/>
        <v>0</v>
      </c>
      <c r="M24" s="317">
        <v>1212922.33</v>
      </c>
      <c r="N24" s="318"/>
      <c r="O24" s="318"/>
      <c r="P24" s="318"/>
      <c r="Q24" s="317">
        <f t="shared" si="2"/>
        <v>1212922.33</v>
      </c>
      <c r="R24" s="317">
        <f t="shared" ref="R24:R25" si="5">Q24</f>
        <v>1212922.33</v>
      </c>
      <c r="S24" s="317">
        <f t="shared" si="3"/>
        <v>0</v>
      </c>
      <c r="T24" s="318"/>
      <c r="U24" s="259"/>
    </row>
    <row r="25">
      <c r="A25" s="305" t="s">
        <v>836</v>
      </c>
      <c r="B25" s="306"/>
      <c r="C25" s="306"/>
      <c r="D25" s="307"/>
      <c r="E25" s="310" t="s">
        <v>764</v>
      </c>
      <c r="F25" s="311" t="s">
        <v>695</v>
      </c>
      <c r="G25" s="312" t="s">
        <v>697</v>
      </c>
      <c r="H25" s="312" t="s">
        <v>839</v>
      </c>
      <c r="I25" s="312" t="s">
        <v>840</v>
      </c>
      <c r="J25" s="312" t="s">
        <v>841</v>
      </c>
      <c r="K25" s="314">
        <v>4125518.2</v>
      </c>
      <c r="L25" s="317">
        <f t="shared" si="1"/>
        <v>0</v>
      </c>
      <c r="M25" s="317">
        <v>4125518.2</v>
      </c>
      <c r="N25" s="317">
        <v>0.0</v>
      </c>
      <c r="O25" s="317">
        <v>0.0</v>
      </c>
      <c r="P25" s="317">
        <v>0.0</v>
      </c>
      <c r="Q25" s="317">
        <f t="shared" si="2"/>
        <v>4125518.2</v>
      </c>
      <c r="R25" s="317">
        <f t="shared" si="5"/>
        <v>4125518.2</v>
      </c>
      <c r="S25" s="317">
        <f t="shared" si="3"/>
        <v>0</v>
      </c>
      <c r="T25" s="306"/>
      <c r="U25" s="259"/>
    </row>
    <row r="26">
      <c r="A26" s="305" t="s">
        <v>836</v>
      </c>
      <c r="B26" s="306"/>
      <c r="C26" s="306"/>
      <c r="D26" s="307"/>
      <c r="E26" s="310" t="s">
        <v>764</v>
      </c>
      <c r="F26" s="311" t="s">
        <v>695</v>
      </c>
      <c r="G26" s="312" t="s">
        <v>844</v>
      </c>
      <c r="H26" s="312" t="s">
        <v>839</v>
      </c>
      <c r="I26" s="312" t="s">
        <v>840</v>
      </c>
      <c r="J26" s="312" t="s">
        <v>845</v>
      </c>
      <c r="K26" s="314">
        <v>3835834.67</v>
      </c>
      <c r="L26" s="317">
        <f t="shared" si="1"/>
        <v>0</v>
      </c>
      <c r="M26" s="317">
        <v>3835834.67</v>
      </c>
      <c r="N26" s="317">
        <v>3604998.74</v>
      </c>
      <c r="O26" s="317">
        <v>0.0</v>
      </c>
      <c r="P26" s="317">
        <v>0.0</v>
      </c>
      <c r="Q26" s="317">
        <f t="shared" si="2"/>
        <v>230835.93</v>
      </c>
      <c r="R26" s="317">
        <v>230835.93</v>
      </c>
      <c r="S26" s="317">
        <f t="shared" si="3"/>
        <v>-0.0000000002910383046</v>
      </c>
      <c r="T26" s="306"/>
      <c r="U26" s="259"/>
    </row>
    <row r="27">
      <c r="A27" s="305" t="s">
        <v>761</v>
      </c>
      <c r="B27" s="306"/>
      <c r="C27" s="345"/>
      <c r="D27" s="324">
        <v>46258.0</v>
      </c>
      <c r="E27" s="349" t="s">
        <v>764</v>
      </c>
      <c r="F27" s="311" t="s">
        <v>695</v>
      </c>
      <c r="G27" s="312" t="s">
        <v>697</v>
      </c>
      <c r="H27" s="312" t="s">
        <v>854</v>
      </c>
      <c r="I27" s="312" t="s">
        <v>71</v>
      </c>
      <c r="J27" s="312" t="s">
        <v>855</v>
      </c>
      <c r="K27" s="314">
        <v>2193548.09</v>
      </c>
      <c r="L27" s="317">
        <f t="shared" si="1"/>
        <v>0</v>
      </c>
      <c r="M27" s="317">
        <v>2193548.09</v>
      </c>
      <c r="N27" s="317">
        <v>0.0</v>
      </c>
      <c r="O27" s="317">
        <v>0.0</v>
      </c>
      <c r="P27" s="317">
        <v>0.0</v>
      </c>
      <c r="Q27" s="317">
        <f t="shared" si="2"/>
        <v>2193548.09</v>
      </c>
      <c r="R27" s="317">
        <v>2193548.09</v>
      </c>
      <c r="S27" s="317">
        <f t="shared" si="3"/>
        <v>0</v>
      </c>
      <c r="T27" s="318"/>
      <c r="U27" s="259"/>
    </row>
    <row r="28">
      <c r="A28" s="305" t="s">
        <v>761</v>
      </c>
      <c r="B28" s="306"/>
      <c r="C28" s="345"/>
      <c r="D28" s="324">
        <v>46260.0</v>
      </c>
      <c r="E28" s="310" t="s">
        <v>764</v>
      </c>
      <c r="F28" s="311" t="s">
        <v>695</v>
      </c>
      <c r="G28" s="312" t="s">
        <v>747</v>
      </c>
      <c r="H28" s="312" t="s">
        <v>854</v>
      </c>
      <c r="I28" s="312" t="s">
        <v>71</v>
      </c>
      <c r="J28" s="312" t="s">
        <v>862</v>
      </c>
      <c r="K28" s="314">
        <v>2419082.61</v>
      </c>
      <c r="L28" s="317">
        <f t="shared" si="1"/>
        <v>0</v>
      </c>
      <c r="M28" s="317">
        <v>2419082.61</v>
      </c>
      <c r="N28" s="317">
        <v>2298128.48</v>
      </c>
      <c r="O28" s="317">
        <v>0.0</v>
      </c>
      <c r="P28" s="317">
        <v>120954.13</v>
      </c>
      <c r="Q28" s="317">
        <f t="shared" si="2"/>
        <v>-0.0000000001164153218</v>
      </c>
      <c r="R28" s="318"/>
      <c r="S28" s="317">
        <f t="shared" si="3"/>
        <v>-0.0000000001164153218</v>
      </c>
      <c r="T28" s="359"/>
      <c r="U28" s="259"/>
    </row>
    <row r="29">
      <c r="A29" s="305" t="s">
        <v>761</v>
      </c>
      <c r="B29" s="306"/>
      <c r="C29" s="345"/>
      <c r="D29" s="324">
        <v>46258.0</v>
      </c>
      <c r="E29" s="310" t="s">
        <v>764</v>
      </c>
      <c r="F29" s="311" t="s">
        <v>695</v>
      </c>
      <c r="G29" s="312" t="s">
        <v>697</v>
      </c>
      <c r="H29" s="312" t="s">
        <v>869</v>
      </c>
      <c r="I29" s="312" t="s">
        <v>102</v>
      </c>
      <c r="J29" s="312" t="s">
        <v>796</v>
      </c>
      <c r="K29" s="314">
        <v>842891.48</v>
      </c>
      <c r="L29" s="317">
        <f t="shared" si="1"/>
        <v>0</v>
      </c>
      <c r="M29" s="317">
        <v>842891.48</v>
      </c>
      <c r="N29" s="317">
        <v>0.0</v>
      </c>
      <c r="O29" s="317">
        <v>0.0</v>
      </c>
      <c r="P29" s="317">
        <v>0.0</v>
      </c>
      <c r="Q29" s="317">
        <f t="shared" si="2"/>
        <v>842891.48</v>
      </c>
      <c r="R29" s="318"/>
      <c r="S29" s="317">
        <f t="shared" si="3"/>
        <v>842891.48</v>
      </c>
      <c r="T29" s="318"/>
      <c r="U29" s="259"/>
    </row>
    <row r="30">
      <c r="A30" s="366" t="s">
        <v>683</v>
      </c>
      <c r="B30" s="306"/>
      <c r="C30" s="367"/>
      <c r="D30" s="307"/>
      <c r="E30" s="371" t="s">
        <v>721</v>
      </c>
      <c r="F30" s="372" t="s">
        <v>695</v>
      </c>
      <c r="G30" s="312" t="s">
        <v>747</v>
      </c>
      <c r="H30" s="312" t="s">
        <v>1024</v>
      </c>
      <c r="I30" s="312" t="s">
        <v>71</v>
      </c>
      <c r="J30" s="313" t="s">
        <v>1025</v>
      </c>
      <c r="K30" s="314">
        <v>2621909.5</v>
      </c>
      <c r="L30" s="317">
        <v>0.0</v>
      </c>
      <c r="M30" s="317">
        <v>2621909.5</v>
      </c>
      <c r="N30" s="318"/>
      <c r="O30" s="318"/>
      <c r="P30" s="317">
        <v>52438.19</v>
      </c>
      <c r="Q30" s="317">
        <f t="shared" si="2"/>
        <v>2569471.31</v>
      </c>
      <c r="R30" s="318"/>
      <c r="S30" s="317">
        <f t="shared" si="3"/>
        <v>2569471.31</v>
      </c>
      <c r="T30" s="318"/>
      <c r="U30" s="259"/>
    </row>
    <row r="31">
      <c r="A31" s="305" t="s">
        <v>761</v>
      </c>
      <c r="B31" s="306"/>
      <c r="C31" s="374" t="s">
        <v>1026</v>
      </c>
      <c r="D31" s="324">
        <v>46258.0</v>
      </c>
      <c r="E31" s="349" t="s">
        <v>764</v>
      </c>
      <c r="F31" s="311" t="s">
        <v>695</v>
      </c>
      <c r="G31" s="312" t="s">
        <v>697</v>
      </c>
      <c r="H31" s="312" t="s">
        <v>213</v>
      </c>
      <c r="I31" s="312" t="s">
        <v>102</v>
      </c>
      <c r="J31" s="312" t="s">
        <v>823</v>
      </c>
      <c r="K31" s="314">
        <v>828632.49</v>
      </c>
      <c r="L31" s="317">
        <f t="shared" ref="L31:L67" si="6">K31-M31</f>
        <v>0</v>
      </c>
      <c r="M31" s="317">
        <v>828632.49</v>
      </c>
      <c r="N31" s="317">
        <v>0.0</v>
      </c>
      <c r="O31" s="317">
        <v>0.0</v>
      </c>
      <c r="P31" s="317">
        <v>0.0</v>
      </c>
      <c r="Q31" s="317">
        <f t="shared" si="2"/>
        <v>828632.49</v>
      </c>
      <c r="R31" s="318"/>
      <c r="S31" s="317">
        <f t="shared" si="3"/>
        <v>828632.49</v>
      </c>
      <c r="T31" s="318"/>
      <c r="U31" s="259"/>
    </row>
    <row r="32">
      <c r="A32" s="305" t="s">
        <v>761</v>
      </c>
      <c r="B32" s="306"/>
      <c r="C32" s="381" t="s">
        <v>1036</v>
      </c>
      <c r="D32" s="324">
        <v>46258.0</v>
      </c>
      <c r="E32" s="349" t="s">
        <v>764</v>
      </c>
      <c r="F32" s="311" t="s">
        <v>695</v>
      </c>
      <c r="G32" s="312" t="s">
        <v>697</v>
      </c>
      <c r="H32" s="312" t="s">
        <v>213</v>
      </c>
      <c r="I32" s="312" t="s">
        <v>102</v>
      </c>
      <c r="J32" s="312" t="s">
        <v>793</v>
      </c>
      <c r="K32" s="314">
        <v>989332.7</v>
      </c>
      <c r="L32" s="317">
        <f t="shared" si="6"/>
        <v>0</v>
      </c>
      <c r="M32" s="317">
        <v>989332.7</v>
      </c>
      <c r="N32" s="317">
        <v>0.0</v>
      </c>
      <c r="O32" s="317">
        <v>0.0</v>
      </c>
      <c r="P32" s="317">
        <v>0.0</v>
      </c>
      <c r="Q32" s="317">
        <f t="shared" si="2"/>
        <v>989332.7</v>
      </c>
      <c r="R32" s="318"/>
      <c r="S32" s="317">
        <f t="shared" si="3"/>
        <v>989332.7</v>
      </c>
      <c r="T32" s="318"/>
      <c r="U32" s="259"/>
    </row>
    <row r="33">
      <c r="A33" s="325" t="s">
        <v>761</v>
      </c>
      <c r="B33" s="306"/>
      <c r="C33" s="384" t="s">
        <v>924</v>
      </c>
      <c r="D33" s="324">
        <v>46258.0</v>
      </c>
      <c r="E33" s="371" t="s">
        <v>764</v>
      </c>
      <c r="F33" s="372" t="s">
        <v>695</v>
      </c>
      <c r="G33" s="312" t="s">
        <v>697</v>
      </c>
      <c r="H33" s="312" t="s">
        <v>213</v>
      </c>
      <c r="I33" s="312" t="s">
        <v>102</v>
      </c>
      <c r="J33" s="312" t="s">
        <v>856</v>
      </c>
      <c r="K33" s="314">
        <v>868200.19</v>
      </c>
      <c r="L33" s="317">
        <f t="shared" si="6"/>
        <v>0</v>
      </c>
      <c r="M33" s="317">
        <v>868200.19</v>
      </c>
      <c r="N33" s="317">
        <v>0.0</v>
      </c>
      <c r="O33" s="317">
        <v>0.0</v>
      </c>
      <c r="P33" s="317">
        <v>0.0</v>
      </c>
      <c r="Q33" s="317">
        <f t="shared" si="2"/>
        <v>868200.19</v>
      </c>
      <c r="R33" s="318"/>
      <c r="S33" s="317">
        <f t="shared" si="3"/>
        <v>868200.19</v>
      </c>
      <c r="T33" s="318"/>
      <c r="U33" s="259"/>
    </row>
    <row r="34">
      <c r="A34" s="305" t="s">
        <v>761</v>
      </c>
      <c r="B34" s="306"/>
      <c r="C34" s="381" t="s">
        <v>933</v>
      </c>
      <c r="D34" s="324">
        <v>46258.0</v>
      </c>
      <c r="E34" s="310" t="s">
        <v>764</v>
      </c>
      <c r="F34" s="311" t="s">
        <v>695</v>
      </c>
      <c r="G34" s="312" t="s">
        <v>697</v>
      </c>
      <c r="H34" s="312" t="s">
        <v>213</v>
      </c>
      <c r="I34" s="312" t="s">
        <v>102</v>
      </c>
      <c r="J34" s="312" t="s">
        <v>876</v>
      </c>
      <c r="K34" s="314">
        <v>1236238.91</v>
      </c>
      <c r="L34" s="317">
        <f t="shared" si="6"/>
        <v>0</v>
      </c>
      <c r="M34" s="317">
        <v>1236238.91</v>
      </c>
      <c r="N34" s="317">
        <v>0.0</v>
      </c>
      <c r="O34" s="317">
        <v>0.0</v>
      </c>
      <c r="P34" s="317">
        <v>0.0</v>
      </c>
      <c r="Q34" s="317">
        <f t="shared" si="2"/>
        <v>1236238.91</v>
      </c>
      <c r="R34" s="318"/>
      <c r="S34" s="317">
        <f t="shared" si="3"/>
        <v>1236238.91</v>
      </c>
      <c r="T34" s="318"/>
      <c r="U34" s="259"/>
    </row>
    <row r="35">
      <c r="A35" s="305" t="s">
        <v>761</v>
      </c>
      <c r="B35" s="306"/>
      <c r="C35" s="384" t="s">
        <v>939</v>
      </c>
      <c r="D35" s="324">
        <v>46258.0</v>
      </c>
      <c r="E35" s="310" t="s">
        <v>764</v>
      </c>
      <c r="F35" s="311" t="s">
        <v>695</v>
      </c>
      <c r="G35" s="312" t="s">
        <v>697</v>
      </c>
      <c r="H35" s="312" t="s">
        <v>213</v>
      </c>
      <c r="I35" s="312" t="s">
        <v>102</v>
      </c>
      <c r="J35" s="312" t="s">
        <v>895</v>
      </c>
      <c r="K35" s="314">
        <v>1070464.91</v>
      </c>
      <c r="L35" s="317">
        <f t="shared" si="6"/>
        <v>0</v>
      </c>
      <c r="M35" s="317">
        <v>1070464.91</v>
      </c>
      <c r="N35" s="317">
        <v>0.0</v>
      </c>
      <c r="O35" s="317">
        <v>0.0</v>
      </c>
      <c r="P35" s="317">
        <v>0.0</v>
      </c>
      <c r="Q35" s="317">
        <f t="shared" si="2"/>
        <v>1070464.91</v>
      </c>
      <c r="R35" s="317">
        <v>1070464.91</v>
      </c>
      <c r="S35" s="317">
        <f t="shared" si="3"/>
        <v>0</v>
      </c>
      <c r="T35" s="318"/>
      <c r="U35" s="259"/>
    </row>
    <row r="36">
      <c r="A36" s="305" t="s">
        <v>761</v>
      </c>
      <c r="B36" s="306"/>
      <c r="C36" s="384" t="s">
        <v>1072</v>
      </c>
      <c r="D36" s="324">
        <v>46258.0</v>
      </c>
      <c r="E36" s="406" t="s">
        <v>764</v>
      </c>
      <c r="F36" s="311" t="s">
        <v>695</v>
      </c>
      <c r="G36" s="312" t="s">
        <v>697</v>
      </c>
      <c r="H36" s="312" t="s">
        <v>213</v>
      </c>
      <c r="I36" s="312" t="s">
        <v>102</v>
      </c>
      <c r="J36" s="312" t="s">
        <v>918</v>
      </c>
      <c r="K36" s="314">
        <v>2999787.0</v>
      </c>
      <c r="L36" s="317">
        <f t="shared" si="6"/>
        <v>0</v>
      </c>
      <c r="M36" s="317">
        <v>2999787.0</v>
      </c>
      <c r="N36" s="317">
        <v>0.0</v>
      </c>
      <c r="O36" s="317">
        <v>0.0</v>
      </c>
      <c r="P36" s="317">
        <v>0.0</v>
      </c>
      <c r="Q36" s="317">
        <f t="shared" si="2"/>
        <v>2999787</v>
      </c>
      <c r="R36" s="318"/>
      <c r="S36" s="317">
        <f t="shared" si="3"/>
        <v>2999787</v>
      </c>
      <c r="T36" s="318"/>
      <c r="U36" s="259"/>
    </row>
    <row r="37">
      <c r="A37" s="305" t="s">
        <v>761</v>
      </c>
      <c r="B37" s="306"/>
      <c r="C37" s="381" t="s">
        <v>933</v>
      </c>
      <c r="D37" s="324">
        <v>46261.0</v>
      </c>
      <c r="E37" s="406" t="s">
        <v>764</v>
      </c>
      <c r="F37" s="311" t="s">
        <v>695</v>
      </c>
      <c r="G37" s="312" t="s">
        <v>747</v>
      </c>
      <c r="H37" s="312" t="s">
        <v>213</v>
      </c>
      <c r="I37" s="312" t="s">
        <v>102</v>
      </c>
      <c r="J37" s="312" t="s">
        <v>886</v>
      </c>
      <c r="K37" s="314">
        <v>788275.0</v>
      </c>
      <c r="L37" s="317">
        <f t="shared" si="6"/>
        <v>0</v>
      </c>
      <c r="M37" s="317">
        <v>788275.0</v>
      </c>
      <c r="N37" s="317">
        <v>772509.5</v>
      </c>
      <c r="O37" s="317">
        <v>0.0</v>
      </c>
      <c r="P37" s="317">
        <v>15765.5</v>
      </c>
      <c r="Q37" s="317">
        <f t="shared" si="2"/>
        <v>0</v>
      </c>
      <c r="R37" s="318"/>
      <c r="S37" s="317">
        <f t="shared" si="3"/>
        <v>0</v>
      </c>
      <c r="T37" s="318"/>
      <c r="U37" s="259"/>
    </row>
    <row r="38">
      <c r="A38" s="305" t="s">
        <v>822</v>
      </c>
      <c r="B38" s="306"/>
      <c r="C38" s="306"/>
      <c r="D38" s="307"/>
      <c r="E38" s="321"/>
      <c r="F38" s="311" t="s">
        <v>695</v>
      </c>
      <c r="G38" s="312" t="s">
        <v>747</v>
      </c>
      <c r="H38" s="411" t="s">
        <v>419</v>
      </c>
      <c r="I38" s="312" t="s">
        <v>71</v>
      </c>
      <c r="J38" s="412" t="s">
        <v>480</v>
      </c>
      <c r="K38" s="314">
        <v>321075.0</v>
      </c>
      <c r="L38" s="317">
        <f t="shared" si="6"/>
        <v>0</v>
      </c>
      <c r="M38" s="317">
        <v>321075.0</v>
      </c>
      <c r="N38" s="317">
        <v>314653.5</v>
      </c>
      <c r="O38" s="317">
        <v>0.0</v>
      </c>
      <c r="P38" s="317">
        <v>6421.5</v>
      </c>
      <c r="Q38" s="317">
        <f t="shared" si="2"/>
        <v>0</v>
      </c>
      <c r="R38" s="318"/>
      <c r="S38" s="317">
        <f t="shared" si="3"/>
        <v>0</v>
      </c>
      <c r="T38" s="416" t="s">
        <v>1098</v>
      </c>
      <c r="U38" s="259"/>
    </row>
    <row r="39">
      <c r="A39" s="305" t="s">
        <v>822</v>
      </c>
      <c r="B39" s="306"/>
      <c r="C39" s="417" t="s">
        <v>1099</v>
      </c>
      <c r="D39" s="307"/>
      <c r="E39" s="321"/>
      <c r="F39" s="311" t="s">
        <v>695</v>
      </c>
      <c r="G39" s="312" t="s">
        <v>697</v>
      </c>
      <c r="H39" s="411" t="s">
        <v>419</v>
      </c>
      <c r="I39" s="312" t="s">
        <v>71</v>
      </c>
      <c r="J39" s="412" t="s">
        <v>454</v>
      </c>
      <c r="K39" s="314">
        <v>1552418.47</v>
      </c>
      <c r="L39" s="317">
        <f t="shared" si="6"/>
        <v>0</v>
      </c>
      <c r="M39" s="317">
        <v>1552418.47</v>
      </c>
      <c r="N39" s="317">
        <v>0.0</v>
      </c>
      <c r="O39" s="317">
        <v>0.0</v>
      </c>
      <c r="P39" s="317">
        <v>0.0</v>
      </c>
      <c r="Q39" s="317">
        <f t="shared" si="2"/>
        <v>1552418.47</v>
      </c>
      <c r="R39" s="317">
        <f t="shared" ref="R39:R40" si="7">Q39</f>
        <v>1552418.47</v>
      </c>
      <c r="S39" s="317">
        <f t="shared" si="3"/>
        <v>0</v>
      </c>
      <c r="T39" s="416" t="s">
        <v>1099</v>
      </c>
      <c r="U39" s="259"/>
    </row>
    <row r="40">
      <c r="A40" s="305" t="s">
        <v>822</v>
      </c>
      <c r="B40" s="306"/>
      <c r="C40" s="306"/>
      <c r="D40" s="307"/>
      <c r="E40" s="321"/>
      <c r="F40" s="311" t="s">
        <v>695</v>
      </c>
      <c r="G40" s="312" t="s">
        <v>697</v>
      </c>
      <c r="H40" s="411" t="s">
        <v>419</v>
      </c>
      <c r="I40" s="312" t="s">
        <v>71</v>
      </c>
      <c r="J40" s="313" t="s">
        <v>504</v>
      </c>
      <c r="K40" s="314">
        <v>780418.3</v>
      </c>
      <c r="L40" s="317">
        <f t="shared" si="6"/>
        <v>0</v>
      </c>
      <c r="M40" s="317">
        <v>780418.3</v>
      </c>
      <c r="N40" s="317">
        <v>0.0</v>
      </c>
      <c r="O40" s="317">
        <v>0.0</v>
      </c>
      <c r="P40" s="317">
        <v>0.0</v>
      </c>
      <c r="Q40" s="317">
        <f t="shared" si="2"/>
        <v>780418.3</v>
      </c>
      <c r="R40" s="317">
        <f t="shared" si="7"/>
        <v>780418.3</v>
      </c>
      <c r="S40" s="317">
        <f t="shared" si="3"/>
        <v>0</v>
      </c>
      <c r="T40" s="416" t="s">
        <v>1113</v>
      </c>
      <c r="U40" s="259"/>
    </row>
    <row r="41">
      <c r="A41" s="305" t="s">
        <v>822</v>
      </c>
      <c r="B41" s="306"/>
      <c r="C41" s="417" t="s">
        <v>1114</v>
      </c>
      <c r="D41" s="307"/>
      <c r="E41" s="321"/>
      <c r="F41" s="311" t="s">
        <v>695</v>
      </c>
      <c r="G41" s="312" t="s">
        <v>697</v>
      </c>
      <c r="H41" s="411" t="s">
        <v>419</v>
      </c>
      <c r="I41" s="312" t="s">
        <v>71</v>
      </c>
      <c r="J41" s="412" t="s">
        <v>471</v>
      </c>
      <c r="K41" s="314">
        <v>2389200.18</v>
      </c>
      <c r="L41" s="317">
        <f t="shared" si="6"/>
        <v>0</v>
      </c>
      <c r="M41" s="317">
        <v>2389200.18</v>
      </c>
      <c r="N41" s="317">
        <v>0.0</v>
      </c>
      <c r="O41" s="317">
        <v>0.0</v>
      </c>
      <c r="P41" s="317">
        <v>0.0</v>
      </c>
      <c r="Q41" s="317">
        <f t="shared" si="2"/>
        <v>2389200.18</v>
      </c>
      <c r="R41" s="318"/>
      <c r="S41" s="317">
        <f t="shared" si="3"/>
        <v>2389200.18</v>
      </c>
      <c r="T41" s="416" t="s">
        <v>1114</v>
      </c>
      <c r="U41" s="259"/>
    </row>
    <row r="42">
      <c r="A42" s="305" t="s">
        <v>822</v>
      </c>
      <c r="B42" s="306"/>
      <c r="C42" s="417" t="s">
        <v>1117</v>
      </c>
      <c r="D42" s="307"/>
      <c r="E42" s="321"/>
      <c r="F42" s="311" t="s">
        <v>695</v>
      </c>
      <c r="G42" s="312" t="s">
        <v>697</v>
      </c>
      <c r="H42" s="411" t="s">
        <v>419</v>
      </c>
      <c r="I42" s="312" t="s">
        <v>71</v>
      </c>
      <c r="J42" s="425" t="s">
        <v>447</v>
      </c>
      <c r="K42" s="314">
        <v>3995949.62</v>
      </c>
      <c r="L42" s="317">
        <f t="shared" si="6"/>
        <v>0</v>
      </c>
      <c r="M42" s="317">
        <v>3995949.62</v>
      </c>
      <c r="N42" s="317">
        <v>0.0</v>
      </c>
      <c r="O42" s="317">
        <v>0.0</v>
      </c>
      <c r="P42" s="317">
        <v>0.0</v>
      </c>
      <c r="Q42" s="317">
        <f t="shared" si="2"/>
        <v>3995949.62</v>
      </c>
      <c r="R42" s="317">
        <f>Q42</f>
        <v>3995949.62</v>
      </c>
      <c r="S42" s="317">
        <f t="shared" si="3"/>
        <v>0</v>
      </c>
      <c r="T42" s="416" t="s">
        <v>1117</v>
      </c>
      <c r="U42" s="259"/>
    </row>
    <row r="43">
      <c r="A43" s="305" t="s">
        <v>822</v>
      </c>
      <c r="B43" s="306"/>
      <c r="C43" s="427" t="s">
        <v>1119</v>
      </c>
      <c r="D43" s="307"/>
      <c r="E43" s="321"/>
      <c r="F43" s="311" t="s">
        <v>695</v>
      </c>
      <c r="G43" s="312" t="s">
        <v>697</v>
      </c>
      <c r="H43" s="411" t="s">
        <v>419</v>
      </c>
      <c r="I43" s="312" t="s">
        <v>71</v>
      </c>
      <c r="J43" s="313" t="s">
        <v>459</v>
      </c>
      <c r="K43" s="314">
        <v>1203179.41</v>
      </c>
      <c r="L43" s="317">
        <f t="shared" si="6"/>
        <v>0</v>
      </c>
      <c r="M43" s="317">
        <v>1203179.41</v>
      </c>
      <c r="N43" s="317">
        <v>0.0</v>
      </c>
      <c r="O43" s="317">
        <v>0.0</v>
      </c>
      <c r="P43" s="317">
        <v>0.0</v>
      </c>
      <c r="Q43" s="317">
        <f t="shared" si="2"/>
        <v>1203179.41</v>
      </c>
      <c r="R43" s="317">
        <v>1203179.41</v>
      </c>
      <c r="S43" s="317">
        <f t="shared" si="3"/>
        <v>0</v>
      </c>
      <c r="T43" s="416" t="s">
        <v>1119</v>
      </c>
      <c r="U43" s="259"/>
    </row>
    <row r="44">
      <c r="A44" s="305" t="s">
        <v>683</v>
      </c>
      <c r="B44" s="306"/>
      <c r="C44" s="318"/>
      <c r="D44" s="307"/>
      <c r="E44" s="429" t="s">
        <v>721</v>
      </c>
      <c r="F44" s="311" t="s">
        <v>695</v>
      </c>
      <c r="G44" s="312" t="s">
        <v>697</v>
      </c>
      <c r="H44" s="312" t="s">
        <v>293</v>
      </c>
      <c r="I44" s="312" t="s">
        <v>71</v>
      </c>
      <c r="J44" s="312" t="s">
        <v>1013</v>
      </c>
      <c r="K44" s="314">
        <v>1214412.76</v>
      </c>
      <c r="L44" s="317">
        <f t="shared" si="6"/>
        <v>0</v>
      </c>
      <c r="M44" s="317">
        <v>1214412.76</v>
      </c>
      <c r="N44" s="318"/>
      <c r="O44" s="318"/>
      <c r="P44" s="318"/>
      <c r="Q44" s="317">
        <f t="shared" si="2"/>
        <v>1214412.76</v>
      </c>
      <c r="R44" s="318"/>
      <c r="S44" s="317">
        <f t="shared" si="3"/>
        <v>1214412.76</v>
      </c>
      <c r="T44" s="318"/>
      <c r="U44" s="259"/>
    </row>
    <row r="45">
      <c r="A45" s="305" t="s">
        <v>683</v>
      </c>
      <c r="B45" s="306"/>
      <c r="C45" s="318"/>
      <c r="D45" s="307"/>
      <c r="E45" s="429" t="s">
        <v>721</v>
      </c>
      <c r="F45" s="311" t="s">
        <v>695</v>
      </c>
      <c r="G45" s="312" t="s">
        <v>747</v>
      </c>
      <c r="H45" s="312" t="s">
        <v>293</v>
      </c>
      <c r="I45" s="312" t="s">
        <v>71</v>
      </c>
      <c r="J45" s="312" t="s">
        <v>1122</v>
      </c>
      <c r="K45" s="314">
        <v>381225.34</v>
      </c>
      <c r="L45" s="317">
        <f t="shared" si="6"/>
        <v>0</v>
      </c>
      <c r="M45" s="317">
        <v>381225.34</v>
      </c>
      <c r="N45" s="318"/>
      <c r="O45" s="318"/>
      <c r="P45" s="318"/>
      <c r="Q45" s="317">
        <f t="shared" si="2"/>
        <v>381225.34</v>
      </c>
      <c r="R45" s="318"/>
      <c r="S45" s="317">
        <f t="shared" si="3"/>
        <v>381225.34</v>
      </c>
      <c r="T45" s="318"/>
      <c r="U45" s="259"/>
    </row>
    <row r="46">
      <c r="A46" s="431" t="s">
        <v>836</v>
      </c>
      <c r="B46" s="367"/>
      <c r="C46" s="367"/>
      <c r="D46" s="307"/>
      <c r="E46" s="432"/>
      <c r="F46" s="433" t="s">
        <v>695</v>
      </c>
      <c r="G46" s="434" t="s">
        <v>1073</v>
      </c>
      <c r="H46" s="434" t="s">
        <v>1124</v>
      </c>
      <c r="I46" s="434" t="s">
        <v>228</v>
      </c>
      <c r="J46" s="434" t="s">
        <v>1126</v>
      </c>
      <c r="K46" s="435">
        <v>715987.68</v>
      </c>
      <c r="L46" s="317">
        <f t="shared" si="6"/>
        <v>0</v>
      </c>
      <c r="M46" s="317">
        <v>715987.68</v>
      </c>
      <c r="N46" s="318"/>
      <c r="O46" s="318"/>
      <c r="P46" s="318"/>
      <c r="Q46" s="317">
        <f t="shared" si="2"/>
        <v>715987.68</v>
      </c>
      <c r="R46" s="317">
        <f t="shared" ref="R46:R48" si="8">Q46</f>
        <v>715987.68</v>
      </c>
      <c r="S46" s="317">
        <f t="shared" si="3"/>
        <v>0</v>
      </c>
      <c r="T46" s="345"/>
      <c r="U46" s="259"/>
    </row>
    <row r="47">
      <c r="A47" s="431" t="s">
        <v>836</v>
      </c>
      <c r="B47" s="367"/>
      <c r="C47" s="367"/>
      <c r="D47" s="307"/>
      <c r="E47" s="432"/>
      <c r="F47" s="433" t="s">
        <v>695</v>
      </c>
      <c r="G47" s="434" t="s">
        <v>1073</v>
      </c>
      <c r="H47" s="434" t="s">
        <v>1124</v>
      </c>
      <c r="I47" s="434" t="s">
        <v>228</v>
      </c>
      <c r="J47" s="434" t="s">
        <v>1126</v>
      </c>
      <c r="K47" s="435">
        <v>1166152.17</v>
      </c>
      <c r="L47" s="317">
        <f t="shared" si="6"/>
        <v>0</v>
      </c>
      <c r="M47" s="317">
        <v>1166152.17</v>
      </c>
      <c r="N47" s="318"/>
      <c r="O47" s="318"/>
      <c r="P47" s="318"/>
      <c r="Q47" s="317">
        <f t="shared" si="2"/>
        <v>1166152.17</v>
      </c>
      <c r="R47" s="317">
        <f t="shared" si="8"/>
        <v>1166152.17</v>
      </c>
      <c r="S47" s="317">
        <f t="shared" si="3"/>
        <v>0</v>
      </c>
      <c r="T47" s="345"/>
      <c r="U47" s="259"/>
    </row>
    <row r="48">
      <c r="A48" s="431" t="s">
        <v>836</v>
      </c>
      <c r="B48" s="306"/>
      <c r="C48" s="306"/>
      <c r="D48" s="307"/>
      <c r="E48" s="321"/>
      <c r="F48" s="311" t="s">
        <v>695</v>
      </c>
      <c r="G48" s="434" t="s">
        <v>1073</v>
      </c>
      <c r="H48" s="434" t="s">
        <v>1131</v>
      </c>
      <c r="I48" s="434" t="s">
        <v>228</v>
      </c>
      <c r="J48" s="312" t="s">
        <v>1132</v>
      </c>
      <c r="K48" s="314">
        <v>1.583898194E7</v>
      </c>
      <c r="L48" s="317">
        <f t="shared" si="6"/>
        <v>0</v>
      </c>
      <c r="M48" s="317">
        <v>1.583898194E7</v>
      </c>
      <c r="N48" s="317">
        <v>1.4912E7</v>
      </c>
      <c r="O48" s="318"/>
      <c r="P48" s="318"/>
      <c r="Q48" s="317">
        <f t="shared" si="2"/>
        <v>926981.94</v>
      </c>
      <c r="R48" s="317">
        <f t="shared" si="8"/>
        <v>926981.94</v>
      </c>
      <c r="S48" s="317">
        <f t="shared" si="3"/>
        <v>0</v>
      </c>
      <c r="T48" s="318"/>
      <c r="U48" s="259"/>
    </row>
    <row r="49">
      <c r="A49" s="431" t="s">
        <v>836</v>
      </c>
      <c r="B49" s="306"/>
      <c r="C49" s="306"/>
      <c r="D49" s="307"/>
      <c r="E49" s="321"/>
      <c r="F49" s="311" t="s">
        <v>695</v>
      </c>
      <c r="G49" s="434" t="s">
        <v>1073</v>
      </c>
      <c r="H49" s="434" t="s">
        <v>1131</v>
      </c>
      <c r="I49" s="434" t="s">
        <v>228</v>
      </c>
      <c r="J49" s="312" t="s">
        <v>1132</v>
      </c>
      <c r="K49" s="314">
        <v>737083.34</v>
      </c>
      <c r="L49" s="317">
        <f t="shared" si="6"/>
        <v>0</v>
      </c>
      <c r="M49" s="317">
        <v>737083.34</v>
      </c>
      <c r="N49" s="318"/>
      <c r="O49" s="318"/>
      <c r="P49" s="318"/>
      <c r="Q49" s="317">
        <f t="shared" si="2"/>
        <v>737083.34</v>
      </c>
      <c r="R49" s="317">
        <v>737083.34</v>
      </c>
      <c r="S49" s="317">
        <f t="shared" si="3"/>
        <v>0</v>
      </c>
      <c r="T49" s="318"/>
      <c r="U49" s="259"/>
    </row>
    <row r="50">
      <c r="A50" s="305" t="s">
        <v>822</v>
      </c>
      <c r="B50" s="306"/>
      <c r="C50" s="306"/>
      <c r="D50" s="307"/>
      <c r="E50" s="321"/>
      <c r="F50" s="311" t="s">
        <v>695</v>
      </c>
      <c r="G50" s="312" t="s">
        <v>697</v>
      </c>
      <c r="H50" s="411" t="s">
        <v>237</v>
      </c>
      <c r="I50" s="312" t="s">
        <v>161</v>
      </c>
      <c r="J50" s="313" t="s">
        <v>655</v>
      </c>
      <c r="K50" s="314">
        <v>1102215.14</v>
      </c>
      <c r="L50" s="317">
        <f t="shared" si="6"/>
        <v>0</v>
      </c>
      <c r="M50" s="317">
        <v>1102215.14</v>
      </c>
      <c r="N50" s="317">
        <v>0.0</v>
      </c>
      <c r="O50" s="317">
        <v>0.0</v>
      </c>
      <c r="P50" s="317">
        <v>0.0</v>
      </c>
      <c r="Q50" s="317">
        <f t="shared" si="2"/>
        <v>1102215.14</v>
      </c>
      <c r="R50" s="317">
        <v>1102215.14</v>
      </c>
      <c r="S50" s="317">
        <f t="shared" si="3"/>
        <v>0</v>
      </c>
      <c r="T50" s="318"/>
      <c r="U50" s="259"/>
    </row>
    <row r="51">
      <c r="A51" s="305" t="s">
        <v>822</v>
      </c>
      <c r="B51" s="306"/>
      <c r="C51" s="306"/>
      <c r="D51" s="307"/>
      <c r="E51" s="321"/>
      <c r="F51" s="311" t="s">
        <v>695</v>
      </c>
      <c r="G51" s="312" t="s">
        <v>697</v>
      </c>
      <c r="H51" s="411" t="s">
        <v>237</v>
      </c>
      <c r="I51" s="312" t="s">
        <v>161</v>
      </c>
      <c r="J51" s="313" t="s">
        <v>613</v>
      </c>
      <c r="K51" s="314">
        <v>1487004.38</v>
      </c>
      <c r="L51" s="317">
        <f t="shared" si="6"/>
        <v>0</v>
      </c>
      <c r="M51" s="317">
        <v>1487004.38</v>
      </c>
      <c r="N51" s="317">
        <v>0.0</v>
      </c>
      <c r="O51" s="317">
        <v>0.0</v>
      </c>
      <c r="P51" s="317">
        <v>0.0</v>
      </c>
      <c r="Q51" s="317">
        <f t="shared" si="2"/>
        <v>1487004.38</v>
      </c>
      <c r="R51" s="317">
        <v>1487004.38</v>
      </c>
      <c r="S51" s="317">
        <f t="shared" si="3"/>
        <v>0</v>
      </c>
      <c r="T51" s="318"/>
      <c r="U51" s="259"/>
    </row>
    <row r="52">
      <c r="A52" s="305" t="s">
        <v>822</v>
      </c>
      <c r="B52" s="306"/>
      <c r="C52" s="306"/>
      <c r="D52" s="307"/>
      <c r="E52" s="321"/>
      <c r="F52" s="311" t="s">
        <v>695</v>
      </c>
      <c r="G52" s="312" t="s">
        <v>697</v>
      </c>
      <c r="H52" s="411" t="s">
        <v>237</v>
      </c>
      <c r="I52" s="312" t="s">
        <v>161</v>
      </c>
      <c r="J52" s="313" t="s">
        <v>679</v>
      </c>
      <c r="K52" s="435">
        <v>975146.98</v>
      </c>
      <c r="L52" s="317">
        <f t="shared" si="6"/>
        <v>0</v>
      </c>
      <c r="M52" s="317">
        <v>975146.98</v>
      </c>
      <c r="N52" s="317">
        <v>0.0</v>
      </c>
      <c r="O52" s="317">
        <v>0.0</v>
      </c>
      <c r="P52" s="317">
        <v>0.0</v>
      </c>
      <c r="Q52" s="317">
        <f t="shared" si="2"/>
        <v>975146.98</v>
      </c>
      <c r="R52" s="317">
        <v>975146.98</v>
      </c>
      <c r="S52" s="317">
        <f t="shared" si="3"/>
        <v>0</v>
      </c>
      <c r="T52" s="318"/>
      <c r="U52" s="259"/>
    </row>
    <row r="53">
      <c r="A53" s="305" t="s">
        <v>822</v>
      </c>
      <c r="B53" s="306"/>
      <c r="C53" s="306"/>
      <c r="D53" s="307"/>
      <c r="E53" s="321"/>
      <c r="F53" s="311" t="s">
        <v>695</v>
      </c>
      <c r="G53" s="312" t="s">
        <v>697</v>
      </c>
      <c r="H53" s="411" t="s">
        <v>237</v>
      </c>
      <c r="I53" s="312" t="s">
        <v>161</v>
      </c>
      <c r="J53" s="412" t="s">
        <v>596</v>
      </c>
      <c r="K53" s="314">
        <v>1357433.24</v>
      </c>
      <c r="L53" s="317">
        <f t="shared" si="6"/>
        <v>0</v>
      </c>
      <c r="M53" s="317">
        <v>1357433.24</v>
      </c>
      <c r="N53" s="317">
        <v>0.0</v>
      </c>
      <c r="O53" s="317">
        <v>0.0</v>
      </c>
      <c r="P53" s="317">
        <v>0.0</v>
      </c>
      <c r="Q53" s="317">
        <f t="shared" si="2"/>
        <v>1357433.24</v>
      </c>
      <c r="R53" s="317">
        <v>1357433.24</v>
      </c>
      <c r="S53" s="317">
        <f t="shared" si="3"/>
        <v>0</v>
      </c>
      <c r="T53" s="318"/>
      <c r="U53" s="354"/>
    </row>
    <row r="54">
      <c r="A54" s="305" t="s">
        <v>822</v>
      </c>
      <c r="B54" s="306"/>
      <c r="C54" s="306"/>
      <c r="D54" s="307"/>
      <c r="E54" s="321"/>
      <c r="F54" s="311" t="s">
        <v>695</v>
      </c>
      <c r="G54" s="312" t="s">
        <v>697</v>
      </c>
      <c r="H54" s="411" t="s">
        <v>237</v>
      </c>
      <c r="I54" s="312" t="s">
        <v>161</v>
      </c>
      <c r="J54" s="442" t="s">
        <v>638</v>
      </c>
      <c r="K54" s="314">
        <v>1752431.37</v>
      </c>
      <c r="L54" s="317">
        <f t="shared" si="6"/>
        <v>0</v>
      </c>
      <c r="M54" s="317">
        <v>1752431.37</v>
      </c>
      <c r="N54" s="317">
        <v>0.0</v>
      </c>
      <c r="O54" s="317">
        <v>0.0</v>
      </c>
      <c r="P54" s="317">
        <v>0.0</v>
      </c>
      <c r="Q54" s="317">
        <f t="shared" si="2"/>
        <v>1752431.37</v>
      </c>
      <c r="R54" s="317">
        <v>1752431.37</v>
      </c>
      <c r="S54" s="317">
        <f t="shared" si="3"/>
        <v>0</v>
      </c>
      <c r="T54" s="318"/>
      <c r="U54" s="369"/>
    </row>
    <row r="55" ht="14.25" customHeight="1">
      <c r="A55" s="305" t="s">
        <v>822</v>
      </c>
      <c r="B55" s="306"/>
      <c r="C55" s="306"/>
      <c r="D55" s="307"/>
      <c r="E55" s="321"/>
      <c r="F55" s="311" t="s">
        <v>695</v>
      </c>
      <c r="G55" s="312" t="s">
        <v>747</v>
      </c>
      <c r="H55" s="411" t="s">
        <v>237</v>
      </c>
      <c r="I55" s="312" t="s">
        <v>161</v>
      </c>
      <c r="J55" s="442" t="s">
        <v>762</v>
      </c>
      <c r="K55" s="314">
        <v>511202.45</v>
      </c>
      <c r="L55" s="317">
        <f t="shared" si="6"/>
        <v>0</v>
      </c>
      <c r="M55" s="317">
        <v>511202.45</v>
      </c>
      <c r="N55" s="317">
        <v>0.0</v>
      </c>
      <c r="O55" s="317">
        <v>0.0</v>
      </c>
      <c r="P55" s="317">
        <v>0.0</v>
      </c>
      <c r="Q55" s="317">
        <f t="shared" si="2"/>
        <v>511202.45</v>
      </c>
      <c r="R55" s="317">
        <v>511202.45</v>
      </c>
      <c r="S55" s="317">
        <f t="shared" si="3"/>
        <v>0</v>
      </c>
      <c r="T55" s="318"/>
      <c r="U55" s="369"/>
    </row>
    <row r="56">
      <c r="A56" s="305" t="s">
        <v>822</v>
      </c>
      <c r="B56" s="306"/>
      <c r="C56" s="306"/>
      <c r="D56" s="307"/>
      <c r="E56" s="321"/>
      <c r="F56" s="311" t="s">
        <v>695</v>
      </c>
      <c r="G56" s="312" t="s">
        <v>747</v>
      </c>
      <c r="H56" s="411" t="s">
        <v>237</v>
      </c>
      <c r="I56" s="312" t="s">
        <v>161</v>
      </c>
      <c r="J56" s="456" t="s">
        <v>690</v>
      </c>
      <c r="K56" s="314">
        <v>1351209.91</v>
      </c>
      <c r="L56" s="317">
        <f t="shared" si="6"/>
        <v>0</v>
      </c>
      <c r="M56" s="317">
        <v>1351209.91</v>
      </c>
      <c r="N56" s="317">
        <v>0.0</v>
      </c>
      <c r="O56" s="317">
        <v>0.0</v>
      </c>
      <c r="P56" s="317">
        <v>27024.2</v>
      </c>
      <c r="Q56" s="317">
        <f t="shared" si="2"/>
        <v>1324185.71</v>
      </c>
      <c r="R56" s="318"/>
      <c r="S56" s="317">
        <f t="shared" si="3"/>
        <v>1324185.71</v>
      </c>
      <c r="T56" s="318"/>
      <c r="U56" s="369"/>
    </row>
    <row r="57">
      <c r="A57" s="305" t="s">
        <v>822</v>
      </c>
      <c r="B57" s="306"/>
      <c r="C57" s="306"/>
      <c r="D57" s="307"/>
      <c r="E57" s="457"/>
      <c r="F57" s="311" t="s">
        <v>695</v>
      </c>
      <c r="G57" s="312" t="s">
        <v>747</v>
      </c>
      <c r="H57" s="411" t="s">
        <v>237</v>
      </c>
      <c r="I57" s="312" t="s">
        <v>161</v>
      </c>
      <c r="J57" s="456" t="s">
        <v>580</v>
      </c>
      <c r="K57" s="314">
        <v>1519453.93</v>
      </c>
      <c r="L57" s="317">
        <f t="shared" si="6"/>
        <v>0</v>
      </c>
      <c r="M57" s="317">
        <v>1519453.93</v>
      </c>
      <c r="N57" s="317">
        <v>0.0</v>
      </c>
      <c r="O57" s="317">
        <v>0.0</v>
      </c>
      <c r="P57" s="317">
        <v>30389.09</v>
      </c>
      <c r="Q57" s="317">
        <f t="shared" si="2"/>
        <v>1489064.84</v>
      </c>
      <c r="R57" s="317">
        <v>1489064.8399999999</v>
      </c>
      <c r="S57" s="317">
        <f t="shared" si="3"/>
        <v>0</v>
      </c>
      <c r="T57" s="318"/>
      <c r="U57" s="369"/>
    </row>
    <row r="58">
      <c r="A58" s="305" t="s">
        <v>822</v>
      </c>
      <c r="B58" s="306"/>
      <c r="C58" s="306"/>
      <c r="D58" s="307"/>
      <c r="E58" s="321"/>
      <c r="F58" s="311" t="s">
        <v>695</v>
      </c>
      <c r="G58" s="312" t="s">
        <v>747</v>
      </c>
      <c r="H58" s="411" t="s">
        <v>237</v>
      </c>
      <c r="I58" s="312" t="s">
        <v>161</v>
      </c>
      <c r="J58" s="442" t="s">
        <v>709</v>
      </c>
      <c r="K58" s="314">
        <v>608921.96</v>
      </c>
      <c r="L58" s="317">
        <f t="shared" si="6"/>
        <v>0</v>
      </c>
      <c r="M58" s="317">
        <v>608921.96</v>
      </c>
      <c r="N58" s="317">
        <v>0.0</v>
      </c>
      <c r="O58" s="317">
        <v>0.0</v>
      </c>
      <c r="P58" s="317">
        <v>0.0</v>
      </c>
      <c r="Q58" s="317">
        <f t="shared" si="2"/>
        <v>608921.96</v>
      </c>
      <c r="R58" s="317">
        <v>608921.96</v>
      </c>
      <c r="S58" s="317">
        <f t="shared" si="3"/>
        <v>0</v>
      </c>
      <c r="T58" s="318"/>
      <c r="U58" s="395"/>
    </row>
    <row r="59">
      <c r="A59" s="305" t="s">
        <v>822</v>
      </c>
      <c r="B59" s="306"/>
      <c r="C59" s="306"/>
      <c r="D59" s="307"/>
      <c r="E59" s="321"/>
      <c r="F59" s="311" t="s">
        <v>695</v>
      </c>
      <c r="G59" s="312" t="s">
        <v>697</v>
      </c>
      <c r="H59" s="411" t="s">
        <v>237</v>
      </c>
      <c r="I59" s="312" t="s">
        <v>161</v>
      </c>
      <c r="J59" s="462" t="s">
        <v>744</v>
      </c>
      <c r="K59" s="314">
        <v>1116030.19</v>
      </c>
      <c r="L59" s="317">
        <f t="shared" si="6"/>
        <v>0</v>
      </c>
      <c r="M59" s="314">
        <v>1116030.19</v>
      </c>
      <c r="N59" s="317">
        <v>0.0</v>
      </c>
      <c r="O59" s="317">
        <v>0.0</v>
      </c>
      <c r="P59" s="317">
        <v>0.0</v>
      </c>
      <c r="Q59" s="317">
        <f t="shared" si="2"/>
        <v>1116030.19</v>
      </c>
      <c r="R59" s="317">
        <v>1116030.19</v>
      </c>
      <c r="S59" s="317">
        <f t="shared" si="3"/>
        <v>0</v>
      </c>
      <c r="T59" s="318"/>
      <c r="U59" s="369"/>
    </row>
    <row r="60">
      <c r="A60" s="305" t="s">
        <v>822</v>
      </c>
      <c r="B60" s="306"/>
      <c r="C60" s="306"/>
      <c r="D60" s="307"/>
      <c r="E60" s="321"/>
      <c r="F60" s="311" t="s">
        <v>695</v>
      </c>
      <c r="G60" s="312" t="s">
        <v>747</v>
      </c>
      <c r="H60" s="411" t="s">
        <v>237</v>
      </c>
      <c r="I60" s="312" t="s">
        <v>161</v>
      </c>
      <c r="J60" s="412" t="s">
        <v>610</v>
      </c>
      <c r="K60" s="314">
        <v>589137.52</v>
      </c>
      <c r="L60" s="317">
        <f t="shared" si="6"/>
        <v>0</v>
      </c>
      <c r="M60" s="317">
        <v>589137.52</v>
      </c>
      <c r="N60" s="317">
        <v>0.0</v>
      </c>
      <c r="O60" s="317">
        <v>0.0</v>
      </c>
      <c r="P60" s="317">
        <v>0.0</v>
      </c>
      <c r="Q60" s="317">
        <f t="shared" si="2"/>
        <v>589137.52</v>
      </c>
      <c r="R60" s="318"/>
      <c r="S60" s="317">
        <f t="shared" si="3"/>
        <v>589137.52</v>
      </c>
      <c r="T60" s="318"/>
      <c r="U60" s="354"/>
    </row>
    <row r="61">
      <c r="A61" s="305" t="s">
        <v>822</v>
      </c>
      <c r="B61" s="306"/>
      <c r="C61" s="306"/>
      <c r="D61" s="307"/>
      <c r="E61" s="321"/>
      <c r="F61" s="311" t="s">
        <v>695</v>
      </c>
      <c r="G61" s="312" t="s">
        <v>747</v>
      </c>
      <c r="H61" s="411" t="s">
        <v>237</v>
      </c>
      <c r="I61" s="312" t="s">
        <v>161</v>
      </c>
      <c r="J61" s="313" t="s">
        <v>646</v>
      </c>
      <c r="K61" s="314">
        <v>1530828.0</v>
      </c>
      <c r="L61" s="317">
        <f t="shared" si="6"/>
        <v>0</v>
      </c>
      <c r="M61" s="317">
        <v>1530828.0</v>
      </c>
      <c r="N61" s="317">
        <v>1255306.38</v>
      </c>
      <c r="O61" s="317">
        <v>0.0</v>
      </c>
      <c r="P61" s="317">
        <v>0.0</v>
      </c>
      <c r="Q61" s="317">
        <f t="shared" si="2"/>
        <v>275521.62</v>
      </c>
      <c r="R61" s="317">
        <v>275521.6200000001</v>
      </c>
      <c r="S61" s="317">
        <f t="shared" si="3"/>
        <v>0</v>
      </c>
      <c r="T61" s="318"/>
      <c r="U61" s="354"/>
    </row>
    <row r="62">
      <c r="A62" s="463" t="s">
        <v>683</v>
      </c>
      <c r="B62" s="306"/>
      <c r="C62" s="464" t="s">
        <v>1151</v>
      </c>
      <c r="D62" s="307"/>
      <c r="E62" s="465" t="s">
        <v>721</v>
      </c>
      <c r="F62" s="311" t="s">
        <v>695</v>
      </c>
      <c r="G62" s="466" t="s">
        <v>697</v>
      </c>
      <c r="H62" s="466" t="s">
        <v>252</v>
      </c>
      <c r="I62" s="466" t="s">
        <v>102</v>
      </c>
      <c r="J62" s="467" t="s">
        <v>1153</v>
      </c>
      <c r="K62" s="468">
        <v>2535944.16</v>
      </c>
      <c r="L62" s="469">
        <f t="shared" si="6"/>
        <v>0</v>
      </c>
      <c r="M62" s="469">
        <v>2535944.16</v>
      </c>
      <c r="N62" s="318"/>
      <c r="O62" s="318"/>
      <c r="P62" s="318"/>
      <c r="Q62" s="469">
        <f t="shared" si="2"/>
        <v>2535944.16</v>
      </c>
      <c r="R62" s="469">
        <f>Q62</f>
        <v>2535944.16</v>
      </c>
      <c r="S62" s="469">
        <f t="shared" si="3"/>
        <v>0</v>
      </c>
      <c r="T62" s="318"/>
      <c r="U62" s="354"/>
    </row>
    <row r="63">
      <c r="A63" s="470" t="s">
        <v>836</v>
      </c>
      <c r="B63" s="471"/>
      <c r="C63" s="473"/>
      <c r="D63" s="475"/>
      <c r="E63" s="477" t="s">
        <v>721</v>
      </c>
      <c r="F63" s="311" t="s">
        <v>1158</v>
      </c>
      <c r="G63" s="479" t="s">
        <v>747</v>
      </c>
      <c r="H63" s="479" t="s">
        <v>252</v>
      </c>
      <c r="I63" s="479" t="s">
        <v>102</v>
      </c>
      <c r="J63" s="479" t="s">
        <v>1130</v>
      </c>
      <c r="K63" s="480">
        <v>1799635.94</v>
      </c>
      <c r="L63" s="481">
        <f t="shared" si="6"/>
        <v>0</v>
      </c>
      <c r="M63" s="481">
        <v>1799635.94</v>
      </c>
      <c r="N63" s="482"/>
      <c r="O63" s="482"/>
      <c r="P63" s="482"/>
      <c r="Q63" s="481">
        <f t="shared" si="2"/>
        <v>1799635.94</v>
      </c>
      <c r="R63" s="482"/>
      <c r="S63" s="481">
        <f t="shared" si="3"/>
        <v>1799635.94</v>
      </c>
      <c r="T63" s="482"/>
      <c r="U63" s="354"/>
    </row>
    <row r="64">
      <c r="A64" s="327" t="s">
        <v>836</v>
      </c>
      <c r="B64" s="306"/>
      <c r="C64" s="483"/>
      <c r="D64" s="307"/>
      <c r="E64" s="429" t="s">
        <v>721</v>
      </c>
      <c r="F64" s="311" t="s">
        <v>695</v>
      </c>
      <c r="G64" s="312" t="s">
        <v>747</v>
      </c>
      <c r="H64" s="312" t="s">
        <v>252</v>
      </c>
      <c r="I64" s="312" t="s">
        <v>102</v>
      </c>
      <c r="J64" s="312" t="s">
        <v>1134</v>
      </c>
      <c r="K64" s="314">
        <v>796049.43</v>
      </c>
      <c r="L64" s="317">
        <f t="shared" si="6"/>
        <v>0</v>
      </c>
      <c r="M64" s="317">
        <v>796049.43</v>
      </c>
      <c r="N64" s="318"/>
      <c r="O64" s="318"/>
      <c r="P64" s="317">
        <v>15920.99</v>
      </c>
      <c r="Q64" s="317">
        <f t="shared" si="2"/>
        <v>780128.44</v>
      </c>
      <c r="R64" s="318"/>
      <c r="S64" s="317">
        <f t="shared" si="3"/>
        <v>780128.44</v>
      </c>
      <c r="T64" s="318"/>
      <c r="U64" s="354"/>
    </row>
    <row r="65">
      <c r="A65" s="463" t="s">
        <v>683</v>
      </c>
      <c r="B65" s="306"/>
      <c r="C65" s="483"/>
      <c r="D65" s="307"/>
      <c r="E65" s="465" t="s">
        <v>721</v>
      </c>
      <c r="F65" s="311" t="s">
        <v>695</v>
      </c>
      <c r="G65" s="466" t="s">
        <v>697</v>
      </c>
      <c r="H65" s="466" t="s">
        <v>1136</v>
      </c>
      <c r="I65" s="466" t="s">
        <v>161</v>
      </c>
      <c r="J65" s="467" t="s">
        <v>1137</v>
      </c>
      <c r="K65" s="468">
        <v>1374996.76</v>
      </c>
      <c r="L65" s="469">
        <f t="shared" si="6"/>
        <v>0</v>
      </c>
      <c r="M65" s="469">
        <v>1374996.76</v>
      </c>
      <c r="N65" s="469">
        <f>L65</f>
        <v>0</v>
      </c>
      <c r="O65" s="469">
        <v>0.0</v>
      </c>
      <c r="P65" s="469">
        <f>N65</f>
        <v>0</v>
      </c>
      <c r="Q65" s="469">
        <f t="shared" si="2"/>
        <v>1374996.76</v>
      </c>
      <c r="R65" s="318"/>
      <c r="S65" s="469">
        <f t="shared" si="3"/>
        <v>1374996.76</v>
      </c>
      <c r="T65" s="318"/>
      <c r="U65" s="354"/>
    </row>
    <row r="66">
      <c r="A66" s="305" t="s">
        <v>822</v>
      </c>
      <c r="B66" s="306"/>
      <c r="C66" s="306"/>
      <c r="D66" s="307"/>
      <c r="E66" s="321"/>
      <c r="F66" s="311" t="s">
        <v>695</v>
      </c>
      <c r="G66" s="411" t="s">
        <v>747</v>
      </c>
      <c r="H66" s="411" t="s">
        <v>148</v>
      </c>
      <c r="I66" s="312" t="s">
        <v>71</v>
      </c>
      <c r="J66" s="312" t="s">
        <v>777</v>
      </c>
      <c r="K66" s="314">
        <v>1266786.92</v>
      </c>
      <c r="L66" s="317">
        <f t="shared" si="6"/>
        <v>0</v>
      </c>
      <c r="M66" s="317">
        <v>1266786.92</v>
      </c>
      <c r="N66" s="317">
        <v>1266786.92</v>
      </c>
      <c r="O66" s="317">
        <v>0.0</v>
      </c>
      <c r="P66" s="317">
        <v>0.0</v>
      </c>
      <c r="Q66" s="317">
        <f t="shared" si="2"/>
        <v>0</v>
      </c>
      <c r="R66" s="318"/>
      <c r="S66" s="317">
        <f t="shared" si="3"/>
        <v>0</v>
      </c>
      <c r="T66" s="318"/>
      <c r="U66" s="354"/>
    </row>
    <row r="67" ht="15.0" customHeight="1">
      <c r="A67" s="305" t="s">
        <v>822</v>
      </c>
      <c r="B67" s="306"/>
      <c r="C67" s="306"/>
      <c r="D67" s="307"/>
      <c r="E67" s="321"/>
      <c r="F67" s="311" t="s">
        <v>695</v>
      </c>
      <c r="G67" s="312" t="s">
        <v>697</v>
      </c>
      <c r="H67" s="411" t="s">
        <v>148</v>
      </c>
      <c r="I67" s="312" t="s">
        <v>71</v>
      </c>
      <c r="J67" s="491" t="s">
        <v>788</v>
      </c>
      <c r="K67" s="314">
        <v>2178113.72</v>
      </c>
      <c r="L67" s="317">
        <f t="shared" si="6"/>
        <v>0</v>
      </c>
      <c r="M67" s="317">
        <v>2178113.72</v>
      </c>
      <c r="N67" s="317">
        <v>0.0</v>
      </c>
      <c r="O67" s="317">
        <v>0.0</v>
      </c>
      <c r="P67" s="317">
        <v>0.0</v>
      </c>
      <c r="Q67" s="317">
        <f t="shared" si="2"/>
        <v>2178113.72</v>
      </c>
      <c r="R67" s="317">
        <v>2178113.72</v>
      </c>
      <c r="S67" s="317">
        <f t="shared" si="3"/>
        <v>0</v>
      </c>
      <c r="T67" s="318"/>
      <c r="U67" s="354"/>
    </row>
    <row r="68" ht="15.0" customHeight="1">
      <c r="A68" s="493" t="s">
        <v>1141</v>
      </c>
      <c r="B68" s="495" t="s">
        <v>1143</v>
      </c>
      <c r="C68" s="497"/>
      <c r="D68" s="498"/>
      <c r="E68" s="499"/>
      <c r="F68" s="499"/>
      <c r="G68" s="500"/>
      <c r="H68" s="500"/>
      <c r="I68" s="500"/>
      <c r="J68" s="500"/>
      <c r="K68" s="501"/>
      <c r="L68" s="501"/>
      <c r="M68" s="502"/>
      <c r="N68" s="501"/>
      <c r="O68" s="501"/>
      <c r="P68" s="501"/>
      <c r="Q68" s="501"/>
      <c r="R68" s="501"/>
      <c r="S68" s="501"/>
      <c r="T68" s="501"/>
      <c r="U68" s="354"/>
    </row>
    <row r="69" ht="15.0" customHeight="1">
      <c r="D69" s="498"/>
      <c r="E69" s="499"/>
      <c r="F69" s="499"/>
      <c r="G69" s="504" t="s">
        <v>1144</v>
      </c>
      <c r="H69" s="11"/>
      <c r="I69" s="11"/>
      <c r="J69" s="14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259"/>
    </row>
    <row r="70">
      <c r="D70" s="498"/>
      <c r="E70" s="499"/>
      <c r="F70" s="499"/>
      <c r="G70" s="507" t="s">
        <v>1145</v>
      </c>
      <c r="H70" s="106"/>
      <c r="I70" s="106"/>
      <c r="J70" s="106"/>
      <c r="K70" s="508">
        <f>SUM(K4:K69)</f>
        <v>105211629.6</v>
      </c>
      <c r="L70" s="508">
        <f t="shared" ref="L70:N70" si="9">SUM(L4:L68)</f>
        <v>0</v>
      </c>
      <c r="M70" s="508">
        <f t="shared" si="9"/>
        <v>105211629.6</v>
      </c>
      <c r="N70" s="508">
        <f t="shared" si="9"/>
        <v>26609315.44</v>
      </c>
      <c r="O70" s="510"/>
      <c r="P70" s="508">
        <f t="shared" ref="P70:S70" si="10">SUM(P4:P68)</f>
        <v>466476.44</v>
      </c>
      <c r="Q70" s="508">
        <f t="shared" si="10"/>
        <v>78135837.76</v>
      </c>
      <c r="R70" s="508">
        <f t="shared" si="10"/>
        <v>51382430.66</v>
      </c>
      <c r="S70" s="508">
        <f t="shared" si="10"/>
        <v>26753407.1</v>
      </c>
      <c r="T70" s="501"/>
      <c r="U70" s="354"/>
    </row>
    <row r="71">
      <c r="D71" s="498"/>
      <c r="E71" s="499"/>
      <c r="F71" s="499"/>
      <c r="G71" s="513" t="s">
        <v>1146</v>
      </c>
      <c r="H71" s="11"/>
      <c r="I71" s="11"/>
      <c r="J71" s="11"/>
      <c r="K71" s="521">
        <f t="shared" ref="K71:N71" si="11">SUMIF($G$4:$G$68,"*земляные работы*",K4:K68)</f>
        <v>0</v>
      </c>
      <c r="L71" s="521">
        <f t="shared" si="11"/>
        <v>0</v>
      </c>
      <c r="M71" s="521">
        <f t="shared" si="11"/>
        <v>0</v>
      </c>
      <c r="N71" s="521">
        <f t="shared" si="11"/>
        <v>0</v>
      </c>
      <c r="O71" s="523"/>
      <c r="P71" s="521">
        <f t="shared" ref="P71:S71" si="12">SUMIF($G$4:$G$68,"*земляные работы*",P4:P68)</f>
        <v>0</v>
      </c>
      <c r="Q71" s="521">
        <f t="shared" si="12"/>
        <v>0</v>
      </c>
      <c r="R71" s="521">
        <f t="shared" si="12"/>
        <v>0</v>
      </c>
      <c r="S71" s="521">
        <f t="shared" si="12"/>
        <v>0</v>
      </c>
      <c r="T71" s="501"/>
      <c r="U71" s="354"/>
    </row>
    <row r="72">
      <c r="D72" s="498"/>
      <c r="E72" s="499"/>
      <c r="F72" s="499"/>
      <c r="G72" s="527" t="s">
        <v>1147</v>
      </c>
      <c r="H72" s="11"/>
      <c r="I72" s="11"/>
      <c r="J72" s="11"/>
      <c r="K72" s="532">
        <f t="shared" ref="K72:N72" si="13">SUMIF($G$4:$G$68,"*подготовительные работы*",K4:K68)</f>
        <v>28890794.66</v>
      </c>
      <c r="L72" s="532">
        <f t="shared" si="13"/>
        <v>0</v>
      </c>
      <c r="M72" s="532">
        <f t="shared" si="13"/>
        <v>28890794.66</v>
      </c>
      <c r="N72" s="532">
        <f t="shared" si="13"/>
        <v>8092316.7</v>
      </c>
      <c r="O72" s="536"/>
      <c r="P72" s="532">
        <f t="shared" ref="P72:S72" si="14">SUMIF($G$4:$G$68,"*подготовительные работы*",P4:P68)</f>
        <v>466476.44</v>
      </c>
      <c r="Q72" s="532">
        <f t="shared" si="14"/>
        <v>20332001.52</v>
      </c>
      <c r="R72" s="532">
        <f t="shared" si="14"/>
        <v>12609736.85</v>
      </c>
      <c r="S72" s="532">
        <f t="shared" si="14"/>
        <v>7722264.67</v>
      </c>
      <c r="T72" s="501"/>
      <c r="U72" s="354"/>
    </row>
    <row r="73">
      <c r="D73" s="498"/>
      <c r="E73" s="499"/>
      <c r="F73" s="499"/>
      <c r="G73" s="513" t="s">
        <v>1149</v>
      </c>
      <c r="H73" s="11"/>
      <c r="I73" s="11"/>
      <c r="J73" s="11"/>
      <c r="K73" s="521">
        <f t="shared" ref="K73:N73" si="15">SUMIF($G$4:$G$68,"*эксплуатация*",K4:K68)</f>
        <v>72485000.31</v>
      </c>
      <c r="L73" s="521">
        <f t="shared" si="15"/>
        <v>0</v>
      </c>
      <c r="M73" s="521">
        <f t="shared" si="15"/>
        <v>72485000.31</v>
      </c>
      <c r="N73" s="521">
        <f t="shared" si="15"/>
        <v>14912000</v>
      </c>
      <c r="O73" s="523"/>
      <c r="P73" s="521">
        <f t="shared" ref="P73:S73" si="16">SUMIF($G$4:$G$68,"*эксплуатация*",P4:P68)</f>
        <v>0</v>
      </c>
      <c r="Q73" s="521">
        <f t="shared" si="16"/>
        <v>57573000.31</v>
      </c>
      <c r="R73" s="521">
        <f t="shared" si="16"/>
        <v>38541857.88</v>
      </c>
      <c r="S73" s="521">
        <f t="shared" si="16"/>
        <v>19031142.43</v>
      </c>
      <c r="T73" s="501"/>
      <c r="U73" s="354"/>
    </row>
    <row r="74">
      <c r="D74" s="498"/>
      <c r="E74" s="499"/>
      <c r="F74" s="499"/>
      <c r="G74" s="527" t="s">
        <v>1150</v>
      </c>
      <c r="H74" s="11"/>
      <c r="I74" s="11"/>
      <c r="J74" s="11"/>
      <c r="K74" s="532">
        <f t="shared" ref="K74:N74" si="17">SUMIF($G$4:$G$68,"*водопонижение*",K4:K68)</f>
        <v>0</v>
      </c>
      <c r="L74" s="532">
        <f t="shared" si="17"/>
        <v>0</v>
      </c>
      <c r="M74" s="532">
        <f t="shared" si="17"/>
        <v>0</v>
      </c>
      <c r="N74" s="532">
        <f t="shared" si="17"/>
        <v>0</v>
      </c>
      <c r="O74" s="536"/>
      <c r="P74" s="532">
        <f t="shared" ref="P74:S74" si="18">SUMIF($G$4:$G$68,"*водопонижение*",P4:P68)</f>
        <v>0</v>
      </c>
      <c r="Q74" s="532">
        <f t="shared" si="18"/>
        <v>0</v>
      </c>
      <c r="R74" s="532">
        <f t="shared" si="18"/>
        <v>0</v>
      </c>
      <c r="S74" s="532">
        <f t="shared" si="18"/>
        <v>0</v>
      </c>
      <c r="T74" s="501"/>
      <c r="U74" s="354"/>
    </row>
    <row r="75">
      <c r="D75" s="498"/>
      <c r="E75" s="499"/>
      <c r="F75" s="499"/>
      <c r="G75" s="527" t="s">
        <v>1152</v>
      </c>
      <c r="H75" s="11"/>
      <c r="I75" s="11"/>
      <c r="J75" s="11"/>
      <c r="K75" s="532">
        <f t="shared" ref="K75:N75" si="19">SUMIF($G$4:$G$68,"*электромонтажные работы*",K4:K68)</f>
        <v>0</v>
      </c>
      <c r="L75" s="532">
        <f t="shared" si="19"/>
        <v>0</v>
      </c>
      <c r="M75" s="532">
        <f t="shared" si="19"/>
        <v>0</v>
      </c>
      <c r="N75" s="532">
        <f t="shared" si="19"/>
        <v>0</v>
      </c>
      <c r="O75" s="536"/>
      <c r="P75" s="532">
        <f t="shared" ref="P75:S75" si="20">SUMIF($G$4:$G$68,"*электромонтажные работы*",P4:P68)</f>
        <v>0</v>
      </c>
      <c r="Q75" s="532">
        <f t="shared" si="20"/>
        <v>0</v>
      </c>
      <c r="R75" s="532">
        <f t="shared" si="20"/>
        <v>0</v>
      </c>
      <c r="S75" s="532">
        <f t="shared" si="20"/>
        <v>0</v>
      </c>
      <c r="T75" s="501"/>
      <c r="U75" s="354"/>
    </row>
    <row r="76">
      <c r="D76" s="498"/>
      <c r="E76" s="499"/>
      <c r="F76" s="499"/>
      <c r="G76" s="554" t="s">
        <v>1154</v>
      </c>
      <c r="H76" s="11"/>
      <c r="I76" s="11"/>
      <c r="J76" s="11"/>
      <c r="K76" s="555"/>
      <c r="L76" s="555"/>
      <c r="M76" s="555"/>
      <c r="N76" s="555"/>
      <c r="O76" s="555"/>
      <c r="P76" s="555"/>
      <c r="Q76" s="555"/>
      <c r="R76" s="555"/>
      <c r="S76" s="555"/>
      <c r="T76" s="501"/>
      <c r="U76" s="354"/>
    </row>
    <row r="77">
      <c r="D77" s="498"/>
      <c r="E77" s="499"/>
      <c r="F77" s="499"/>
      <c r="G77" s="556" t="s">
        <v>1155</v>
      </c>
      <c r="H77" s="11"/>
      <c r="I77" s="11"/>
      <c r="J77" s="11"/>
      <c r="K77" s="557">
        <f t="shared" ref="K77:N77" si="21">SUMIF($F$4:$F$68,"На согласовании СК",K4:K68)</f>
        <v>0</v>
      </c>
      <c r="L77" s="557">
        <f t="shared" si="21"/>
        <v>0</v>
      </c>
      <c r="M77" s="557">
        <f t="shared" si="21"/>
        <v>0</v>
      </c>
      <c r="N77" s="557">
        <f t="shared" si="21"/>
        <v>0</v>
      </c>
      <c r="O77" s="558"/>
      <c r="P77" s="557">
        <f t="shared" ref="P77:S77" si="22">SUMIF($F$4:$F$68,"На согласовании СК",P4:P68)</f>
        <v>0</v>
      </c>
      <c r="Q77" s="557">
        <f t="shared" si="22"/>
        <v>0</v>
      </c>
      <c r="R77" s="557">
        <f t="shared" si="22"/>
        <v>0</v>
      </c>
      <c r="S77" s="557">
        <f t="shared" si="22"/>
        <v>0</v>
      </c>
      <c r="T77" s="501"/>
      <c r="U77" s="354"/>
    </row>
    <row r="78">
      <c r="D78" s="498"/>
      <c r="E78" s="499"/>
      <c r="F78" s="499"/>
      <c r="G78" s="562" t="s">
        <v>1158</v>
      </c>
      <c r="H78" s="11"/>
      <c r="I78" s="11"/>
      <c r="J78" s="11"/>
      <c r="K78" s="557">
        <f t="shared" ref="K78:N78" si="23">SUMIF($F$4:$F$68,"На согласовании ДС",K4:K68)</f>
        <v>1799635.94</v>
      </c>
      <c r="L78" s="557">
        <f t="shared" si="23"/>
        <v>0</v>
      </c>
      <c r="M78" s="557">
        <f t="shared" si="23"/>
        <v>1799635.94</v>
      </c>
      <c r="N78" s="557">
        <f t="shared" si="23"/>
        <v>0</v>
      </c>
      <c r="O78" s="558"/>
      <c r="P78" s="557">
        <f t="shared" ref="P78:S78" si="24">SUMIF($F$4:$F$68,"На согласовании ДС",P4:P68)</f>
        <v>0</v>
      </c>
      <c r="Q78" s="557">
        <f t="shared" si="24"/>
        <v>1799635.94</v>
      </c>
      <c r="R78" s="557">
        <f t="shared" si="24"/>
        <v>0</v>
      </c>
      <c r="S78" s="557">
        <f t="shared" si="24"/>
        <v>1799635.94</v>
      </c>
      <c r="T78" s="563"/>
      <c r="U78" s="450"/>
    </row>
    <row r="79">
      <c r="D79" s="498"/>
      <c r="E79" s="499"/>
      <c r="F79" s="499"/>
      <c r="G79" s="556" t="s">
        <v>1159</v>
      </c>
      <c r="H79" s="11"/>
      <c r="I79" s="11"/>
      <c r="J79" s="11"/>
      <c r="K79" s="557">
        <f t="shared" ref="K79:N79" si="25">SUMIF($F$4:$F$68,"ожидается подпись контрагента",K4:K68)</f>
        <v>0</v>
      </c>
      <c r="L79" s="557">
        <f t="shared" si="25"/>
        <v>0</v>
      </c>
      <c r="M79" s="557">
        <f t="shared" si="25"/>
        <v>0</v>
      </c>
      <c r="N79" s="557">
        <f t="shared" si="25"/>
        <v>0</v>
      </c>
      <c r="O79" s="558"/>
      <c r="P79" s="557">
        <f t="shared" ref="P79:S79" si="26">SUMIF($F$4:$F$68,"ожидается подпись контрагента",P4:P68)</f>
        <v>0</v>
      </c>
      <c r="Q79" s="557">
        <f t="shared" si="26"/>
        <v>0</v>
      </c>
      <c r="R79" s="557">
        <f t="shared" si="26"/>
        <v>0</v>
      </c>
      <c r="S79" s="557">
        <f t="shared" si="26"/>
        <v>0</v>
      </c>
      <c r="T79" s="563"/>
      <c r="U79" s="450"/>
    </row>
    <row r="80">
      <c r="D80" s="498"/>
      <c r="E80" s="499"/>
      <c r="F80" s="499"/>
      <c r="G80" s="566" t="s">
        <v>1160</v>
      </c>
      <c r="H80" s="11"/>
      <c r="I80" s="11"/>
      <c r="J80" s="11"/>
      <c r="K80" s="567">
        <f t="shared" ref="K80:N80" si="27">SUMIF($F$4:$F$68,"На согласовании подрядчика",K4:K68)</f>
        <v>0</v>
      </c>
      <c r="L80" s="567">
        <f t="shared" si="27"/>
        <v>0</v>
      </c>
      <c r="M80" s="567">
        <f t="shared" si="27"/>
        <v>0</v>
      </c>
      <c r="N80" s="567">
        <f t="shared" si="27"/>
        <v>0</v>
      </c>
      <c r="O80" s="568"/>
      <c r="P80" s="567">
        <f t="shared" ref="P80:S80" si="28">SUMIF($F$4:$F$68,"На согласовании подрядчика",P4:P68)</f>
        <v>0</v>
      </c>
      <c r="Q80" s="567">
        <f t="shared" si="28"/>
        <v>0</v>
      </c>
      <c r="R80" s="567">
        <f t="shared" si="28"/>
        <v>0</v>
      </c>
      <c r="S80" s="567">
        <f t="shared" si="28"/>
        <v>0</v>
      </c>
      <c r="T80" s="563"/>
      <c r="U80" s="450"/>
    </row>
    <row r="81">
      <c r="A81" s="569"/>
      <c r="B81" s="569"/>
      <c r="C81" s="569"/>
      <c r="D81" s="498"/>
      <c r="E81" s="499"/>
      <c r="F81" s="499"/>
      <c r="G81" s="570" t="s">
        <v>1162</v>
      </c>
      <c r="H81" s="11"/>
      <c r="I81" s="11"/>
      <c r="J81" s="11"/>
      <c r="K81" s="571">
        <f t="shared" ref="K81:N81" si="29">SUMIF($F$4:$F$68,"согласован",K4:K68)</f>
        <v>0</v>
      </c>
      <c r="L81" s="571">
        <f t="shared" si="29"/>
        <v>0</v>
      </c>
      <c r="M81" s="571">
        <f t="shared" si="29"/>
        <v>0</v>
      </c>
      <c r="N81" s="571">
        <f t="shared" si="29"/>
        <v>0</v>
      </c>
      <c r="O81" s="572"/>
      <c r="P81" s="571">
        <f t="shared" ref="P81:S81" si="30">SUMIF($F$4:$F$68,"согласован",P4:P68)</f>
        <v>0</v>
      </c>
      <c r="Q81" s="571">
        <f t="shared" si="30"/>
        <v>0</v>
      </c>
      <c r="R81" s="571">
        <f t="shared" si="30"/>
        <v>0</v>
      </c>
      <c r="S81" s="571">
        <f t="shared" si="30"/>
        <v>0</v>
      </c>
      <c r="T81" s="563"/>
      <c r="U81" s="450"/>
    </row>
    <row r="82">
      <c r="A82" s="569"/>
      <c r="B82" s="569"/>
      <c r="C82" s="569"/>
      <c r="D82" s="498"/>
      <c r="E82" s="499"/>
      <c r="F82" s="499"/>
      <c r="G82" s="573" t="s">
        <v>1164</v>
      </c>
      <c r="H82" s="11"/>
      <c r="I82" s="11"/>
      <c r="J82" s="11"/>
      <c r="K82" s="521">
        <f t="shared" ref="K82:N82" si="31">SUMIF($F$4:$F$68,"На подписании подрядчика",K4:K68)</f>
        <v>0</v>
      </c>
      <c r="L82" s="521">
        <f t="shared" si="31"/>
        <v>0</v>
      </c>
      <c r="M82" s="521">
        <f t="shared" si="31"/>
        <v>0</v>
      </c>
      <c r="N82" s="521">
        <f t="shared" si="31"/>
        <v>0</v>
      </c>
      <c r="O82" s="523"/>
      <c r="P82" s="521">
        <f t="shared" ref="P82:S82" si="32">SUMIF($F$4:$F$68,"На подписании подрядчика",P4:P68)</f>
        <v>0</v>
      </c>
      <c r="Q82" s="521">
        <f t="shared" si="32"/>
        <v>0</v>
      </c>
      <c r="R82" s="521">
        <f t="shared" si="32"/>
        <v>0</v>
      </c>
      <c r="S82" s="521">
        <f t="shared" si="32"/>
        <v>0</v>
      </c>
      <c r="T82" s="563"/>
      <c r="U82" s="450"/>
    </row>
    <row r="83">
      <c r="A83" s="569"/>
      <c r="B83" s="569"/>
      <c r="C83" s="569"/>
      <c r="D83" s="498"/>
      <c r="E83" s="499"/>
      <c r="F83" s="499"/>
      <c r="G83" s="573" t="s">
        <v>1166</v>
      </c>
      <c r="H83" s="11"/>
      <c r="I83" s="11"/>
      <c r="J83" s="11"/>
      <c r="K83" s="521">
        <f t="shared" ref="K83:N83" si="33">SUMIF($F$4:$F$68,"Подписан подрядчиком",K4:K68)</f>
        <v>0</v>
      </c>
      <c r="L83" s="521">
        <f t="shared" si="33"/>
        <v>0</v>
      </c>
      <c r="M83" s="521">
        <f t="shared" si="33"/>
        <v>0</v>
      </c>
      <c r="N83" s="521">
        <f t="shared" si="33"/>
        <v>0</v>
      </c>
      <c r="O83" s="523"/>
      <c r="P83" s="521">
        <f t="shared" ref="P83:S83" si="34">SUMIF($F$4:$F$68,"Подписан подрядчиком",P4:P68)</f>
        <v>0</v>
      </c>
      <c r="Q83" s="521">
        <f t="shared" si="34"/>
        <v>0</v>
      </c>
      <c r="R83" s="521">
        <f t="shared" si="34"/>
        <v>0</v>
      </c>
      <c r="S83" s="521">
        <f t="shared" si="34"/>
        <v>0</v>
      </c>
      <c r="T83" s="563"/>
      <c r="U83" s="450"/>
    </row>
    <row r="84">
      <c r="A84" s="569"/>
      <c r="B84" s="569"/>
      <c r="C84" s="569"/>
      <c r="D84" s="498"/>
      <c r="E84" s="499"/>
      <c r="F84" s="499"/>
      <c r="G84" s="574" t="s">
        <v>695</v>
      </c>
      <c r="H84" s="11"/>
      <c r="I84" s="11"/>
      <c r="J84" s="11"/>
      <c r="K84" s="575">
        <f t="shared" ref="K84:N84" si="35">SUMIF($F$4:$F$68,"Подписан обеими сторонами",K4:K68)</f>
        <v>103411993.7</v>
      </c>
      <c r="L84" s="575">
        <f t="shared" si="35"/>
        <v>0</v>
      </c>
      <c r="M84" s="575">
        <f t="shared" si="35"/>
        <v>103411993.7</v>
      </c>
      <c r="N84" s="575">
        <f t="shared" si="35"/>
        <v>26609315.44</v>
      </c>
      <c r="O84" s="576"/>
      <c r="P84" s="575">
        <f t="shared" ref="P84:S84" si="36">SUMIF($F$4:$F$68,"Подписан обеими сторонами",P4:P68)</f>
        <v>466476.44</v>
      </c>
      <c r="Q84" s="575">
        <f t="shared" si="36"/>
        <v>76336201.82</v>
      </c>
      <c r="R84" s="575">
        <f t="shared" si="36"/>
        <v>51382430.66</v>
      </c>
      <c r="S84" s="575">
        <f t="shared" si="36"/>
        <v>24953771.16</v>
      </c>
      <c r="T84" s="563"/>
      <c r="U84" s="450"/>
    </row>
    <row r="85">
      <c r="A85" s="569"/>
      <c r="B85" s="569"/>
      <c r="C85" s="569"/>
      <c r="D85" s="498"/>
      <c r="E85" s="499"/>
      <c r="F85" s="499"/>
      <c r="G85" s="577" t="s">
        <v>1169</v>
      </c>
      <c r="H85" s="524"/>
      <c r="I85" s="524"/>
      <c r="J85" s="524"/>
      <c r="K85" s="578">
        <f t="shared" ref="K85:N85" si="37">SUMIF($F$4:$F$68,"ведутся работы",K4:K68)</f>
        <v>0</v>
      </c>
      <c r="L85" s="578">
        <f t="shared" si="37"/>
        <v>0</v>
      </c>
      <c r="M85" s="578">
        <f t="shared" si="37"/>
        <v>0</v>
      </c>
      <c r="N85" s="578">
        <f t="shared" si="37"/>
        <v>0</v>
      </c>
      <c r="O85" s="579"/>
      <c r="P85" s="578">
        <f t="shared" ref="P85:S85" si="38">SUMIF($F$4:$F$68,"ведутся работы",P4:P68)</f>
        <v>0</v>
      </c>
      <c r="Q85" s="578">
        <f t="shared" si="38"/>
        <v>0</v>
      </c>
      <c r="R85" s="578">
        <f t="shared" si="38"/>
        <v>0</v>
      </c>
      <c r="S85" s="578">
        <f t="shared" si="38"/>
        <v>0</v>
      </c>
      <c r="T85" s="563"/>
      <c r="U85" s="450"/>
    </row>
    <row r="86">
      <c r="A86" s="569"/>
      <c r="B86" s="569"/>
      <c r="C86" s="569"/>
      <c r="D86" s="498"/>
      <c r="E86" s="499"/>
      <c r="F86" s="499"/>
      <c r="G86" s="580" t="s">
        <v>1171</v>
      </c>
      <c r="H86" s="535"/>
      <c r="I86" s="535"/>
      <c r="J86" s="535"/>
      <c r="K86" s="581">
        <f t="shared" ref="K86:N86" si="39">SUMIF($F$4:$F$68,"сформирован",K4:K68)</f>
        <v>0</v>
      </c>
      <c r="L86" s="581">
        <f t="shared" si="39"/>
        <v>0</v>
      </c>
      <c r="M86" s="581">
        <f t="shared" si="39"/>
        <v>0</v>
      </c>
      <c r="N86" s="581">
        <f t="shared" si="39"/>
        <v>0</v>
      </c>
      <c r="O86" s="582"/>
      <c r="P86" s="581">
        <f t="shared" ref="P86:S86" si="40">SUMIF($F$4:$F$68,"сформирован",P4:P68)</f>
        <v>0</v>
      </c>
      <c r="Q86" s="581">
        <f t="shared" si="40"/>
        <v>0</v>
      </c>
      <c r="R86" s="581">
        <f t="shared" si="40"/>
        <v>0</v>
      </c>
      <c r="S86" s="581">
        <f t="shared" si="40"/>
        <v>0</v>
      </c>
      <c r="T86" s="563"/>
      <c r="U86" s="450"/>
    </row>
    <row r="87">
      <c r="A87" s="569"/>
      <c r="B87" s="569"/>
      <c r="C87" s="569"/>
      <c r="D87" s="498"/>
      <c r="E87" s="499"/>
      <c r="F87" s="499"/>
      <c r="G87" s="583" t="s">
        <v>1177</v>
      </c>
      <c r="H87" s="106"/>
      <c r="I87" s="106"/>
      <c r="J87" s="106"/>
      <c r="K87" s="584">
        <f t="shared" ref="K87:N87" si="41">SUMIF($F$4:$F$68,"Удален",K4:K68)</f>
        <v>0</v>
      </c>
      <c r="L87" s="584">
        <f t="shared" si="41"/>
        <v>0</v>
      </c>
      <c r="M87" s="584">
        <f t="shared" si="41"/>
        <v>0</v>
      </c>
      <c r="N87" s="584">
        <f t="shared" si="41"/>
        <v>0</v>
      </c>
      <c r="O87" s="585"/>
      <c r="P87" s="584">
        <f t="shared" ref="P87:S87" si="42">SUMIF($F$4:$F$68,"Удален",P4:P68)</f>
        <v>0</v>
      </c>
      <c r="Q87" s="584">
        <f t="shared" si="42"/>
        <v>0</v>
      </c>
      <c r="R87" s="584">
        <f t="shared" si="42"/>
        <v>0</v>
      </c>
      <c r="S87" s="584">
        <f t="shared" si="42"/>
        <v>0</v>
      </c>
      <c r="T87" s="563"/>
      <c r="U87" s="450"/>
    </row>
    <row r="88">
      <c r="A88" s="569"/>
      <c r="B88" s="569"/>
      <c r="C88" s="569"/>
      <c r="D88" s="498"/>
      <c r="E88" s="499"/>
      <c r="F88" s="499"/>
      <c r="G88" s="586" t="s">
        <v>1035</v>
      </c>
      <c r="H88" s="549"/>
      <c r="I88" s="549"/>
      <c r="J88" s="549"/>
      <c r="K88" s="587">
        <f t="shared" ref="K88:N88" si="43">SUMIF($F$4:$F$68,"Отклонен",K4:K68)</f>
        <v>0</v>
      </c>
      <c r="L88" s="587">
        <f t="shared" si="43"/>
        <v>0</v>
      </c>
      <c r="M88" s="587">
        <f t="shared" si="43"/>
        <v>0</v>
      </c>
      <c r="N88" s="587">
        <f t="shared" si="43"/>
        <v>0</v>
      </c>
      <c r="O88" s="588"/>
      <c r="P88" s="587">
        <f t="shared" ref="P88:S88" si="44">SUMIF($F$4:$F$68,"Отклонен",P4:P68)</f>
        <v>0</v>
      </c>
      <c r="Q88" s="587">
        <f t="shared" si="44"/>
        <v>0</v>
      </c>
      <c r="R88" s="587">
        <f t="shared" si="44"/>
        <v>0</v>
      </c>
      <c r="S88" s="587">
        <f t="shared" si="44"/>
        <v>0</v>
      </c>
      <c r="T88" s="563"/>
      <c r="U88" s="450"/>
    </row>
  </sheetData>
  <autoFilter ref="$A$3:$T$88"/>
  <mergeCells count="40">
    <mergeCell ref="G86:J86"/>
    <mergeCell ref="G87:J87"/>
    <mergeCell ref="G88:J88"/>
    <mergeCell ref="G79:J79"/>
    <mergeCell ref="G80:J80"/>
    <mergeCell ref="G81:J81"/>
    <mergeCell ref="G82:J82"/>
    <mergeCell ref="G83:J83"/>
    <mergeCell ref="G84:J84"/>
    <mergeCell ref="G85:J85"/>
    <mergeCell ref="R1:R2"/>
    <mergeCell ref="S1:S2"/>
    <mergeCell ref="T1:T2"/>
    <mergeCell ref="K1:K2"/>
    <mergeCell ref="L1:L2"/>
    <mergeCell ref="M1:M2"/>
    <mergeCell ref="N1:N2"/>
    <mergeCell ref="O1:O2"/>
    <mergeCell ref="P1:P2"/>
    <mergeCell ref="Q1:Q2"/>
    <mergeCell ref="D1:D2"/>
    <mergeCell ref="E1:E2"/>
    <mergeCell ref="F1:F2"/>
    <mergeCell ref="G1:G2"/>
    <mergeCell ref="H1:H2"/>
    <mergeCell ref="I1:I2"/>
    <mergeCell ref="J1:J2"/>
    <mergeCell ref="G73:J73"/>
    <mergeCell ref="G74:J74"/>
    <mergeCell ref="G75:J75"/>
    <mergeCell ref="G76:J76"/>
    <mergeCell ref="G77:J77"/>
    <mergeCell ref="G78:J78"/>
    <mergeCell ref="A68:A80"/>
    <mergeCell ref="B68:B80"/>
    <mergeCell ref="C68:C80"/>
    <mergeCell ref="G69:J69"/>
    <mergeCell ref="G70:J70"/>
    <mergeCell ref="G71:J71"/>
    <mergeCell ref="G72:J72"/>
  </mergeCells>
  <conditionalFormatting sqref="L29:S30 D32 L32:S32">
    <cfRule type="expression" dxfId="0" priority="1">
      <formula>$G29="Согласован"</formula>
    </cfRule>
  </conditionalFormatting>
  <conditionalFormatting sqref="L29:S30 D32 L32:S32">
    <cfRule type="expression" dxfId="1" priority="2">
      <formula>$G29="на согласовании ДС"</formula>
    </cfRule>
  </conditionalFormatting>
  <conditionalFormatting sqref="L29:S30 D32 L32:S32">
    <cfRule type="expression" dxfId="2" priority="3">
      <formula>$G29="на согласовании СК"</formula>
    </cfRule>
  </conditionalFormatting>
  <conditionalFormatting sqref="L29:S30 D32 L32:S32">
    <cfRule type="expression" dxfId="3" priority="4">
      <formula>$G29="на согласовании подрядчика"</formula>
    </cfRule>
  </conditionalFormatting>
  <conditionalFormatting sqref="L29:S30 D32 L32:S32">
    <cfRule type="expression" dxfId="2" priority="5">
      <formula>$G29="ожидается подпись контрагента"</formula>
    </cfRule>
  </conditionalFormatting>
  <conditionalFormatting sqref="L29:S30 D32 L32:S32">
    <cfRule type="expression" dxfId="4" priority="6">
      <formula>$G29="ведутся работы"</formula>
    </cfRule>
  </conditionalFormatting>
  <conditionalFormatting sqref="L29:S30 D32 L32:S32">
    <cfRule type="expression" dxfId="5" priority="7">
      <formula>$G29="сформирован"</formula>
    </cfRule>
  </conditionalFormatting>
  <conditionalFormatting sqref="L29:S30 D32 L32:S32">
    <cfRule type="expression" dxfId="5" priority="8">
      <formula>$G29="Удален"</formula>
    </cfRule>
  </conditionalFormatting>
  <conditionalFormatting sqref="L29:S30 D32 L32:S32">
    <cfRule type="expression" dxfId="6" priority="9">
      <formula>$G29="На подписании подрядчика"</formula>
    </cfRule>
  </conditionalFormatting>
  <conditionalFormatting sqref="L29:S30 D32 L32:S32">
    <cfRule type="expression" dxfId="6" priority="10">
      <formula>$G29="Подписан подрядчиком"</formula>
    </cfRule>
  </conditionalFormatting>
  <conditionalFormatting sqref="L29:S30 D32 L32:S32">
    <cfRule type="expression" dxfId="7" priority="11">
      <formula>$G29="Подписан обеими сторонами"</formula>
    </cfRule>
  </conditionalFormatting>
  <conditionalFormatting sqref="L29:S30 D32 L32:S32">
    <cfRule type="expression" dxfId="5" priority="12">
      <formula>$G29="Отклонен"</formula>
    </cfRule>
  </conditionalFormatting>
  <conditionalFormatting sqref="L29:S30 D32 L32:S32">
    <cfRule type="expression" dxfId="5" priority="13">
      <formula>$G29="Отклонен"</formula>
    </cfRule>
  </conditionalFormatting>
  <conditionalFormatting sqref="L29:S30 D32 L32:S32">
    <cfRule type="expression" dxfId="7" priority="14">
      <formula>$G29="Подписан обеими сторонами"</formula>
    </cfRule>
  </conditionalFormatting>
  <conditionalFormatting sqref="L29:S30 D32 L32:S32">
    <cfRule type="expression" dxfId="6" priority="15">
      <formula>$G29="Подписан подрядчиком"</formula>
    </cfRule>
  </conditionalFormatting>
  <conditionalFormatting sqref="L29:S30 D32 L32:S32">
    <cfRule type="expression" dxfId="6" priority="16">
      <formula>$G29="На подписании подрядчика"</formula>
    </cfRule>
  </conditionalFormatting>
  <conditionalFormatting sqref="L29:S30 D32 L32:S32">
    <cfRule type="expression" dxfId="5" priority="17">
      <formula>$G29="Удален"</formula>
    </cfRule>
  </conditionalFormatting>
  <conditionalFormatting sqref="L29:S30 D32 L32:S32">
    <cfRule type="expression" dxfId="5" priority="18">
      <formula>$G29="сформирован"</formula>
    </cfRule>
  </conditionalFormatting>
  <conditionalFormatting sqref="L29:S30 D32 L32:S32">
    <cfRule type="expression" dxfId="4" priority="19">
      <formula>$G29="ведутся работы"</formula>
    </cfRule>
  </conditionalFormatting>
  <conditionalFormatting sqref="L29:S30 D32 L32:S32">
    <cfRule type="expression" dxfId="2" priority="20">
      <formula>$G29="ожидается подпись контрагента"</formula>
    </cfRule>
  </conditionalFormatting>
  <conditionalFormatting sqref="L29:S30 D32 L32:S32">
    <cfRule type="expression" dxfId="3" priority="21">
      <formula>$G29="на согласовании подрядчика"</formula>
    </cfRule>
  </conditionalFormatting>
  <conditionalFormatting sqref="L29:S30 D32 L32:S32">
    <cfRule type="expression" dxfId="2" priority="22">
      <formula>$G29="на согласовании СК"</formula>
    </cfRule>
  </conditionalFormatting>
  <conditionalFormatting sqref="L29:S30 D32 L32:S32">
    <cfRule type="expression" dxfId="1" priority="23">
      <formula>$G29="на согласовании ДС"</formula>
    </cfRule>
  </conditionalFormatting>
  <conditionalFormatting sqref="L29:S30 D32 L32:S32">
    <cfRule type="expression" dxfId="0" priority="24">
      <formula>$G29="Согласован"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25">
      <formula>$D4="Отклонен"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7" priority="26">
      <formula>$D4="Подписан обеими сторонами"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6" priority="27">
      <formula>$D4="Подписан подрядчиком"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6" priority="28">
      <formula>$D4="На подписании подрядчика"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29">
      <formula>$D4="Удален"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5" priority="30">
      <formula>$D4="сформирован"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4" priority="31">
      <formula>$D4="ведутся работы"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2" priority="32">
      <formula>$D4="ожидается подпись контрагента"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3" priority="33">
      <formula>$D4="на согласовании подрядчика"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2" priority="34">
      <formula>$D4="на согласовании СК"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1" priority="35">
      <formula>$D4="на согласовании ДС"</formula>
    </cfRule>
  </conditionalFormatting>
  <conditionalFormatting sqref="L4:L77 M4:M78 Q4:R77 D19 N19:N40 O19:O53 P19:P40 S19:S40 K33 K37 K39 D41:D50 N42:N45 P42:P52 N47:N52 K54:K61 N60:N63 P60:P67 O62:O71 K65 N65:N67 D68 N69:N71 P69:P70 D76:D77 N76 O76:P77 S76">
    <cfRule type="expression" dxfId="0" priority="36">
      <formula>$D4="Согласован"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37">
      <formula>$C4="Отклонен"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7" priority="38">
      <formula>$C4="Подписан обеими сторонами"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6" priority="39">
      <formula>$C4="Подписан подрядчиком"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6" priority="40">
      <formula>$C4="На подписании подрядчика"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41">
      <formula>$C4="Удален"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5" priority="42">
      <formula>$C4="сформирован"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4" priority="43">
      <formula>$C4="ведутся работы"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2" priority="44">
      <formula>$C4="ожидается подпись контрагента"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3" priority="45">
      <formula>$C4="на согласовании подрядчика"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2" priority="46">
      <formula>$C4="на согласовании СК"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1" priority="47">
      <formula>$C4="на согласовании ДС"</formula>
    </cfRule>
  </conditionalFormatting>
  <conditionalFormatting sqref="L4:L77 M4:M78 Q4:R77 D19 N19:N40 O19:O53 P19:P40 S19:S40 K33 K37 K39 D41:D50 N42:N45 P42:P52 N47:N52 G51:K51 S51:U51 D54:D61 K54:K61 N60:N63 P60:P67 O62:O71 N65:N67 D68 N69:N71 P69:P70 D76:D77 N76 O76:P77 S76">
    <cfRule type="expression" dxfId="0" priority="48">
      <formula>$C4="Согласован"</formula>
    </cfRule>
  </conditionalFormatting>
  <conditionalFormatting sqref="D22:D23 D27:D31 C28:C31 D33:D40 D54:D61">
    <cfRule type="expression" dxfId="5" priority="49">
      <formula>$C22="Отклонен"</formula>
    </cfRule>
  </conditionalFormatting>
  <conditionalFormatting sqref="D22:D23 D27:D31 C28:C31 D33:D40 D54:D61">
    <cfRule type="expression" dxfId="7" priority="50">
      <formula>$C22="Подписан обеими сторонами"</formula>
    </cfRule>
  </conditionalFormatting>
  <conditionalFormatting sqref="D22:D23 D27:D31 C28:C31 D33:D40 D54:D61">
    <cfRule type="expression" dxfId="6" priority="51">
      <formula>$C22="Подписан подрядчиком"</formula>
    </cfRule>
  </conditionalFormatting>
  <conditionalFormatting sqref="D22:D23 D27:D31 C28:C31 D33:D40 D54:D61">
    <cfRule type="expression" dxfId="6" priority="52">
      <formula>$C22="На подписании подрядчика"</formula>
    </cfRule>
  </conditionalFormatting>
  <conditionalFormatting sqref="D22:D23 D27:D31 C28:C31 D33:D40 D54:D61">
    <cfRule type="expression" dxfId="5" priority="53">
      <formula>$C22="Удален"</formula>
    </cfRule>
  </conditionalFormatting>
  <conditionalFormatting sqref="D22:D23 D27:D31 C28:C31 D33:D40 D54:D61">
    <cfRule type="expression" dxfId="5" priority="54">
      <formula>$C22="сформирован"</formula>
    </cfRule>
  </conditionalFormatting>
  <conditionalFormatting sqref="D22:D23 D27:D31 C28:C31 D33:D40 D54:D61">
    <cfRule type="expression" dxfId="4" priority="55">
      <formula>$C22="ведутся работы"</formula>
    </cfRule>
  </conditionalFormatting>
  <conditionalFormatting sqref="D22:D23 D27:D31 C28:C31 D33:D40 D54:D61">
    <cfRule type="expression" dxfId="2" priority="56">
      <formula>$C22="ожидается подпись контрагента"</formula>
    </cfRule>
  </conditionalFormatting>
  <conditionalFormatting sqref="D22:D23 D27:D31 C28:C31 D33:D40 D54:D61">
    <cfRule type="expression" dxfId="3" priority="57">
      <formula>$C22="на согласовании подрядчика"</formula>
    </cfRule>
  </conditionalFormatting>
  <conditionalFormatting sqref="D22:D23 D27:D31 C28:C31 D33:D40 D54:D61">
    <cfRule type="expression" dxfId="2" priority="58">
      <formula>$C22="на согласовании СК"</formula>
    </cfRule>
  </conditionalFormatting>
  <conditionalFormatting sqref="D22:D23 D27:D31 C28:C31 D33:D40 D54:D61">
    <cfRule type="expression" dxfId="1" priority="59">
      <formula>$C22="на согласовании ДС"</formula>
    </cfRule>
  </conditionalFormatting>
  <conditionalFormatting sqref="D22:D23 D27:D31 C28:C31 D33:D40 D54:D61">
    <cfRule type="expression" dxfId="0" priority="60">
      <formula>$C22="Согласован"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0" priority="61">
      <formula>$H4="Согласован"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1" priority="62">
      <formula>$H4="на согласовании ДС"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2" priority="63">
      <formula>$H4="на согласовании СК"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3" priority="64">
      <formula>$H4="на согласовании подрядчика"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2" priority="65">
      <formula>$H4="ожидается подпись контрагента"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4" priority="66">
      <formula>$H4="ведутся работы"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67">
      <formula>$H4="сформирован"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68">
      <formula>$H4="Удален"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6" priority="69">
      <formula>$H4="На подписании подрядчика"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6" priority="70">
      <formula>$H4="Подписан подрядчиком"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7" priority="71">
      <formula>$H4="Подписан обеими сторонами"</formula>
    </cfRule>
  </conditionalFormatting>
  <conditionalFormatting sqref="Q4:Q77 L25:P25 R25 L29:P30 R29:S30 D32 L32:P32 R32:S32 D50 L50:M50 N50:P51 R50 F54:F61 K54:M61 N54:N63 O54:O71 P54:P67 R54:R61 K65 N65:N67 L69:M69 N69:N71 P69:P70 R69 N73:N76 O73:P77">
    <cfRule type="expression" dxfId="5" priority="72">
      <formula>$H4="Отклонен"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5" priority="73">
      <formula>$F4="Отклонен"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7" priority="74">
      <formula>$F4="Подписан обеими сторонами"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6" priority="75">
      <formula>$F4="Подписан подрядчиком"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6" priority="76">
      <formula>$F4="На подписании подрядчика"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5" priority="77">
      <formula>$F4="Удален"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5" priority="78">
      <formula>$F4="сформирован"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4" priority="79">
      <formula>$F4="ведутся работы"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2" priority="80">
      <formula>$F4="ожидается подпись контрагента"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3" priority="81">
      <formula>$F4="на согласовании подрядчика"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2" priority="82">
      <formula>$F4="на согласовании СК"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1" priority="83">
      <formula>$F4="на согласовании ДС"</formula>
    </cfRule>
  </conditionalFormatting>
  <conditionalFormatting sqref="B4:B77 E4:E77 S4:S77 D14 C17:C77 I19:J23 A20:A21 D20:D23 F20:H23 K20:R23 T20:U21 A25 D25 F25:R25 T25 A27 L29:R30 A32 D32 F32:R32 T32:U32 A34 F41:F50 G41:K41 M41 A50 D50 G50:H50 I50:I51 J50:M50 N50:P51 Q50:R50 T50:U50 A54:A61 D54:D61 F54:K61 L54:L62 M54:M61 N54:N63 O54:O71 P54:P67 Q54:Q62 R54:R61 T54:U61 F64:F71 K65 N65:N67 D69 G69:M69 N69:N71 P69:P70 Q69:R69 T69:U69 K73:K74 L73:M75 N73:N76 O73:P77 Q73:R75">
    <cfRule type="expression" dxfId="0" priority="84">
      <formula>$F4="Согласован"</formula>
    </cfRule>
  </conditionalFormatting>
  <conditionalFormatting sqref="L4:L77 M4:M78 N4:P77 R4:R77 Q17:Q40 D19 S19:S40 D27 D32:D36 K33 K37 K39 D41:D50 A45:A50 F54:F61 K54:K61 D68 Q70:Q71 F72:F74 D76:D77 Q76 S76">
    <cfRule type="expression" dxfId="5" priority="85">
      <formula>$H4="Отклонен"</formula>
    </cfRule>
  </conditionalFormatting>
  <conditionalFormatting sqref="L4:L77 M4:M78 N4:P77 R4:R77 Q17:Q40 D19 S19:S40 D27 D32:D36 K33 K37 K39 D41:D50 A45:A50 F54:F61 K54:K61 D68 Q70:Q71 F72:F74 D76:D77 Q76 S76">
    <cfRule type="expression" dxfId="7" priority="86">
      <formula>$H4="Подписан обеими сторонами"</formula>
    </cfRule>
  </conditionalFormatting>
  <conditionalFormatting sqref="L4:L77 M4:M78 N4:P77 R4:R77 Q17:Q40 D19 S19:S40 D27 D32:D36 K33 K37 K39 D41:D50 A45:A50 F54:F61 K54:K61 D68 Q70:Q71 F72:F74 D76:D77 Q76 S76">
    <cfRule type="expression" dxfId="6" priority="87">
      <formula>$H4="Подписан подрядчиком"</formula>
    </cfRule>
  </conditionalFormatting>
  <conditionalFormatting sqref="L4:L77 M4:M78 N4:P77 R4:R77 Q17:Q40 D19 S19:S40 D27 D32:D36 K33 K37 K39 D41:D50 A45:A50 F54:F61 K54:K61 D68 Q70:Q71 F72:F74 D76:D77 Q76 S76">
    <cfRule type="expression" dxfId="6" priority="88">
      <formula>$H4="На подписании подрядчика"</formula>
    </cfRule>
  </conditionalFormatting>
  <conditionalFormatting sqref="L4:L77 M4:M78 N4:P77 R4:R77 Q17:Q40 D19 S19:S40 D27 D32:D36 K33 K37 K39 D41:D50 A45:A50 F54:F61 K54:K61 D68 Q70:Q71 F72:F74 D76:D77 Q76 S76">
    <cfRule type="expression" dxfId="5" priority="89">
      <formula>$H4="Удален"</formula>
    </cfRule>
  </conditionalFormatting>
  <conditionalFormatting sqref="L4:L77 M4:M78 N4:P77 R4:R77 Q17:Q40 D19 S19:S40 D27 D32:D36 K33 K37 K39 D41:D50 A45:A50 F54:F61 K54:K61 D68 Q70:Q71 F72:F74 D76:D77 Q76 S76">
    <cfRule type="expression" dxfId="5" priority="90">
      <formula>$H4="сформирован"</formula>
    </cfRule>
  </conditionalFormatting>
  <conditionalFormatting sqref="L4:L77 M4:M78 N4:P77 R4:R77 Q17:Q40 D19 S19:S40 D27 D32:D36 K33 K37 K39 D41:D50 A45:A50 F54:F61 K54:K61 D68 Q70:Q71 F72:F74 D76:D77 Q76 S76">
    <cfRule type="expression" dxfId="4" priority="91">
      <formula>$H4="ведутся работы"</formula>
    </cfRule>
  </conditionalFormatting>
  <conditionalFormatting sqref="L4:L77 M4:M78 N4:P77 R4:R77 Q17:Q40 D19 S19:S40 D27 D32:D36 K33 K37 K39 D41:D50 A45:A50 F54:F61 K54:K61 D68 Q70:Q71 F72:F74 D76:D77 Q76 S76">
    <cfRule type="expression" dxfId="2" priority="92">
      <formula>$H4="ожидается подпись контрагента"</formula>
    </cfRule>
  </conditionalFormatting>
  <conditionalFormatting sqref="L4:L77 M4:M78 N4:P77 R4:R77 Q17:Q40 D19 S19:S40 D27 D32:D36 K33 K37 K39 D41:D50 A45:A50 F54:F61 K54:K61 D68 Q70:Q71 F72:F74 D76:D77 Q76 S76">
    <cfRule type="expression" dxfId="3" priority="93">
      <formula>$H4="на согласовании подрядчика"</formula>
    </cfRule>
  </conditionalFormatting>
  <conditionalFormatting sqref="L4:L77 M4:M78 N4:P77 R4:R77 Q17:Q40 D19 S19:S40 D27 D32:D36 K33 K37 K39 D41:D50 A45:A50 F54:F61 K54:K61 D68 Q70:Q71 F72:F74 D76:D77 Q76 S76">
    <cfRule type="expression" dxfId="2" priority="94">
      <formula>$H4="на согласовании СК"</formula>
    </cfRule>
  </conditionalFormatting>
  <conditionalFormatting sqref="L4:L77 M4:M78 N4:P77 R4:R77 Q17:Q40 D19 S19:S40 D27 D32:D36 K33 K37 K39 D41:D50 A45:A50 F54:F61 K54:K61 D68 Q70:Q71 F72:F74 D76:D77 Q76 S76">
    <cfRule type="expression" dxfId="1" priority="95">
      <formula>$H4="на согласовании ДС"</formula>
    </cfRule>
  </conditionalFormatting>
  <conditionalFormatting sqref="L4:L77 M4:M78 N4:P77 R4:R77 Q17:Q40 D19 S19:S40 D27 D32:D36 K33 K37 K39 D41:D50 A45:A50 F54:F61 K54:K61 D68 Q70:Q71 F72:F74 D76:D77 Q76 S76">
    <cfRule type="expression" dxfId="0" priority="96">
      <formula>$H4="Согласован"</formula>
    </cfRule>
  </conditionalFormatting>
  <conditionalFormatting sqref="B4:B77 F4:F77 K4:L77 M4:M78 N4:U77 C17:C77 A19:A20 I20:I21 J20 A27 J32 A34">
    <cfRule type="expression" dxfId="5" priority="97">
      <formula>$F4="Отклонен"</formula>
    </cfRule>
  </conditionalFormatting>
  <conditionalFormatting sqref="B4:B77 F4:F77 K4:L77 M4:M78 N4:U77 C17:C77 A19:A20 I20:I21 J20 A27 J32 A34">
    <cfRule type="expression" dxfId="7" priority="98">
      <formula>$F4="Подписан обеими сторонами"</formula>
    </cfRule>
  </conditionalFormatting>
  <conditionalFormatting sqref="B4:B77 F4:F77 K4:L77 M4:M78 N4:U77 C17:C77 A19:A20 I20:I21 J20 A27 J32 A34">
    <cfRule type="expression" dxfId="6" priority="99">
      <formula>$F4="Подписан подрядчиком"</formula>
    </cfRule>
  </conditionalFormatting>
  <conditionalFormatting sqref="B4:B77 F4:F77 K4:L77 M4:M78 N4:U77 C17:C77 A19:A20 I20:I21 J20 A27 J32 A34">
    <cfRule type="expression" dxfId="6" priority="100">
      <formula>$F4="На подписании подрядчика"</formula>
    </cfRule>
  </conditionalFormatting>
  <conditionalFormatting sqref="B4:B77 F4:F77 K4:L77 M4:M78 N4:U77 C17:C77 A19:A20 I20:I21 J20 A27 J32 A34">
    <cfRule type="expression" dxfId="5" priority="101">
      <formula>$F4="Удален"</formula>
    </cfRule>
  </conditionalFormatting>
  <conditionalFormatting sqref="B4:B77 F4:F77 K4:L77 M4:M78 N4:U77 C17:C77 A19:A20 I20:I21 J20 A27 J32 A34">
    <cfRule type="expression" dxfId="5" priority="102">
      <formula>$F4="сформирован"</formula>
    </cfRule>
  </conditionalFormatting>
  <conditionalFormatting sqref="B4:B77 F4:F77 K4:L77 M4:M78 N4:U77 C17:C77 A19:A20 I20:I21 J20 A27 J32 A34">
    <cfRule type="expression" dxfId="4" priority="103">
      <formula>$F4="ведутся работы"</formula>
    </cfRule>
  </conditionalFormatting>
  <conditionalFormatting sqref="B4:B77 F4:F77 K4:L77 M4:M78 N4:U77 C17:C77 A19:A20 I20:I21 J20 A27 J32 A34">
    <cfRule type="expression" dxfId="2" priority="104">
      <formula>$F4="ожидается подпись контрагента"</formula>
    </cfRule>
  </conditionalFormatting>
  <conditionalFormatting sqref="B4:B77 F4:F77 K4:L77 M4:M78 N4:U77 C17:C77 A19:A20 I20:I21 J20 A27 J32 A34">
    <cfRule type="expression" dxfId="3" priority="105">
      <formula>$F4="на согласовании подрядчика"</formula>
    </cfRule>
  </conditionalFormatting>
  <conditionalFormatting sqref="B4:B77 F4:F77 K4:L77 M4:M78 N4:U77 C17:C77 A19:A20 I20:I21 J20 A27 J32 A34">
    <cfRule type="expression" dxfId="2" priority="106">
      <formula>$F4="на согласовании СК"</formula>
    </cfRule>
  </conditionalFormatting>
  <conditionalFormatting sqref="B4:B77 F4:F77 K4:L77 M4:M78 N4:U77 C17:C77 A19:A20 I20:I21 J20 A27 J32 A34">
    <cfRule type="expression" dxfId="1" priority="107">
      <formula>$F4="на согласовании ДС"</formula>
    </cfRule>
  </conditionalFormatting>
  <conditionalFormatting sqref="B4:B77 F4:F77 K4:L77 M4:M78 N4:U77 C17:C77 A19:A20 I20:I21 J20 A27 J32 A34">
    <cfRule type="expression" dxfId="0" priority="108">
      <formula>$F4="Согласован"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09">
      <formula>$F4="Отклонен"</formula>
    </cfRule>
  </conditionalFormatting>
  <conditionalFormatting sqref="L4:L77 M4:M78 Q4:R77 S17:S40 N19:N52 O19:O71 P19:P52 G27:G40 H32 F33:F35 K33:K35 T33:U35 K37:K40 F40 T40:U40 N54:N71 P54:P71 S70:S71 N76 O76:P77 S76">
    <cfRule type="expression" dxfId="7" priority="110">
      <formula>$F4="Подписан обеими сторонами"</formula>
    </cfRule>
  </conditionalFormatting>
  <conditionalFormatting sqref="L4:L77 M4:M78 Q4:R77 S17:S40 N19:N52 O19:O71 P19:P52 G27:G40 H32 F33:F35 K33:K35 T33:U35 K37:K40 F40 T40:U40 N54:N71 P54:P71 S70:S71 N76 O76:P77 S76">
    <cfRule type="expression" dxfId="6" priority="111">
      <formula>$F4="Подписан подрядчиком"</formula>
    </cfRule>
  </conditionalFormatting>
  <conditionalFormatting sqref="L4:L77 M4:M78 Q4:R77 S17:S40 N19:N52 O19:O71 P19:P52 G27:G40 H32 F33:F35 K33:K35 T33:U35 K37:K40 F40 T40:U40 N54:N71 P54:P71 S70:S71 N76 O76:P77 S76">
    <cfRule type="expression" dxfId="6" priority="112">
      <formula>$F4="На подписании подрядчика"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13">
      <formula>$F4="Удален"</formula>
    </cfRule>
  </conditionalFormatting>
  <conditionalFormatting sqref="L4:L77 M4:M78 Q4:R77 S17:S40 N19:N52 O19:O71 P19:P52 G27:G40 H32 F33:F35 K33:K35 T33:U35 K37:K40 F40 T40:U40 N54:N71 P54:P71 S70:S71 N76 O76:P77 S76">
    <cfRule type="expression" dxfId="5" priority="114">
      <formula>$F4="сформирован"</formula>
    </cfRule>
  </conditionalFormatting>
  <conditionalFormatting sqref="L4:L77 M4:M78 Q4:R77 S17:S40 N19:N52 O19:O71 P19:P52 G27:G40 H32 F33:F35 K33:K35 T33:U35 K37:K40 F40 T40:U40 N54:N71 P54:P71 S70:S71 N76 O76:P77 S76">
    <cfRule type="expression" dxfId="4" priority="115">
      <formula>$F4="ведутся работы"</formula>
    </cfRule>
  </conditionalFormatting>
  <conditionalFormatting sqref="L4:L77 M4:M78 Q4:R77 S17:S40 N19:N52 O19:O71 P19:P52 G27:G40 H32 F33:F35 K33:K35 T33:U35 K37:K40 F40 T40:U40 N54:N71 P54:P71 S70:S71 N76 O76:P77 S76">
    <cfRule type="expression" dxfId="2" priority="116">
      <formula>$F4="ожидается подпись контрагента"</formula>
    </cfRule>
  </conditionalFormatting>
  <conditionalFormatting sqref="L4:L77 M4:M78 Q4:R77 S17:S40 N19:N52 O19:O71 P19:P52 G27:G40 H32 F33:F35 K33:K35 T33:U35 K37:K40 F40 T40:U40 N54:N71 P54:P71 S70:S71 N76 O76:P77 S76">
    <cfRule type="expression" dxfId="3" priority="117">
      <formula>$F4="на согласовании подрядчика"</formula>
    </cfRule>
  </conditionalFormatting>
  <conditionalFormatting sqref="L4:L77 M4:M78 Q4:R77 S17:S40 N19:N52 O19:O71 P19:P52 G27:G40 H32 F33:F35 K33:K35 T33:U35 K37:K40 F40 T40:U40 N54:N71 P54:P71 S70:S71 N76 O76:P77 S76">
    <cfRule type="expression" dxfId="2" priority="118">
      <formula>$F4="на согласовании СК"</formula>
    </cfRule>
  </conditionalFormatting>
  <conditionalFormatting sqref="L4:L77 M4:M78 Q4:R77 S17:S40 N19:N52 O19:O71 P19:P52 G27:G40 H32 F33:F35 K33:K35 T33:U35 K37:K40 F40 T40:U40 N54:N71 P54:P71 S70:S71 N76 O76:P77 S76">
    <cfRule type="expression" dxfId="1" priority="119">
      <formula>$F4="на согласовании ДС"</formula>
    </cfRule>
  </conditionalFormatting>
  <conditionalFormatting sqref="A4:U78">
    <cfRule type="expression" dxfId="5" priority="120">
      <formula>$F4="Отклонен"</formula>
    </cfRule>
  </conditionalFormatting>
  <conditionalFormatting sqref="A4:U78">
    <cfRule type="expression" dxfId="7" priority="121">
      <formula>$F4="Подписан обеими сторонами"</formula>
    </cfRule>
  </conditionalFormatting>
  <conditionalFormatting sqref="A4:U78">
    <cfRule type="expression" dxfId="6" priority="122">
      <formula>$F4="Подписан подрядчиком"</formula>
    </cfRule>
  </conditionalFormatting>
  <conditionalFormatting sqref="A4:U78">
    <cfRule type="expression" dxfId="6" priority="123">
      <formula>$F4="На подписании подрядчика"</formula>
    </cfRule>
  </conditionalFormatting>
  <conditionalFormatting sqref="A4:U78">
    <cfRule type="expression" dxfId="5" priority="124">
      <formula>$F4="Удален"</formula>
    </cfRule>
  </conditionalFormatting>
  <conditionalFormatting sqref="A4:U78">
    <cfRule type="expression" dxfId="5" priority="125">
      <formula>$F4="сформирован"</formula>
    </cfRule>
  </conditionalFormatting>
  <conditionalFormatting sqref="A4:U78">
    <cfRule type="expression" dxfId="4" priority="126">
      <formula>$F4="ведутся работы"</formula>
    </cfRule>
  </conditionalFormatting>
  <conditionalFormatting sqref="A4:U78">
    <cfRule type="expression" dxfId="2" priority="127">
      <formula>$F4="ожидается подпись контрагента"</formula>
    </cfRule>
  </conditionalFormatting>
  <conditionalFormatting sqref="A4:U78">
    <cfRule type="expression" dxfId="3" priority="128">
      <formula>$F4="на согласовании подрядчика"</formula>
    </cfRule>
  </conditionalFormatting>
  <conditionalFormatting sqref="A4:U78">
    <cfRule type="expression" dxfId="2" priority="129">
      <formula>$F4="на согласовании СК"</formula>
    </cfRule>
  </conditionalFormatting>
  <conditionalFormatting sqref="A4:U78">
    <cfRule type="expression" dxfId="1" priority="130">
      <formula>$F4="на согласовании ДС"</formula>
    </cfRule>
  </conditionalFormatting>
  <conditionalFormatting sqref="A4:U78">
    <cfRule type="expression" dxfId="0" priority="131">
      <formula>$F4="Согласован"</formula>
    </cfRule>
  </conditionalFormatting>
  <dataValidations>
    <dataValidation type="list" allowBlank="1" sqref="F46:F47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работы,Удален,Отклонен,Сформирован"</formula1>
    </dataValidation>
    <dataValidation type="list" allowBlank="1" sqref="F30 F33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работы,Удален,Отклонен,Сформирован"</formula1>
    </dataValidation>
    <dataValidation type="list" allowBlank="1" sqref="F4:F29 F31:F32 F34:F45 F48:F77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работы,Удален,Отклонен,Сформирован,Отозван"</formula1>
    </dataValidation>
  </dataValidations>
  <hyperlinks>
    <hyperlink r:id="rId1" ref="E4"/>
    <hyperlink r:id="rId2" ref="E5"/>
    <hyperlink r:id="rId3" ref="E6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H20"/>
    <hyperlink r:id="rId17" ref="H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H38"/>
    <hyperlink r:id="rId34" ref="J38"/>
    <hyperlink r:id="rId35" ref="H39"/>
    <hyperlink r:id="rId36" ref="J39"/>
    <hyperlink r:id="rId37" ref="H40"/>
    <hyperlink r:id="rId38" ref="H41"/>
    <hyperlink r:id="rId39" ref="J41"/>
    <hyperlink r:id="rId40" ref="H42"/>
    <hyperlink r:id="rId41" ref="H43"/>
    <hyperlink r:id="rId42" ref="E44"/>
    <hyperlink r:id="rId43" ref="E45"/>
    <hyperlink r:id="rId44" ref="H50"/>
    <hyperlink r:id="rId45" ref="H51"/>
    <hyperlink r:id="rId46" ref="H52"/>
    <hyperlink r:id="rId47" ref="H53"/>
    <hyperlink r:id="rId48" ref="J53"/>
    <hyperlink r:id="rId49" ref="H54"/>
    <hyperlink r:id="rId50" ref="H55"/>
    <hyperlink r:id="rId51" ref="H56"/>
    <hyperlink r:id="rId52" ref="J56"/>
    <hyperlink r:id="rId53" ref="H57"/>
    <hyperlink r:id="rId54" ref="J57"/>
    <hyperlink r:id="rId55" ref="H58"/>
    <hyperlink r:id="rId56" ref="H59"/>
    <hyperlink r:id="rId57" ref="H60"/>
    <hyperlink r:id="rId58" ref="J60"/>
    <hyperlink r:id="rId59" ref="H61"/>
    <hyperlink r:id="rId60" ref="E62"/>
    <hyperlink r:id="rId61" ref="E63"/>
    <hyperlink r:id="rId62" ref="E64"/>
    <hyperlink r:id="rId63" ref="E65"/>
    <hyperlink r:id="rId64" ref="G66"/>
    <hyperlink r:id="rId65" ref="H66"/>
    <hyperlink r:id="rId66" ref="H67"/>
    <hyperlink r:id="rId67" ref="J67"/>
  </hyperlinks>
  <printOptions gridLines="1" horizontalCentered="1"/>
  <pageMargins bottom="0.21518714270305256" footer="0.0" header="0.0" left="0.16665861552582004" right="0.25" top="0.19685039370078738"/>
  <pageSetup fitToHeight="0" paperSize="8" cellComments="atEnd" orientation="landscape" pageOrder="overThenDown"/>
  <drawing r:id="rId6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2" width="2.88"/>
    <col customWidth="1" min="3" max="3" width="29.75"/>
    <col customWidth="1" min="4" max="4" width="9.88"/>
    <col customWidth="1" min="5" max="5" width="6.88"/>
    <col customWidth="1" min="6" max="6" width="29.38"/>
    <col customWidth="1" min="7" max="7" width="29.75"/>
    <col customWidth="1" min="8" max="8" width="27.0"/>
    <col customWidth="1" min="9" max="9" width="32.38"/>
    <col customWidth="1" min="10" max="10" width="35.38"/>
    <col customWidth="1" min="11" max="11" width="13.63"/>
    <col customWidth="1" min="12" max="12" width="12.75"/>
    <col customWidth="1" min="13" max="13" width="12.63"/>
    <col customWidth="1" min="14" max="14" width="11.5"/>
    <col customWidth="1" min="15" max="16" width="11.25"/>
    <col customWidth="1" min="17" max="17" width="12.5"/>
    <col customWidth="1" min="18" max="18" width="12.25"/>
    <col customWidth="1" min="19" max="19" width="13.25"/>
    <col customWidth="1" min="20" max="20" width="45.63"/>
    <col customWidth="1" min="21" max="98" width="40.25"/>
  </cols>
  <sheetData>
    <row r="1">
      <c r="A1" s="281" t="s">
        <v>644</v>
      </c>
      <c r="B1" s="282"/>
      <c r="C1" s="282"/>
      <c r="D1" s="283" t="s">
        <v>644</v>
      </c>
      <c r="E1" s="285" t="s">
        <v>647</v>
      </c>
      <c r="F1" s="285" t="s">
        <v>648</v>
      </c>
      <c r="G1" s="287" t="s">
        <v>181</v>
      </c>
      <c r="H1" s="288" t="s">
        <v>23</v>
      </c>
      <c r="I1" s="289" t="s">
        <v>26</v>
      </c>
      <c r="J1" s="589" t="s">
        <v>178</v>
      </c>
      <c r="K1" s="290" t="s">
        <v>656</v>
      </c>
      <c r="L1" s="290" t="s">
        <v>657</v>
      </c>
      <c r="M1" s="290" t="s">
        <v>658</v>
      </c>
      <c r="N1" s="290" t="s">
        <v>659</v>
      </c>
      <c r="O1" s="290" t="s">
        <v>660</v>
      </c>
      <c r="P1" s="290" t="s">
        <v>661</v>
      </c>
      <c r="Q1" s="290" t="s">
        <v>662</v>
      </c>
      <c r="R1" s="290" t="s">
        <v>663</v>
      </c>
      <c r="S1" s="290" t="s">
        <v>664</v>
      </c>
      <c r="T1" s="290" t="s">
        <v>667</v>
      </c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1"/>
      <c r="CF1" s="501"/>
      <c r="CG1" s="501"/>
      <c r="CH1" s="501"/>
      <c r="CI1" s="501"/>
      <c r="CJ1" s="501"/>
      <c r="CK1" s="501"/>
      <c r="CL1" s="501"/>
      <c r="CM1" s="501"/>
      <c r="CN1" s="501"/>
      <c r="CO1" s="501"/>
      <c r="CP1" s="501"/>
      <c r="CQ1" s="501"/>
      <c r="CR1" s="501"/>
      <c r="CS1" s="501"/>
      <c r="CT1" s="501"/>
    </row>
    <row r="2">
      <c r="A2" s="291"/>
      <c r="B2" s="282"/>
      <c r="C2" s="282"/>
      <c r="D2" s="235"/>
      <c r="E2" s="235"/>
      <c r="F2" s="235"/>
      <c r="G2" s="236"/>
      <c r="H2" s="235"/>
      <c r="I2" s="236"/>
      <c r="J2" s="236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1"/>
      <c r="BV2" s="501"/>
      <c r="BW2" s="501"/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H2" s="501"/>
      <c r="CI2" s="501"/>
      <c r="CJ2" s="501"/>
      <c r="CK2" s="501"/>
      <c r="CL2" s="501"/>
      <c r="CM2" s="501"/>
      <c r="CN2" s="501"/>
      <c r="CO2" s="501"/>
      <c r="CP2" s="501"/>
      <c r="CQ2" s="501"/>
      <c r="CR2" s="501"/>
      <c r="CS2" s="501"/>
      <c r="CT2" s="501"/>
    </row>
    <row r="3">
      <c r="A3" s="293"/>
      <c r="B3" s="294"/>
      <c r="C3" s="294"/>
      <c r="D3" s="296"/>
      <c r="E3" s="298"/>
      <c r="F3" s="298"/>
      <c r="G3" s="299"/>
      <c r="H3" s="592"/>
      <c r="I3" s="302"/>
      <c r="J3" s="593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1"/>
      <c r="BV3" s="501"/>
      <c r="BW3" s="501"/>
      <c r="BX3" s="501"/>
      <c r="BY3" s="501"/>
      <c r="BZ3" s="501"/>
      <c r="CA3" s="501"/>
      <c r="CB3" s="501"/>
      <c r="CC3" s="501"/>
      <c r="CD3" s="501"/>
      <c r="CE3" s="501"/>
      <c r="CF3" s="501"/>
      <c r="CG3" s="501"/>
      <c r="CH3" s="501"/>
      <c r="CI3" s="501"/>
      <c r="CJ3" s="501"/>
      <c r="CK3" s="501"/>
      <c r="CL3" s="501"/>
      <c r="CM3" s="501"/>
      <c r="CN3" s="501"/>
      <c r="CO3" s="501"/>
      <c r="CP3" s="501"/>
      <c r="CQ3" s="501"/>
      <c r="CR3" s="501"/>
      <c r="CS3" s="501"/>
      <c r="CT3" s="501"/>
    </row>
    <row r="4">
      <c r="A4" s="305" t="s">
        <v>683</v>
      </c>
      <c r="B4" s="306"/>
      <c r="C4" s="306"/>
      <c r="D4" s="324">
        <v>46287.0</v>
      </c>
      <c r="E4" s="429" t="s">
        <v>721</v>
      </c>
      <c r="F4" s="311" t="s">
        <v>695</v>
      </c>
      <c r="G4" s="312" t="s">
        <v>697</v>
      </c>
      <c r="H4" s="312" t="s">
        <v>98</v>
      </c>
      <c r="I4" s="312" t="s">
        <v>102</v>
      </c>
      <c r="J4" s="372" t="s">
        <v>701</v>
      </c>
      <c r="K4" s="314">
        <v>1123304.34</v>
      </c>
      <c r="L4" s="317">
        <f t="shared" ref="L4:L54" si="1">K4-M4</f>
        <v>0</v>
      </c>
      <c r="M4" s="317">
        <f>K4</f>
        <v>1123304.34</v>
      </c>
      <c r="N4" s="318"/>
      <c r="O4" s="318"/>
      <c r="P4" s="318"/>
      <c r="Q4" s="317">
        <f t="shared" ref="Q4:Q48" si="2">M4-N4-P4</f>
        <v>1123304.34</v>
      </c>
      <c r="R4" s="318"/>
      <c r="S4" s="317">
        <f t="shared" ref="S4:S52" si="3">Q4-R4</f>
        <v>1123304.34</v>
      </c>
      <c r="T4" s="318"/>
      <c r="U4" s="602" t="s">
        <v>23</v>
      </c>
      <c r="V4" s="603" t="s">
        <v>1206</v>
      </c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359"/>
      <c r="AJ4" s="359"/>
      <c r="AK4" s="359"/>
      <c r="AL4" s="359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  <c r="AZ4" s="359"/>
      <c r="BA4" s="359"/>
      <c r="BB4" s="359"/>
      <c r="BC4" s="359"/>
      <c r="BD4" s="359"/>
      <c r="BE4" s="359"/>
      <c r="BF4" s="359"/>
      <c r="BG4" s="359"/>
      <c r="BH4" s="359"/>
      <c r="BI4" s="359"/>
      <c r="BJ4" s="359"/>
      <c r="BK4" s="359"/>
      <c r="BL4" s="359"/>
      <c r="BM4" s="359"/>
      <c r="BN4" s="359"/>
      <c r="BO4" s="359"/>
      <c r="BP4" s="359"/>
      <c r="BQ4" s="359"/>
      <c r="BR4" s="359"/>
      <c r="BS4" s="359"/>
      <c r="BT4" s="359"/>
      <c r="BU4" s="359"/>
      <c r="BV4" s="359"/>
      <c r="BW4" s="359"/>
      <c r="BX4" s="359"/>
      <c r="BY4" s="359"/>
      <c r="BZ4" s="359"/>
      <c r="CA4" s="359"/>
      <c r="CB4" s="359"/>
      <c r="CC4" s="359"/>
      <c r="CD4" s="359"/>
      <c r="CE4" s="359"/>
      <c r="CF4" s="359"/>
      <c r="CG4" s="359"/>
      <c r="CH4" s="359"/>
      <c r="CI4" s="359"/>
      <c r="CJ4" s="359"/>
      <c r="CK4" s="359"/>
      <c r="CL4" s="359"/>
      <c r="CM4" s="359"/>
      <c r="CN4" s="359"/>
      <c r="CO4" s="359"/>
      <c r="CP4" s="359"/>
      <c r="CQ4" s="359"/>
      <c r="CR4" s="359"/>
      <c r="CS4" s="359"/>
      <c r="CT4" s="359"/>
    </row>
    <row r="5">
      <c r="A5" s="305" t="s">
        <v>683</v>
      </c>
      <c r="B5" s="306"/>
      <c r="C5" s="306"/>
      <c r="D5" s="324">
        <v>46287.0</v>
      </c>
      <c r="E5" s="429" t="s">
        <v>721</v>
      </c>
      <c r="F5" s="311" t="s">
        <v>695</v>
      </c>
      <c r="G5" s="312" t="s">
        <v>697</v>
      </c>
      <c r="H5" s="312" t="s">
        <v>98</v>
      </c>
      <c r="I5" s="312" t="s">
        <v>102</v>
      </c>
      <c r="J5" s="372" t="s">
        <v>731</v>
      </c>
      <c r="K5" s="314">
        <v>1240273.02</v>
      </c>
      <c r="L5" s="317">
        <f t="shared" si="1"/>
        <v>160301.49</v>
      </c>
      <c r="M5" s="317">
        <v>1079971.53</v>
      </c>
      <c r="N5" s="318"/>
      <c r="O5" s="318"/>
      <c r="P5" s="318"/>
      <c r="Q5" s="317">
        <f t="shared" si="2"/>
        <v>1079971.53</v>
      </c>
      <c r="R5" s="318"/>
      <c r="S5" s="317">
        <f t="shared" si="3"/>
        <v>1079971.53</v>
      </c>
      <c r="T5" s="318"/>
      <c r="U5" s="610"/>
      <c r="V5" s="612">
        <v>0.0</v>
      </c>
      <c r="W5" s="359"/>
      <c r="X5" s="359"/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59"/>
      <c r="AJ5" s="359"/>
      <c r="AK5" s="359"/>
      <c r="AL5" s="359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  <c r="AZ5" s="359"/>
      <c r="BA5" s="359"/>
      <c r="BB5" s="359"/>
      <c r="BC5" s="359"/>
      <c r="BD5" s="359"/>
      <c r="BE5" s="359"/>
      <c r="BF5" s="359"/>
      <c r="BG5" s="359"/>
      <c r="BH5" s="359"/>
      <c r="BI5" s="359"/>
      <c r="BJ5" s="359"/>
      <c r="BK5" s="359"/>
      <c r="BL5" s="359"/>
      <c r="BM5" s="359"/>
      <c r="BN5" s="359"/>
      <c r="BO5" s="359"/>
      <c r="BP5" s="359"/>
      <c r="BQ5" s="359"/>
      <c r="BR5" s="359"/>
      <c r="BS5" s="359"/>
      <c r="BT5" s="359"/>
      <c r="BU5" s="359"/>
      <c r="BV5" s="359"/>
      <c r="BW5" s="359"/>
      <c r="BX5" s="359"/>
      <c r="BY5" s="359"/>
      <c r="BZ5" s="359"/>
      <c r="CA5" s="359"/>
      <c r="CB5" s="359"/>
      <c r="CC5" s="359"/>
      <c r="CD5" s="359"/>
      <c r="CE5" s="359"/>
      <c r="CF5" s="359"/>
      <c r="CG5" s="359"/>
      <c r="CH5" s="359"/>
      <c r="CI5" s="359"/>
      <c r="CJ5" s="359"/>
      <c r="CK5" s="359"/>
      <c r="CL5" s="359"/>
      <c r="CM5" s="359"/>
      <c r="CN5" s="359"/>
      <c r="CO5" s="359"/>
      <c r="CP5" s="359"/>
      <c r="CQ5" s="359"/>
      <c r="CR5" s="359"/>
      <c r="CS5" s="359"/>
      <c r="CT5" s="359"/>
    </row>
    <row r="6">
      <c r="A6" s="613" t="s">
        <v>683</v>
      </c>
      <c r="B6" s="614"/>
      <c r="C6" s="615" t="s">
        <v>896</v>
      </c>
      <c r="D6" s="616"/>
      <c r="E6" s="617"/>
      <c r="F6" s="311" t="s">
        <v>1166</v>
      </c>
      <c r="G6" s="618" t="s">
        <v>747</v>
      </c>
      <c r="H6" s="618" t="s">
        <v>98</v>
      </c>
      <c r="I6" s="618" t="s">
        <v>102</v>
      </c>
      <c r="J6" s="619" t="s">
        <v>898</v>
      </c>
      <c r="K6" s="620">
        <v>527044.92</v>
      </c>
      <c r="L6" s="623">
        <f t="shared" si="1"/>
        <v>0</v>
      </c>
      <c r="M6" s="623">
        <f t="shared" ref="M6:M14" si="4">K6</f>
        <v>527044.92</v>
      </c>
      <c r="N6" s="625"/>
      <c r="O6" s="625"/>
      <c r="P6" s="625"/>
      <c r="Q6" s="623">
        <f t="shared" si="2"/>
        <v>527044.92</v>
      </c>
      <c r="R6" s="625"/>
      <c r="S6" s="623">
        <f t="shared" si="3"/>
        <v>527044.92</v>
      </c>
      <c r="T6" s="625"/>
      <c r="U6" s="626" t="s">
        <v>98</v>
      </c>
      <c r="V6" s="627">
        <v>2730320.79</v>
      </c>
      <c r="W6" s="628"/>
      <c r="X6" s="628"/>
      <c r="Y6" s="628"/>
      <c r="Z6" s="628"/>
      <c r="AA6" s="628"/>
      <c r="AB6" s="628"/>
      <c r="AC6" s="628"/>
      <c r="AD6" s="628"/>
      <c r="AE6" s="628"/>
      <c r="AF6" s="628"/>
      <c r="AG6" s="628"/>
      <c r="AH6" s="628"/>
      <c r="AI6" s="628"/>
      <c r="AJ6" s="628"/>
      <c r="AK6" s="628"/>
      <c r="AL6" s="628"/>
      <c r="AM6" s="628"/>
      <c r="AN6" s="628"/>
      <c r="AO6" s="628"/>
      <c r="AP6" s="628"/>
      <c r="AQ6" s="628"/>
      <c r="AR6" s="628"/>
      <c r="AS6" s="628"/>
      <c r="AT6" s="628"/>
      <c r="AU6" s="628"/>
      <c r="AV6" s="628"/>
      <c r="AW6" s="628"/>
      <c r="AX6" s="628"/>
      <c r="AY6" s="628"/>
      <c r="AZ6" s="628"/>
      <c r="BA6" s="628"/>
      <c r="BB6" s="628"/>
      <c r="BC6" s="628"/>
      <c r="BD6" s="628"/>
      <c r="BE6" s="628"/>
      <c r="BF6" s="628"/>
      <c r="BG6" s="628"/>
      <c r="BH6" s="628"/>
      <c r="BI6" s="628"/>
      <c r="BJ6" s="628"/>
      <c r="BK6" s="628"/>
      <c r="BL6" s="628"/>
      <c r="BM6" s="628"/>
      <c r="BN6" s="628"/>
      <c r="BO6" s="628"/>
      <c r="BP6" s="628"/>
      <c r="BQ6" s="628"/>
      <c r="BR6" s="628"/>
      <c r="BS6" s="628"/>
      <c r="BT6" s="628"/>
      <c r="BU6" s="628"/>
      <c r="BV6" s="628"/>
      <c r="BW6" s="628"/>
      <c r="BX6" s="628"/>
      <c r="BY6" s="628"/>
      <c r="BZ6" s="628"/>
      <c r="CA6" s="628"/>
      <c r="CB6" s="628"/>
      <c r="CC6" s="628"/>
      <c r="CD6" s="628"/>
      <c r="CE6" s="628"/>
      <c r="CF6" s="628"/>
      <c r="CG6" s="628"/>
      <c r="CH6" s="628"/>
      <c r="CI6" s="628"/>
      <c r="CJ6" s="628"/>
      <c r="CK6" s="628"/>
      <c r="CL6" s="628"/>
      <c r="CM6" s="628"/>
      <c r="CN6" s="628"/>
      <c r="CO6" s="628"/>
      <c r="CP6" s="628"/>
      <c r="CQ6" s="628"/>
      <c r="CR6" s="628"/>
      <c r="CS6" s="628"/>
      <c r="CT6" s="628"/>
    </row>
    <row r="7">
      <c r="A7" s="305" t="s">
        <v>683</v>
      </c>
      <c r="B7" s="306"/>
      <c r="C7" s="306"/>
      <c r="D7" s="630">
        <v>46287.0</v>
      </c>
      <c r="E7" s="429" t="s">
        <v>721</v>
      </c>
      <c r="F7" s="311" t="s">
        <v>695</v>
      </c>
      <c r="G7" s="312" t="s">
        <v>697</v>
      </c>
      <c r="H7" s="312" t="s">
        <v>134</v>
      </c>
      <c r="I7" s="312" t="s">
        <v>71</v>
      </c>
      <c r="J7" s="372" t="s">
        <v>916</v>
      </c>
      <c r="K7" s="314">
        <v>1206640.18</v>
      </c>
      <c r="L7" s="317">
        <f t="shared" si="1"/>
        <v>0</v>
      </c>
      <c r="M7" s="317">
        <f t="shared" si="4"/>
        <v>1206640.18</v>
      </c>
      <c r="N7" s="318"/>
      <c r="O7" s="318"/>
      <c r="P7" s="318"/>
      <c r="Q7" s="317">
        <f t="shared" si="2"/>
        <v>1206640.18</v>
      </c>
      <c r="R7" s="318"/>
      <c r="S7" s="317">
        <f t="shared" si="3"/>
        <v>1206640.18</v>
      </c>
      <c r="T7" s="318"/>
      <c r="U7" s="642" t="s">
        <v>134</v>
      </c>
      <c r="V7" s="612">
        <v>1206640.18</v>
      </c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59"/>
      <c r="AI7" s="359"/>
      <c r="AJ7" s="359"/>
      <c r="AK7" s="359"/>
      <c r="AL7" s="359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  <c r="AZ7" s="359"/>
      <c r="BA7" s="359"/>
      <c r="BB7" s="359"/>
      <c r="BC7" s="359"/>
      <c r="BD7" s="359"/>
      <c r="BE7" s="359"/>
      <c r="BF7" s="359"/>
      <c r="BG7" s="359"/>
      <c r="BH7" s="359"/>
      <c r="BI7" s="359"/>
      <c r="BJ7" s="359"/>
      <c r="BK7" s="359"/>
      <c r="BL7" s="359"/>
      <c r="BM7" s="359"/>
      <c r="BN7" s="359"/>
      <c r="BO7" s="359"/>
      <c r="BP7" s="359"/>
      <c r="BQ7" s="359"/>
      <c r="BR7" s="359"/>
      <c r="BS7" s="359"/>
      <c r="BT7" s="359"/>
      <c r="BU7" s="359"/>
      <c r="BV7" s="359"/>
      <c r="BW7" s="359"/>
      <c r="BX7" s="359"/>
      <c r="BY7" s="359"/>
      <c r="BZ7" s="359"/>
      <c r="CA7" s="359"/>
      <c r="CB7" s="359"/>
      <c r="CC7" s="359"/>
      <c r="CD7" s="359"/>
      <c r="CE7" s="359"/>
      <c r="CF7" s="359"/>
      <c r="CG7" s="359"/>
      <c r="CH7" s="359"/>
      <c r="CI7" s="359"/>
      <c r="CJ7" s="359"/>
      <c r="CK7" s="359"/>
      <c r="CL7" s="359"/>
      <c r="CM7" s="359"/>
      <c r="CN7" s="359"/>
      <c r="CO7" s="359"/>
      <c r="CP7" s="359"/>
      <c r="CQ7" s="359"/>
      <c r="CR7" s="359"/>
      <c r="CS7" s="359"/>
      <c r="CT7" s="359"/>
    </row>
    <row r="8">
      <c r="A8" s="305" t="s">
        <v>761</v>
      </c>
      <c r="B8" s="325" t="s">
        <v>1214</v>
      </c>
      <c r="C8" s="323" t="s">
        <v>360</v>
      </c>
      <c r="D8" s="324">
        <v>46287.0</v>
      </c>
      <c r="E8" s="429" t="s">
        <v>764</v>
      </c>
      <c r="F8" s="311" t="s">
        <v>695</v>
      </c>
      <c r="G8" s="312" t="s">
        <v>697</v>
      </c>
      <c r="H8" s="312" t="s">
        <v>654</v>
      </c>
      <c r="I8" s="312" t="s">
        <v>71</v>
      </c>
      <c r="J8" s="372" t="s">
        <v>669</v>
      </c>
      <c r="K8" s="314">
        <v>455896.0</v>
      </c>
      <c r="L8" s="317">
        <f t="shared" si="1"/>
        <v>0</v>
      </c>
      <c r="M8" s="317">
        <f t="shared" si="4"/>
        <v>455896</v>
      </c>
      <c r="N8" s="317">
        <v>0.0</v>
      </c>
      <c r="O8" s="317">
        <v>0.0</v>
      </c>
      <c r="P8" s="317">
        <v>0.0</v>
      </c>
      <c r="Q8" s="317">
        <f t="shared" si="2"/>
        <v>455896</v>
      </c>
      <c r="R8" s="318"/>
      <c r="S8" s="317">
        <f t="shared" si="3"/>
        <v>455896</v>
      </c>
      <c r="T8" s="318"/>
      <c r="U8" s="642" t="s">
        <v>654</v>
      </c>
      <c r="V8" s="612">
        <v>1.0529486770000001E7</v>
      </c>
      <c r="W8" s="359"/>
      <c r="X8" s="359"/>
      <c r="Y8" s="359"/>
      <c r="Z8" s="359"/>
      <c r="AA8" s="359"/>
      <c r="AB8" s="359"/>
      <c r="AC8" s="359"/>
      <c r="AD8" s="359"/>
      <c r="AE8" s="359"/>
      <c r="AF8" s="359"/>
      <c r="AG8" s="359"/>
      <c r="AH8" s="359"/>
      <c r="AI8" s="359"/>
      <c r="AJ8" s="359"/>
      <c r="AK8" s="359"/>
      <c r="AL8" s="359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  <c r="AY8" s="359"/>
      <c r="AZ8" s="359"/>
      <c r="BA8" s="359"/>
      <c r="BB8" s="359"/>
      <c r="BC8" s="359"/>
      <c r="BD8" s="359"/>
      <c r="BE8" s="359"/>
      <c r="BF8" s="359"/>
      <c r="BG8" s="359"/>
      <c r="BH8" s="359"/>
      <c r="BI8" s="359"/>
      <c r="BJ8" s="359"/>
      <c r="BK8" s="359"/>
      <c r="BL8" s="359"/>
      <c r="BM8" s="359"/>
      <c r="BN8" s="359"/>
      <c r="BO8" s="359"/>
      <c r="BP8" s="359"/>
      <c r="BQ8" s="359"/>
      <c r="BR8" s="359"/>
      <c r="BS8" s="359"/>
      <c r="BT8" s="359"/>
      <c r="BU8" s="359"/>
      <c r="BV8" s="359"/>
      <c r="BW8" s="359"/>
      <c r="BX8" s="359"/>
      <c r="BY8" s="359"/>
      <c r="BZ8" s="359"/>
      <c r="CA8" s="359"/>
      <c r="CB8" s="359"/>
      <c r="CC8" s="359"/>
      <c r="CD8" s="359"/>
      <c r="CE8" s="359"/>
      <c r="CF8" s="359"/>
      <c r="CG8" s="359"/>
      <c r="CH8" s="359"/>
      <c r="CI8" s="359"/>
      <c r="CJ8" s="359"/>
      <c r="CK8" s="359"/>
      <c r="CL8" s="359"/>
      <c r="CM8" s="359"/>
      <c r="CN8" s="359"/>
      <c r="CO8" s="359"/>
      <c r="CP8" s="359"/>
      <c r="CQ8" s="359"/>
      <c r="CR8" s="359"/>
      <c r="CS8" s="359"/>
      <c r="CT8" s="359"/>
    </row>
    <row r="9">
      <c r="A9" s="305" t="s">
        <v>761</v>
      </c>
      <c r="B9" s="306"/>
      <c r="C9" s="323" t="s">
        <v>328</v>
      </c>
      <c r="D9" s="324">
        <v>46287.0</v>
      </c>
      <c r="E9" s="429" t="s">
        <v>764</v>
      </c>
      <c r="F9" s="311" t="s">
        <v>695</v>
      </c>
      <c r="G9" s="312" t="s">
        <v>697</v>
      </c>
      <c r="H9" s="312" t="s">
        <v>654</v>
      </c>
      <c r="I9" s="312" t="s">
        <v>71</v>
      </c>
      <c r="J9" s="372" t="s">
        <v>699</v>
      </c>
      <c r="K9" s="314">
        <v>1198648.29</v>
      </c>
      <c r="L9" s="317">
        <f t="shared" si="1"/>
        <v>0</v>
      </c>
      <c r="M9" s="317">
        <f t="shared" si="4"/>
        <v>1198648.29</v>
      </c>
      <c r="N9" s="317">
        <v>0.0</v>
      </c>
      <c r="O9" s="317">
        <v>0.0</v>
      </c>
      <c r="P9" s="317">
        <v>0.0</v>
      </c>
      <c r="Q9" s="317">
        <f t="shared" si="2"/>
        <v>1198648.29</v>
      </c>
      <c r="R9" s="318"/>
      <c r="S9" s="317">
        <f t="shared" si="3"/>
        <v>1198648.29</v>
      </c>
      <c r="T9" s="318"/>
      <c r="U9" s="642" t="s">
        <v>779</v>
      </c>
      <c r="V9" s="612">
        <v>2800623.12</v>
      </c>
      <c r="W9" s="359"/>
      <c r="X9" s="359"/>
      <c r="Y9" s="359"/>
      <c r="Z9" s="359"/>
      <c r="AA9" s="359"/>
      <c r="AB9" s="359"/>
      <c r="AC9" s="359"/>
      <c r="AD9" s="359"/>
      <c r="AE9" s="359"/>
      <c r="AF9" s="359"/>
      <c r="AG9" s="359"/>
      <c r="AH9" s="359"/>
      <c r="AI9" s="359"/>
      <c r="AJ9" s="359"/>
      <c r="AK9" s="359"/>
      <c r="AL9" s="359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  <c r="AZ9" s="359"/>
      <c r="BA9" s="359"/>
      <c r="BB9" s="359"/>
      <c r="BC9" s="359"/>
      <c r="BD9" s="359"/>
      <c r="BE9" s="359"/>
      <c r="BF9" s="359"/>
      <c r="BG9" s="359"/>
      <c r="BH9" s="359"/>
      <c r="BI9" s="359"/>
      <c r="BJ9" s="359"/>
      <c r="BK9" s="359"/>
      <c r="BL9" s="359"/>
      <c r="BM9" s="359"/>
      <c r="BN9" s="359"/>
      <c r="BO9" s="359"/>
      <c r="BP9" s="359"/>
      <c r="BQ9" s="359"/>
      <c r="BR9" s="359"/>
      <c r="BS9" s="359"/>
      <c r="BT9" s="359"/>
      <c r="BU9" s="359"/>
      <c r="BV9" s="359"/>
      <c r="BW9" s="359"/>
      <c r="BX9" s="359"/>
      <c r="BY9" s="359"/>
      <c r="BZ9" s="359"/>
      <c r="CA9" s="359"/>
      <c r="CB9" s="359"/>
      <c r="CC9" s="359"/>
      <c r="CD9" s="359"/>
      <c r="CE9" s="359"/>
      <c r="CF9" s="359"/>
      <c r="CG9" s="359"/>
      <c r="CH9" s="359"/>
      <c r="CI9" s="359"/>
      <c r="CJ9" s="359"/>
      <c r="CK9" s="359"/>
      <c r="CL9" s="359"/>
      <c r="CM9" s="359"/>
      <c r="CN9" s="359"/>
      <c r="CO9" s="359"/>
      <c r="CP9" s="359"/>
      <c r="CQ9" s="359"/>
      <c r="CR9" s="359"/>
      <c r="CS9" s="359"/>
      <c r="CT9" s="359"/>
    </row>
    <row r="10">
      <c r="A10" s="305" t="s">
        <v>761</v>
      </c>
      <c r="B10" s="325" t="s">
        <v>1216</v>
      </c>
      <c r="C10" s="323" t="s">
        <v>789</v>
      </c>
      <c r="D10" s="324">
        <v>46287.0</v>
      </c>
      <c r="E10" s="429" t="s">
        <v>764</v>
      </c>
      <c r="F10" s="311" t="s">
        <v>695</v>
      </c>
      <c r="G10" s="312" t="s">
        <v>697</v>
      </c>
      <c r="H10" s="312" t="s">
        <v>779</v>
      </c>
      <c r="I10" s="312" t="s">
        <v>71</v>
      </c>
      <c r="J10" s="372" t="s">
        <v>686</v>
      </c>
      <c r="K10" s="314">
        <v>1020191.05</v>
      </c>
      <c r="L10" s="317">
        <f t="shared" si="1"/>
        <v>0</v>
      </c>
      <c r="M10" s="317">
        <f t="shared" si="4"/>
        <v>1020191.05</v>
      </c>
      <c r="N10" s="318"/>
      <c r="O10" s="318"/>
      <c r="P10" s="318"/>
      <c r="Q10" s="317">
        <f t="shared" si="2"/>
        <v>1020191.05</v>
      </c>
      <c r="R10" s="318"/>
      <c r="S10" s="317">
        <f t="shared" si="3"/>
        <v>1020191.05</v>
      </c>
      <c r="T10" s="318"/>
      <c r="U10" s="654" t="s">
        <v>0</v>
      </c>
      <c r="V10" s="612">
        <v>1259122.43</v>
      </c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  <c r="AZ10" s="359"/>
      <c r="BA10" s="359"/>
      <c r="BB10" s="359"/>
      <c r="BC10" s="359"/>
      <c r="BD10" s="359"/>
      <c r="BE10" s="359"/>
      <c r="BF10" s="359"/>
      <c r="BG10" s="359"/>
      <c r="BH10" s="359"/>
      <c r="BI10" s="359"/>
      <c r="BJ10" s="359"/>
      <c r="BK10" s="359"/>
      <c r="BL10" s="359"/>
      <c r="BM10" s="359"/>
      <c r="BN10" s="359"/>
      <c r="BO10" s="359"/>
      <c r="BP10" s="359"/>
      <c r="BQ10" s="359"/>
      <c r="BR10" s="359"/>
      <c r="BS10" s="359"/>
      <c r="BT10" s="359"/>
      <c r="BU10" s="359"/>
      <c r="BV10" s="359"/>
      <c r="BW10" s="359"/>
      <c r="BX10" s="359"/>
      <c r="BY10" s="359"/>
      <c r="BZ10" s="359"/>
      <c r="CA10" s="359"/>
      <c r="CB10" s="359"/>
      <c r="CC10" s="359"/>
      <c r="CD10" s="359"/>
      <c r="CE10" s="359"/>
      <c r="CF10" s="359"/>
      <c r="CG10" s="359"/>
      <c r="CH10" s="359"/>
      <c r="CI10" s="359"/>
      <c r="CJ10" s="359"/>
      <c r="CK10" s="359"/>
      <c r="CL10" s="359"/>
      <c r="CM10" s="359"/>
      <c r="CN10" s="359"/>
      <c r="CO10" s="359"/>
      <c r="CP10" s="359"/>
      <c r="CQ10" s="359"/>
      <c r="CR10" s="359"/>
      <c r="CS10" s="359"/>
      <c r="CT10" s="359"/>
    </row>
    <row r="11">
      <c r="A11" s="305" t="s">
        <v>761</v>
      </c>
      <c r="B11" s="306"/>
      <c r="C11" s="323" t="s">
        <v>790</v>
      </c>
      <c r="D11" s="324">
        <v>46287.0</v>
      </c>
      <c r="E11" s="429" t="s">
        <v>764</v>
      </c>
      <c r="F11" s="311" t="s">
        <v>695</v>
      </c>
      <c r="G11" s="312" t="s">
        <v>697</v>
      </c>
      <c r="H11" s="312" t="s">
        <v>779</v>
      </c>
      <c r="I11" s="312" t="s">
        <v>71</v>
      </c>
      <c r="J11" s="372" t="s">
        <v>676</v>
      </c>
      <c r="K11" s="314">
        <v>1148970.8</v>
      </c>
      <c r="L11" s="317">
        <f t="shared" si="1"/>
        <v>0</v>
      </c>
      <c r="M11" s="317">
        <f t="shared" si="4"/>
        <v>1148970.8</v>
      </c>
      <c r="N11" s="318"/>
      <c r="O11" s="318"/>
      <c r="P11" s="318"/>
      <c r="Q11" s="317">
        <f t="shared" si="2"/>
        <v>1148970.8</v>
      </c>
      <c r="R11" s="318"/>
      <c r="S11" s="317">
        <f t="shared" si="3"/>
        <v>1148970.8</v>
      </c>
      <c r="T11" s="318"/>
      <c r="U11" s="642" t="s">
        <v>830</v>
      </c>
      <c r="V11" s="612">
        <v>1212922.33</v>
      </c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59"/>
      <c r="BW11" s="359"/>
      <c r="BX11" s="359"/>
      <c r="BY11" s="359"/>
      <c r="BZ11" s="359"/>
      <c r="CA11" s="359"/>
      <c r="CB11" s="359"/>
      <c r="CC11" s="359"/>
      <c r="CD11" s="359"/>
      <c r="CE11" s="359"/>
      <c r="CF11" s="359"/>
      <c r="CG11" s="359"/>
      <c r="CH11" s="359"/>
      <c r="CI11" s="359"/>
      <c r="CJ11" s="359"/>
      <c r="CK11" s="359"/>
      <c r="CL11" s="359"/>
      <c r="CM11" s="359"/>
      <c r="CN11" s="359"/>
      <c r="CO11" s="359"/>
      <c r="CP11" s="359"/>
      <c r="CQ11" s="359"/>
      <c r="CR11" s="359"/>
      <c r="CS11" s="359"/>
      <c r="CT11" s="359"/>
    </row>
    <row r="12">
      <c r="A12" s="327" t="s">
        <v>761</v>
      </c>
      <c r="B12" s="306"/>
      <c r="C12" s="306"/>
      <c r="D12" s="324">
        <v>46286.0</v>
      </c>
      <c r="E12" s="429" t="s">
        <v>764</v>
      </c>
      <c r="F12" s="311" t="s">
        <v>695</v>
      </c>
      <c r="G12" s="312" t="s">
        <v>697</v>
      </c>
      <c r="H12" s="312" t="s">
        <v>811</v>
      </c>
      <c r="I12" s="312" t="s">
        <v>71</v>
      </c>
      <c r="J12" s="372" t="s">
        <v>767</v>
      </c>
      <c r="K12" s="314">
        <v>1113784.17</v>
      </c>
      <c r="L12" s="317">
        <f t="shared" si="1"/>
        <v>0</v>
      </c>
      <c r="M12" s="317">
        <f t="shared" si="4"/>
        <v>1113784.17</v>
      </c>
      <c r="N12" s="318"/>
      <c r="O12" s="318"/>
      <c r="P12" s="318"/>
      <c r="Q12" s="317">
        <f t="shared" si="2"/>
        <v>1113784.17</v>
      </c>
      <c r="R12" s="318"/>
      <c r="S12" s="317">
        <f t="shared" si="3"/>
        <v>1113784.17</v>
      </c>
      <c r="T12" s="318"/>
      <c r="U12" s="642" t="s">
        <v>839</v>
      </c>
      <c r="V12" s="612">
        <v>2086423.3599999999</v>
      </c>
      <c r="W12" s="359"/>
      <c r="X12" s="359"/>
      <c r="Y12" s="359"/>
      <c r="Z12" s="359"/>
      <c r="AA12" s="359"/>
      <c r="AB12" s="359"/>
      <c r="AC12" s="359"/>
      <c r="AD12" s="359"/>
      <c r="AE12" s="359"/>
      <c r="AF12" s="359"/>
      <c r="AG12" s="359"/>
      <c r="AH12" s="359"/>
      <c r="AI12" s="359"/>
      <c r="AJ12" s="359"/>
      <c r="AK12" s="359"/>
      <c r="AL12" s="359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  <c r="AZ12" s="359"/>
      <c r="BA12" s="359"/>
      <c r="BB12" s="359"/>
      <c r="BC12" s="359"/>
      <c r="BD12" s="359"/>
      <c r="BE12" s="359"/>
      <c r="BF12" s="359"/>
      <c r="BG12" s="359"/>
      <c r="BH12" s="359"/>
      <c r="BI12" s="359"/>
      <c r="BJ12" s="359"/>
      <c r="BK12" s="359"/>
      <c r="BL12" s="359"/>
      <c r="BM12" s="359"/>
      <c r="BN12" s="359"/>
      <c r="BO12" s="359"/>
      <c r="BP12" s="359"/>
      <c r="BQ12" s="359"/>
      <c r="BR12" s="359"/>
      <c r="BS12" s="359"/>
      <c r="BT12" s="359"/>
      <c r="BU12" s="359"/>
      <c r="BV12" s="359"/>
      <c r="BW12" s="359"/>
      <c r="BX12" s="359"/>
      <c r="BY12" s="359"/>
      <c r="BZ12" s="359"/>
      <c r="CA12" s="359"/>
      <c r="CB12" s="359"/>
      <c r="CC12" s="359"/>
      <c r="CD12" s="359"/>
      <c r="CE12" s="359"/>
      <c r="CF12" s="359"/>
      <c r="CG12" s="359"/>
      <c r="CH12" s="359"/>
      <c r="CI12" s="359"/>
      <c r="CJ12" s="359"/>
      <c r="CK12" s="359"/>
      <c r="CL12" s="359"/>
      <c r="CM12" s="359"/>
      <c r="CN12" s="359"/>
      <c r="CO12" s="359"/>
      <c r="CP12" s="359"/>
      <c r="CQ12" s="359"/>
      <c r="CR12" s="359"/>
      <c r="CS12" s="359"/>
      <c r="CT12" s="359"/>
    </row>
    <row r="13">
      <c r="A13" s="305" t="s">
        <v>761</v>
      </c>
      <c r="B13" s="306"/>
      <c r="C13" s="323" t="s">
        <v>1221</v>
      </c>
      <c r="D13" s="324">
        <v>46289.0</v>
      </c>
      <c r="E13" s="429" t="s">
        <v>764</v>
      </c>
      <c r="F13" s="311" t="s">
        <v>695</v>
      </c>
      <c r="G13" s="312" t="s">
        <v>747</v>
      </c>
      <c r="H13" s="312" t="s">
        <v>654</v>
      </c>
      <c r="I13" s="312" t="s">
        <v>71</v>
      </c>
      <c r="J13" s="372" t="s">
        <v>1129</v>
      </c>
      <c r="K13" s="314">
        <v>6582316.37</v>
      </c>
      <c r="L13" s="317">
        <f t="shared" si="1"/>
        <v>0</v>
      </c>
      <c r="M13" s="317">
        <f t="shared" si="4"/>
        <v>6582316.37</v>
      </c>
      <c r="N13" s="317">
        <v>5000000.0</v>
      </c>
      <c r="O13" s="317">
        <v>0.0</v>
      </c>
      <c r="P13" s="317">
        <v>329115.82</v>
      </c>
      <c r="Q13" s="317">
        <f t="shared" si="2"/>
        <v>1253200.55</v>
      </c>
      <c r="R13" s="318"/>
      <c r="S13" s="317">
        <f t="shared" si="3"/>
        <v>1253200.55</v>
      </c>
      <c r="T13" s="318"/>
      <c r="U13" s="642" t="s">
        <v>854</v>
      </c>
      <c r="V13" s="612">
        <v>1.173374469E7</v>
      </c>
      <c r="W13" s="359"/>
      <c r="X13" s="359"/>
      <c r="Y13" s="359"/>
      <c r="Z13" s="359"/>
      <c r="AA13" s="359"/>
      <c r="AB13" s="359"/>
      <c r="AC13" s="359"/>
      <c r="AD13" s="359"/>
      <c r="AE13" s="359"/>
      <c r="AF13" s="359"/>
      <c r="AG13" s="359"/>
      <c r="AH13" s="359"/>
      <c r="AI13" s="359"/>
      <c r="AJ13" s="359"/>
      <c r="AK13" s="359"/>
      <c r="AL13" s="359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  <c r="AZ13" s="359"/>
      <c r="BA13" s="359"/>
      <c r="BB13" s="359"/>
      <c r="BC13" s="359"/>
      <c r="BD13" s="359"/>
      <c r="BE13" s="359"/>
      <c r="BF13" s="359"/>
      <c r="BG13" s="359"/>
      <c r="BH13" s="359"/>
      <c r="BI13" s="359"/>
      <c r="BJ13" s="359"/>
      <c r="BK13" s="359"/>
      <c r="BL13" s="359"/>
      <c r="BM13" s="359"/>
      <c r="BN13" s="359"/>
      <c r="BO13" s="359"/>
      <c r="BP13" s="359"/>
      <c r="BQ13" s="359"/>
      <c r="BR13" s="359"/>
      <c r="BS13" s="359"/>
      <c r="BT13" s="359"/>
      <c r="BU13" s="359"/>
      <c r="BV13" s="359"/>
      <c r="BW13" s="359"/>
      <c r="BX13" s="359"/>
      <c r="BY13" s="359"/>
      <c r="BZ13" s="359"/>
      <c r="CA13" s="359"/>
      <c r="CB13" s="359"/>
      <c r="CC13" s="359"/>
      <c r="CD13" s="359"/>
      <c r="CE13" s="359"/>
      <c r="CF13" s="359"/>
      <c r="CG13" s="359"/>
      <c r="CH13" s="359"/>
      <c r="CI13" s="359"/>
      <c r="CJ13" s="359"/>
      <c r="CK13" s="359"/>
      <c r="CL13" s="359"/>
      <c r="CM13" s="359"/>
      <c r="CN13" s="359"/>
      <c r="CO13" s="359"/>
      <c r="CP13" s="359"/>
      <c r="CQ13" s="359"/>
      <c r="CR13" s="359"/>
      <c r="CS13" s="359"/>
      <c r="CT13" s="359"/>
    </row>
    <row r="14">
      <c r="A14" s="305" t="s">
        <v>761</v>
      </c>
      <c r="B14" s="306"/>
      <c r="C14" s="330">
        <v>46083.0</v>
      </c>
      <c r="D14" s="324">
        <v>46289.0</v>
      </c>
      <c r="E14" s="429" t="s">
        <v>764</v>
      </c>
      <c r="F14" s="311" t="s">
        <v>695</v>
      </c>
      <c r="G14" s="312" t="s">
        <v>747</v>
      </c>
      <c r="H14" s="312" t="s">
        <v>654</v>
      </c>
      <c r="I14" s="312" t="s">
        <v>71</v>
      </c>
      <c r="J14" s="372" t="s">
        <v>734</v>
      </c>
      <c r="K14" s="314">
        <v>176727.3</v>
      </c>
      <c r="L14" s="317">
        <f t="shared" si="1"/>
        <v>0</v>
      </c>
      <c r="M14" s="317">
        <f t="shared" si="4"/>
        <v>176727.3</v>
      </c>
      <c r="N14" s="317">
        <v>0.0</v>
      </c>
      <c r="O14" s="317">
        <v>0.0</v>
      </c>
      <c r="P14" s="317">
        <v>3534.55</v>
      </c>
      <c r="Q14" s="317">
        <f t="shared" si="2"/>
        <v>173192.75</v>
      </c>
      <c r="R14" s="318"/>
      <c r="S14" s="317">
        <f t="shared" si="3"/>
        <v>173192.75</v>
      </c>
      <c r="T14" s="318"/>
      <c r="U14" s="642" t="s">
        <v>869</v>
      </c>
      <c r="V14" s="612">
        <v>842891.49</v>
      </c>
      <c r="W14" s="359"/>
      <c r="X14" s="359"/>
      <c r="Y14" s="359"/>
      <c r="Z14" s="359"/>
      <c r="AA14" s="359"/>
      <c r="AB14" s="359"/>
      <c r="AC14" s="359"/>
      <c r="AD14" s="359"/>
      <c r="AE14" s="359"/>
      <c r="AF14" s="359"/>
      <c r="AG14" s="359"/>
      <c r="AH14" s="359"/>
      <c r="AI14" s="359"/>
      <c r="AJ14" s="359"/>
      <c r="AK14" s="359"/>
      <c r="AL14" s="359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  <c r="AY14" s="359"/>
      <c r="AZ14" s="359"/>
      <c r="BA14" s="359"/>
      <c r="BB14" s="359"/>
      <c r="BC14" s="359"/>
      <c r="BD14" s="359"/>
      <c r="BE14" s="359"/>
      <c r="BF14" s="359"/>
      <c r="BG14" s="359"/>
      <c r="BH14" s="359"/>
      <c r="BI14" s="359"/>
      <c r="BJ14" s="359"/>
      <c r="BK14" s="359"/>
      <c r="BL14" s="359"/>
      <c r="BM14" s="359"/>
      <c r="BN14" s="359"/>
      <c r="BO14" s="359"/>
      <c r="BP14" s="359"/>
      <c r="BQ14" s="359"/>
      <c r="BR14" s="359"/>
      <c r="BS14" s="359"/>
      <c r="BT14" s="359"/>
      <c r="BU14" s="359"/>
      <c r="BV14" s="359"/>
      <c r="BW14" s="359"/>
      <c r="BX14" s="359"/>
      <c r="BY14" s="359"/>
      <c r="BZ14" s="359"/>
      <c r="CA14" s="359"/>
      <c r="CB14" s="359"/>
      <c r="CC14" s="359"/>
      <c r="CD14" s="359"/>
      <c r="CE14" s="359"/>
      <c r="CF14" s="359"/>
      <c r="CG14" s="359"/>
      <c r="CH14" s="359"/>
      <c r="CI14" s="359"/>
      <c r="CJ14" s="359"/>
      <c r="CK14" s="359"/>
      <c r="CL14" s="359"/>
      <c r="CM14" s="359"/>
      <c r="CN14" s="359"/>
      <c r="CO14" s="359"/>
      <c r="CP14" s="359"/>
      <c r="CQ14" s="359"/>
      <c r="CR14" s="359"/>
      <c r="CS14" s="359"/>
      <c r="CT14" s="359"/>
    </row>
    <row r="15">
      <c r="A15" s="305" t="s">
        <v>761</v>
      </c>
      <c r="B15" s="325" t="s">
        <v>1216</v>
      </c>
      <c r="C15" s="323" t="s">
        <v>799</v>
      </c>
      <c r="D15" s="324">
        <v>46289.0</v>
      </c>
      <c r="E15" s="429" t="s">
        <v>764</v>
      </c>
      <c r="F15" s="311" t="s">
        <v>695</v>
      </c>
      <c r="G15" s="312" t="s">
        <v>747</v>
      </c>
      <c r="H15" s="312" t="s">
        <v>654</v>
      </c>
      <c r="I15" s="312" t="s">
        <v>71</v>
      </c>
      <c r="J15" s="372" t="s">
        <v>751</v>
      </c>
      <c r="K15" s="314">
        <v>219185.81</v>
      </c>
      <c r="L15" s="317">
        <f t="shared" si="1"/>
        <v>0</v>
      </c>
      <c r="M15" s="317">
        <v>219185.81</v>
      </c>
      <c r="N15" s="317">
        <v>0.0</v>
      </c>
      <c r="O15" s="317">
        <v>0.0</v>
      </c>
      <c r="P15" s="317">
        <v>0.0</v>
      </c>
      <c r="Q15" s="317">
        <f t="shared" si="2"/>
        <v>219185.81</v>
      </c>
      <c r="R15" s="318"/>
      <c r="S15" s="317">
        <f t="shared" si="3"/>
        <v>219185.81</v>
      </c>
      <c r="T15" s="318"/>
      <c r="U15" s="642" t="s">
        <v>213</v>
      </c>
      <c r="V15" s="612">
        <v>1.525147627E7</v>
      </c>
      <c r="W15" s="359"/>
      <c r="X15" s="359"/>
      <c r="Y15" s="359"/>
      <c r="Z15" s="359"/>
      <c r="AA15" s="359"/>
      <c r="AB15" s="359"/>
      <c r="AC15" s="359"/>
      <c r="AD15" s="359"/>
      <c r="AE15" s="359"/>
      <c r="AF15" s="359"/>
      <c r="AG15" s="359"/>
      <c r="AH15" s="359"/>
      <c r="AI15" s="359"/>
      <c r="AJ15" s="359"/>
      <c r="AK15" s="359"/>
      <c r="AL15" s="359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  <c r="AY15" s="359"/>
      <c r="AZ15" s="359"/>
      <c r="BA15" s="359"/>
      <c r="BB15" s="359"/>
      <c r="BC15" s="359"/>
      <c r="BD15" s="359"/>
      <c r="BE15" s="359"/>
      <c r="BF15" s="359"/>
      <c r="BG15" s="359"/>
      <c r="BH15" s="359"/>
      <c r="BI15" s="359"/>
      <c r="BJ15" s="359"/>
      <c r="BK15" s="359"/>
      <c r="BL15" s="359"/>
      <c r="BM15" s="359"/>
      <c r="BN15" s="359"/>
      <c r="BO15" s="359"/>
      <c r="BP15" s="359"/>
      <c r="BQ15" s="359"/>
      <c r="BR15" s="359"/>
      <c r="BS15" s="359"/>
      <c r="BT15" s="359"/>
      <c r="BU15" s="359"/>
      <c r="BV15" s="359"/>
      <c r="BW15" s="359"/>
      <c r="BX15" s="359"/>
      <c r="BY15" s="359"/>
      <c r="BZ15" s="359"/>
      <c r="CA15" s="359"/>
      <c r="CB15" s="359"/>
      <c r="CC15" s="359"/>
      <c r="CD15" s="359"/>
      <c r="CE15" s="359"/>
      <c r="CF15" s="359"/>
      <c r="CG15" s="359"/>
      <c r="CH15" s="359"/>
      <c r="CI15" s="359"/>
      <c r="CJ15" s="359"/>
      <c r="CK15" s="359"/>
      <c r="CL15" s="359"/>
      <c r="CM15" s="359"/>
      <c r="CN15" s="359"/>
      <c r="CO15" s="359"/>
      <c r="CP15" s="359"/>
      <c r="CQ15" s="359"/>
      <c r="CR15" s="359"/>
      <c r="CS15" s="359"/>
      <c r="CT15" s="359"/>
    </row>
    <row r="16">
      <c r="A16" s="613" t="s">
        <v>761</v>
      </c>
      <c r="B16" s="614"/>
      <c r="C16" s="660" t="s">
        <v>790</v>
      </c>
      <c r="D16" s="661">
        <v>46289.0</v>
      </c>
      <c r="E16" s="662" t="s">
        <v>764</v>
      </c>
      <c r="F16" s="311" t="s">
        <v>1166</v>
      </c>
      <c r="G16" s="618" t="s">
        <v>747</v>
      </c>
      <c r="H16" s="618" t="s">
        <v>779</v>
      </c>
      <c r="I16" s="618" t="s">
        <v>71</v>
      </c>
      <c r="J16" s="619" t="s">
        <v>681</v>
      </c>
      <c r="K16" s="620">
        <v>631461.27</v>
      </c>
      <c r="L16" s="623">
        <f t="shared" si="1"/>
        <v>0</v>
      </c>
      <c r="M16" s="623">
        <f t="shared" ref="M16:M17" si="5">K16</f>
        <v>631461.27</v>
      </c>
      <c r="N16" s="625"/>
      <c r="O16" s="625"/>
      <c r="P16" s="625"/>
      <c r="Q16" s="623">
        <f t="shared" si="2"/>
        <v>631461.27</v>
      </c>
      <c r="R16" s="625"/>
      <c r="S16" s="623">
        <f t="shared" si="3"/>
        <v>631461.27</v>
      </c>
      <c r="T16" s="625"/>
      <c r="U16" s="626" t="s">
        <v>1228</v>
      </c>
      <c r="V16" s="627">
        <v>150128.0</v>
      </c>
      <c r="W16" s="628"/>
      <c r="X16" s="628"/>
      <c r="Y16" s="628"/>
      <c r="Z16" s="628"/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8"/>
      <c r="BO16" s="628"/>
      <c r="BP16" s="628"/>
      <c r="BQ16" s="628"/>
      <c r="BR16" s="628"/>
      <c r="BS16" s="628"/>
      <c r="BT16" s="628"/>
      <c r="BU16" s="628"/>
      <c r="BV16" s="628"/>
      <c r="BW16" s="628"/>
      <c r="BX16" s="628"/>
      <c r="BY16" s="628"/>
      <c r="BZ16" s="628"/>
      <c r="CA16" s="628"/>
      <c r="CB16" s="628"/>
      <c r="CC16" s="628"/>
      <c r="CD16" s="628"/>
      <c r="CE16" s="628"/>
      <c r="CF16" s="628"/>
      <c r="CG16" s="628"/>
      <c r="CH16" s="628"/>
      <c r="CI16" s="628"/>
      <c r="CJ16" s="628"/>
      <c r="CK16" s="628"/>
      <c r="CL16" s="628"/>
      <c r="CM16" s="628"/>
      <c r="CN16" s="628"/>
      <c r="CO16" s="628"/>
      <c r="CP16" s="628"/>
      <c r="CQ16" s="628"/>
      <c r="CR16" s="628"/>
      <c r="CS16" s="628"/>
      <c r="CT16" s="628"/>
    </row>
    <row r="17">
      <c r="A17" s="305" t="s">
        <v>761</v>
      </c>
      <c r="B17" s="306"/>
      <c r="C17" s="323" t="s">
        <v>1229</v>
      </c>
      <c r="D17" s="324">
        <v>46289.0</v>
      </c>
      <c r="E17" s="429" t="s">
        <v>764</v>
      </c>
      <c r="F17" s="311" t="s">
        <v>695</v>
      </c>
      <c r="G17" s="312" t="s">
        <v>747</v>
      </c>
      <c r="H17" s="312" t="s">
        <v>654</v>
      </c>
      <c r="I17" s="312" t="s">
        <v>71</v>
      </c>
      <c r="J17" s="372" t="s">
        <v>741</v>
      </c>
      <c r="K17" s="314">
        <v>1896713.0</v>
      </c>
      <c r="L17" s="317">
        <f t="shared" si="1"/>
        <v>0</v>
      </c>
      <c r="M17" s="317">
        <f t="shared" si="5"/>
        <v>1896713</v>
      </c>
      <c r="N17" s="317">
        <v>0.0</v>
      </c>
      <c r="O17" s="317">
        <v>0.0</v>
      </c>
      <c r="P17" s="317">
        <v>37934.26</v>
      </c>
      <c r="Q17" s="317">
        <f t="shared" si="2"/>
        <v>1858778.74</v>
      </c>
      <c r="R17" s="318"/>
      <c r="S17" s="317">
        <f t="shared" si="3"/>
        <v>1858778.74</v>
      </c>
      <c r="T17" s="318"/>
      <c r="U17" s="654" t="s">
        <v>419</v>
      </c>
      <c r="V17" s="612">
        <v>1.430717918E7</v>
      </c>
      <c r="W17" s="359"/>
      <c r="X17" s="359"/>
      <c r="Y17" s="359"/>
      <c r="Z17" s="359"/>
      <c r="AA17" s="359"/>
      <c r="AB17" s="359"/>
      <c r="AC17" s="359"/>
      <c r="AD17" s="359"/>
      <c r="AE17" s="359"/>
      <c r="AF17" s="359"/>
      <c r="AG17" s="359"/>
      <c r="AH17" s="359"/>
      <c r="AI17" s="359"/>
      <c r="AJ17" s="359"/>
      <c r="AK17" s="359"/>
      <c r="AL17" s="359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  <c r="AY17" s="359"/>
      <c r="AZ17" s="359"/>
      <c r="BA17" s="359"/>
      <c r="BB17" s="359"/>
      <c r="BC17" s="359"/>
      <c r="BD17" s="359"/>
      <c r="BE17" s="359"/>
      <c r="BF17" s="359"/>
      <c r="BG17" s="359"/>
      <c r="BH17" s="359"/>
      <c r="BI17" s="359"/>
      <c r="BJ17" s="359"/>
      <c r="BK17" s="359"/>
      <c r="BL17" s="359"/>
      <c r="BM17" s="359"/>
      <c r="BN17" s="359"/>
      <c r="BO17" s="359"/>
      <c r="BP17" s="359"/>
      <c r="BQ17" s="359"/>
      <c r="BR17" s="359"/>
      <c r="BS17" s="359"/>
      <c r="BT17" s="359"/>
      <c r="BU17" s="359"/>
      <c r="BV17" s="359"/>
      <c r="BW17" s="359"/>
      <c r="BX17" s="359"/>
      <c r="BY17" s="359"/>
      <c r="BZ17" s="359"/>
      <c r="CA17" s="359"/>
      <c r="CB17" s="359"/>
      <c r="CC17" s="359"/>
      <c r="CD17" s="359"/>
      <c r="CE17" s="359"/>
      <c r="CF17" s="359"/>
      <c r="CG17" s="359"/>
      <c r="CH17" s="359"/>
      <c r="CI17" s="359"/>
      <c r="CJ17" s="359"/>
      <c r="CK17" s="359"/>
      <c r="CL17" s="359"/>
      <c r="CM17" s="359"/>
      <c r="CN17" s="359"/>
      <c r="CO17" s="359"/>
      <c r="CP17" s="359"/>
      <c r="CQ17" s="359"/>
      <c r="CR17" s="359"/>
      <c r="CS17" s="359"/>
      <c r="CT17" s="359"/>
    </row>
    <row r="18">
      <c r="A18" s="305" t="s">
        <v>822</v>
      </c>
      <c r="B18" s="306"/>
      <c r="C18" s="306"/>
      <c r="D18" s="307"/>
      <c r="E18" s="321"/>
      <c r="F18" s="311" t="s">
        <v>695</v>
      </c>
      <c r="G18" s="312" t="s">
        <v>697</v>
      </c>
      <c r="H18" s="411" t="s">
        <v>0</v>
      </c>
      <c r="I18" s="312" t="s">
        <v>161</v>
      </c>
      <c r="J18" s="372" t="s">
        <v>320</v>
      </c>
      <c r="K18" s="314">
        <v>1259122.43</v>
      </c>
      <c r="L18" s="317">
        <f t="shared" si="1"/>
        <v>0</v>
      </c>
      <c r="M18" s="317">
        <v>1259122.43</v>
      </c>
      <c r="N18" s="318"/>
      <c r="O18" s="318"/>
      <c r="P18" s="318"/>
      <c r="Q18" s="317">
        <f t="shared" si="2"/>
        <v>1259122.43</v>
      </c>
      <c r="R18" s="318"/>
      <c r="S18" s="317">
        <f t="shared" si="3"/>
        <v>1259122.43</v>
      </c>
      <c r="T18" s="318"/>
      <c r="U18" s="642" t="s">
        <v>293</v>
      </c>
      <c r="V18" s="612">
        <v>3549719.76</v>
      </c>
      <c r="W18" s="359"/>
      <c r="X18" s="359"/>
      <c r="Y18" s="359"/>
      <c r="Z18" s="359"/>
      <c r="AA18" s="359"/>
      <c r="AB18" s="359"/>
      <c r="AC18" s="359"/>
      <c r="AD18" s="359"/>
      <c r="AE18" s="359"/>
      <c r="AF18" s="359"/>
      <c r="AG18" s="359"/>
      <c r="AH18" s="359"/>
      <c r="AI18" s="359"/>
      <c r="AJ18" s="359"/>
      <c r="AK18" s="359"/>
      <c r="AL18" s="359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  <c r="AZ18" s="359"/>
      <c r="BA18" s="359"/>
      <c r="BB18" s="359"/>
      <c r="BC18" s="359"/>
      <c r="BD18" s="359"/>
      <c r="BE18" s="359"/>
      <c r="BF18" s="359"/>
      <c r="BG18" s="359"/>
      <c r="BH18" s="359"/>
      <c r="BI18" s="359"/>
      <c r="BJ18" s="359"/>
      <c r="BK18" s="359"/>
      <c r="BL18" s="359"/>
      <c r="BM18" s="359"/>
      <c r="BN18" s="359"/>
      <c r="BO18" s="359"/>
      <c r="BP18" s="359"/>
      <c r="BQ18" s="359"/>
      <c r="BR18" s="359"/>
      <c r="BS18" s="359"/>
      <c r="BT18" s="359"/>
      <c r="BU18" s="359"/>
      <c r="BV18" s="359"/>
      <c r="BW18" s="359"/>
      <c r="BX18" s="359"/>
      <c r="BY18" s="359"/>
      <c r="BZ18" s="359"/>
      <c r="CA18" s="359"/>
      <c r="CB18" s="359"/>
      <c r="CC18" s="359"/>
      <c r="CD18" s="359"/>
      <c r="CE18" s="359"/>
      <c r="CF18" s="359"/>
      <c r="CG18" s="359"/>
      <c r="CH18" s="359"/>
      <c r="CI18" s="359"/>
      <c r="CJ18" s="359"/>
      <c r="CK18" s="359"/>
      <c r="CL18" s="359"/>
      <c r="CM18" s="359"/>
      <c r="CN18" s="359"/>
      <c r="CO18" s="359"/>
      <c r="CP18" s="359"/>
      <c r="CQ18" s="359"/>
      <c r="CR18" s="359"/>
      <c r="CS18" s="359"/>
      <c r="CT18" s="359"/>
    </row>
    <row r="19">
      <c r="A19" s="305" t="s">
        <v>683</v>
      </c>
      <c r="B19" s="306"/>
      <c r="C19" s="306"/>
      <c r="D19" s="307"/>
      <c r="E19" s="429" t="s">
        <v>721</v>
      </c>
      <c r="F19" s="311" t="s">
        <v>695</v>
      </c>
      <c r="G19" s="312" t="s">
        <v>697</v>
      </c>
      <c r="H19" s="312" t="s">
        <v>830</v>
      </c>
      <c r="I19" s="312" t="s">
        <v>161</v>
      </c>
      <c r="J19" s="372" t="s">
        <v>832</v>
      </c>
      <c r="K19" s="314">
        <v>1212922.33</v>
      </c>
      <c r="L19" s="317">
        <f t="shared" si="1"/>
        <v>0</v>
      </c>
      <c r="M19" s="317">
        <f t="shared" ref="M19:M26" si="6">K19</f>
        <v>1212922.33</v>
      </c>
      <c r="N19" s="318"/>
      <c r="O19" s="318"/>
      <c r="P19" s="318"/>
      <c r="Q19" s="317">
        <f t="shared" si="2"/>
        <v>1212922.33</v>
      </c>
      <c r="R19" s="318"/>
      <c r="S19" s="317">
        <f t="shared" si="3"/>
        <v>1212922.33</v>
      </c>
      <c r="T19" s="318"/>
      <c r="U19" s="642" t="s">
        <v>1074</v>
      </c>
      <c r="V19" s="612">
        <v>1470000.0</v>
      </c>
      <c r="W19" s="359"/>
      <c r="X19" s="359"/>
      <c r="Y19" s="359"/>
      <c r="Z19" s="359"/>
      <c r="AA19" s="359"/>
      <c r="AB19" s="359"/>
      <c r="AC19" s="359"/>
      <c r="AD19" s="359"/>
      <c r="AE19" s="359"/>
      <c r="AF19" s="359"/>
      <c r="AG19" s="359"/>
      <c r="AH19" s="359"/>
      <c r="AI19" s="359"/>
      <c r="AJ19" s="359"/>
      <c r="AK19" s="359"/>
      <c r="AL19" s="359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  <c r="AZ19" s="359"/>
      <c r="BA19" s="359"/>
      <c r="BB19" s="359"/>
      <c r="BC19" s="359"/>
      <c r="BD19" s="359"/>
      <c r="BE19" s="359"/>
      <c r="BF19" s="359"/>
      <c r="BG19" s="359"/>
      <c r="BH19" s="359"/>
      <c r="BI19" s="359"/>
      <c r="BJ19" s="359"/>
      <c r="BK19" s="359"/>
      <c r="BL19" s="359"/>
      <c r="BM19" s="359"/>
      <c r="BN19" s="359"/>
      <c r="BO19" s="359"/>
      <c r="BP19" s="359"/>
      <c r="BQ19" s="359"/>
      <c r="BR19" s="359"/>
      <c r="BS19" s="359"/>
      <c r="BT19" s="359"/>
      <c r="BU19" s="359"/>
      <c r="BV19" s="359"/>
      <c r="BW19" s="359"/>
      <c r="BX19" s="359"/>
      <c r="BY19" s="359"/>
      <c r="BZ19" s="359"/>
      <c r="CA19" s="359"/>
      <c r="CB19" s="359"/>
      <c r="CC19" s="359"/>
      <c r="CD19" s="359"/>
      <c r="CE19" s="359"/>
      <c r="CF19" s="359"/>
      <c r="CG19" s="359"/>
      <c r="CH19" s="359"/>
      <c r="CI19" s="359"/>
      <c r="CJ19" s="359"/>
      <c r="CK19" s="359"/>
      <c r="CL19" s="359"/>
      <c r="CM19" s="359"/>
      <c r="CN19" s="359"/>
      <c r="CO19" s="359"/>
      <c r="CP19" s="359"/>
      <c r="CQ19" s="359"/>
      <c r="CR19" s="359"/>
      <c r="CS19" s="359"/>
      <c r="CT19" s="359"/>
    </row>
    <row r="20">
      <c r="A20" s="305" t="s">
        <v>836</v>
      </c>
      <c r="B20" s="306"/>
      <c r="C20" s="306"/>
      <c r="D20" s="307"/>
      <c r="E20" s="321"/>
      <c r="F20" s="311" t="s">
        <v>695</v>
      </c>
      <c r="G20" s="312" t="s">
        <v>697</v>
      </c>
      <c r="H20" s="312" t="s">
        <v>839</v>
      </c>
      <c r="I20" s="312" t="s">
        <v>840</v>
      </c>
      <c r="J20" s="372" t="s">
        <v>841</v>
      </c>
      <c r="K20" s="314">
        <v>2033716.2</v>
      </c>
      <c r="L20" s="317">
        <f t="shared" si="1"/>
        <v>0</v>
      </c>
      <c r="M20" s="317">
        <f t="shared" si="6"/>
        <v>2033716.2</v>
      </c>
      <c r="N20" s="318"/>
      <c r="O20" s="318"/>
      <c r="P20" s="318"/>
      <c r="Q20" s="317">
        <f t="shared" si="2"/>
        <v>2033716.2</v>
      </c>
      <c r="R20" s="318"/>
      <c r="S20" s="317">
        <f t="shared" si="3"/>
        <v>2033716.2</v>
      </c>
      <c r="T20" s="306"/>
      <c r="U20" s="642" t="s">
        <v>1235</v>
      </c>
      <c r="V20" s="612">
        <v>4176240.0</v>
      </c>
      <c r="W20" s="359"/>
      <c r="X20" s="359"/>
      <c r="Y20" s="359"/>
      <c r="Z20" s="359"/>
      <c r="AA20" s="359"/>
      <c r="AB20" s="359"/>
      <c r="AC20" s="359"/>
      <c r="AD20" s="359"/>
      <c r="AE20" s="359"/>
      <c r="AF20" s="359"/>
      <c r="AG20" s="359"/>
      <c r="AH20" s="359"/>
      <c r="AI20" s="359"/>
      <c r="AJ20" s="359"/>
      <c r="AK20" s="359"/>
      <c r="AL20" s="359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  <c r="AZ20" s="359"/>
      <c r="BA20" s="359"/>
      <c r="BB20" s="359"/>
      <c r="BC20" s="359"/>
      <c r="BD20" s="359"/>
      <c r="BE20" s="359"/>
      <c r="BF20" s="359"/>
      <c r="BG20" s="359"/>
      <c r="BH20" s="359"/>
      <c r="BI20" s="359"/>
      <c r="BJ20" s="359"/>
      <c r="BK20" s="359"/>
      <c r="BL20" s="359"/>
      <c r="BM20" s="359"/>
      <c r="BN20" s="359"/>
      <c r="BO20" s="359"/>
      <c r="BP20" s="359"/>
      <c r="BQ20" s="359"/>
      <c r="BR20" s="359"/>
      <c r="BS20" s="359"/>
      <c r="BT20" s="359"/>
      <c r="BU20" s="359"/>
      <c r="BV20" s="359"/>
      <c r="BW20" s="359"/>
      <c r="BX20" s="359"/>
      <c r="BY20" s="359"/>
      <c r="BZ20" s="359"/>
      <c r="CA20" s="359"/>
      <c r="CB20" s="359"/>
      <c r="CC20" s="359"/>
      <c r="CD20" s="359"/>
      <c r="CE20" s="359"/>
      <c r="CF20" s="359"/>
      <c r="CG20" s="359"/>
      <c r="CH20" s="359"/>
      <c r="CI20" s="359"/>
      <c r="CJ20" s="359"/>
      <c r="CK20" s="359"/>
      <c r="CL20" s="359"/>
      <c r="CM20" s="359"/>
      <c r="CN20" s="359"/>
      <c r="CO20" s="359"/>
      <c r="CP20" s="359"/>
      <c r="CQ20" s="359"/>
      <c r="CR20" s="359"/>
      <c r="CS20" s="359"/>
      <c r="CT20" s="359"/>
    </row>
    <row r="21">
      <c r="A21" s="305" t="s">
        <v>836</v>
      </c>
      <c r="B21" s="306"/>
      <c r="C21" s="306"/>
      <c r="D21" s="307"/>
      <c r="E21" s="321"/>
      <c r="F21" s="311" t="s">
        <v>695</v>
      </c>
      <c r="G21" s="312" t="s">
        <v>844</v>
      </c>
      <c r="H21" s="312" t="s">
        <v>839</v>
      </c>
      <c r="I21" s="312" t="s">
        <v>840</v>
      </c>
      <c r="J21" s="372" t="s">
        <v>845</v>
      </c>
      <c r="K21" s="314">
        <v>52707.16</v>
      </c>
      <c r="L21" s="317">
        <f t="shared" si="1"/>
        <v>0</v>
      </c>
      <c r="M21" s="317">
        <f t="shared" si="6"/>
        <v>52707.16</v>
      </c>
      <c r="N21" s="318"/>
      <c r="O21" s="318"/>
      <c r="P21" s="318"/>
      <c r="Q21" s="317">
        <f t="shared" si="2"/>
        <v>52707.16</v>
      </c>
      <c r="R21" s="318"/>
      <c r="S21" s="317">
        <f t="shared" si="3"/>
        <v>52707.16</v>
      </c>
      <c r="T21" s="306"/>
      <c r="U21" s="642" t="s">
        <v>1237</v>
      </c>
      <c r="V21" s="612">
        <v>9313181.89</v>
      </c>
      <c r="W21" s="359"/>
      <c r="X21" s="359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59"/>
      <c r="AK21" s="359"/>
      <c r="AL21" s="359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  <c r="AZ21" s="359"/>
      <c r="BA21" s="359"/>
      <c r="BB21" s="359"/>
      <c r="BC21" s="359"/>
      <c r="BD21" s="359"/>
      <c r="BE21" s="359"/>
      <c r="BF21" s="359"/>
      <c r="BG21" s="359"/>
      <c r="BH21" s="359"/>
      <c r="BI21" s="359"/>
      <c r="BJ21" s="359"/>
      <c r="BK21" s="359"/>
      <c r="BL21" s="359"/>
      <c r="BM21" s="359"/>
      <c r="BN21" s="359"/>
      <c r="BO21" s="359"/>
      <c r="BP21" s="359"/>
      <c r="BQ21" s="359"/>
      <c r="BR21" s="359"/>
      <c r="BS21" s="359"/>
      <c r="BT21" s="359"/>
      <c r="BU21" s="359"/>
      <c r="BV21" s="359"/>
      <c r="BW21" s="359"/>
      <c r="BX21" s="359"/>
      <c r="BY21" s="359"/>
      <c r="BZ21" s="359"/>
      <c r="CA21" s="359"/>
      <c r="CB21" s="359"/>
      <c r="CC21" s="359"/>
      <c r="CD21" s="359"/>
      <c r="CE21" s="359"/>
      <c r="CF21" s="359"/>
      <c r="CG21" s="359"/>
      <c r="CH21" s="359"/>
      <c r="CI21" s="359"/>
      <c r="CJ21" s="359"/>
      <c r="CK21" s="359"/>
      <c r="CL21" s="359"/>
      <c r="CM21" s="359"/>
      <c r="CN21" s="359"/>
      <c r="CO21" s="359"/>
      <c r="CP21" s="359"/>
      <c r="CQ21" s="359"/>
      <c r="CR21" s="359"/>
      <c r="CS21" s="359"/>
      <c r="CT21" s="359"/>
    </row>
    <row r="22">
      <c r="A22" s="305" t="s">
        <v>761</v>
      </c>
      <c r="B22" s="306"/>
      <c r="C22" s="345"/>
      <c r="D22" s="324">
        <v>46286.0</v>
      </c>
      <c r="E22" s="406" t="s">
        <v>764</v>
      </c>
      <c r="F22" s="311" t="s">
        <v>695</v>
      </c>
      <c r="G22" s="312" t="s">
        <v>697</v>
      </c>
      <c r="H22" s="312" t="s">
        <v>854</v>
      </c>
      <c r="I22" s="312" t="s">
        <v>71</v>
      </c>
      <c r="J22" s="372" t="s">
        <v>855</v>
      </c>
      <c r="K22" s="314">
        <v>2193548.09</v>
      </c>
      <c r="L22" s="317">
        <f t="shared" si="1"/>
        <v>0</v>
      </c>
      <c r="M22" s="317">
        <f t="shared" si="6"/>
        <v>2193548.09</v>
      </c>
      <c r="N22" s="318"/>
      <c r="O22" s="318"/>
      <c r="P22" s="318"/>
      <c r="Q22" s="317">
        <f t="shared" si="2"/>
        <v>2193548.09</v>
      </c>
      <c r="R22" s="318"/>
      <c r="S22" s="317">
        <f t="shared" si="3"/>
        <v>2193548.09</v>
      </c>
      <c r="T22" s="318"/>
      <c r="U22" s="642" t="s">
        <v>1241</v>
      </c>
      <c r="V22" s="612">
        <v>3120841.15</v>
      </c>
      <c r="W22" s="359"/>
      <c r="X22" s="359"/>
      <c r="Y22" s="359"/>
      <c r="Z22" s="359"/>
      <c r="AA22" s="359"/>
      <c r="AB22" s="359"/>
      <c r="AC22" s="359"/>
      <c r="AD22" s="359"/>
      <c r="AE22" s="359"/>
      <c r="AF22" s="359"/>
      <c r="AG22" s="359"/>
      <c r="AH22" s="359"/>
      <c r="AI22" s="359"/>
      <c r="AJ22" s="359"/>
      <c r="AK22" s="359"/>
      <c r="AL22" s="359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  <c r="AZ22" s="359"/>
      <c r="BA22" s="359"/>
      <c r="BB22" s="359"/>
      <c r="BC22" s="359"/>
      <c r="BD22" s="359"/>
      <c r="BE22" s="359"/>
      <c r="BF22" s="359"/>
      <c r="BG22" s="359"/>
      <c r="BH22" s="359"/>
      <c r="BI22" s="359"/>
      <c r="BJ22" s="359"/>
      <c r="BK22" s="359"/>
      <c r="BL22" s="359"/>
      <c r="BM22" s="359"/>
      <c r="BN22" s="359"/>
      <c r="BO22" s="359"/>
      <c r="BP22" s="359"/>
      <c r="BQ22" s="359"/>
      <c r="BR22" s="359"/>
      <c r="BS22" s="359"/>
      <c r="BT22" s="359"/>
      <c r="BU22" s="359"/>
      <c r="BV22" s="359"/>
      <c r="BW22" s="359"/>
      <c r="BX22" s="359"/>
      <c r="BY22" s="359"/>
      <c r="BZ22" s="359"/>
      <c r="CA22" s="359"/>
      <c r="CB22" s="359"/>
      <c r="CC22" s="359"/>
      <c r="CD22" s="359"/>
      <c r="CE22" s="359"/>
      <c r="CF22" s="359"/>
      <c r="CG22" s="359"/>
      <c r="CH22" s="359"/>
      <c r="CI22" s="359"/>
      <c r="CJ22" s="359"/>
      <c r="CK22" s="359"/>
      <c r="CL22" s="359"/>
      <c r="CM22" s="359"/>
      <c r="CN22" s="359"/>
      <c r="CO22" s="359"/>
      <c r="CP22" s="359"/>
      <c r="CQ22" s="359"/>
      <c r="CR22" s="359"/>
      <c r="CS22" s="359"/>
      <c r="CT22" s="359"/>
    </row>
    <row r="23">
      <c r="A23" s="613" t="s">
        <v>761</v>
      </c>
      <c r="B23" s="614"/>
      <c r="C23" s="665"/>
      <c r="D23" s="661">
        <v>46296.0</v>
      </c>
      <c r="E23" s="666" t="s">
        <v>764</v>
      </c>
      <c r="F23" s="311" t="s">
        <v>1166</v>
      </c>
      <c r="G23" s="618" t="s">
        <v>747</v>
      </c>
      <c r="H23" s="618" t="s">
        <v>854</v>
      </c>
      <c r="I23" s="618" t="s">
        <v>71</v>
      </c>
      <c r="J23" s="619" t="s">
        <v>862</v>
      </c>
      <c r="K23" s="620">
        <v>9540196.6</v>
      </c>
      <c r="L23" s="623">
        <f t="shared" si="1"/>
        <v>0</v>
      </c>
      <c r="M23" s="623">
        <f t="shared" si="6"/>
        <v>9540196.6</v>
      </c>
      <c r="N23" s="623">
        <v>6918931.04</v>
      </c>
      <c r="O23" s="625"/>
      <c r="P23" s="623">
        <v>477009.83</v>
      </c>
      <c r="Q23" s="623">
        <f t="shared" si="2"/>
        <v>2144255.73</v>
      </c>
      <c r="R23" s="625"/>
      <c r="S23" s="623">
        <f t="shared" si="3"/>
        <v>2144255.73</v>
      </c>
      <c r="T23" s="625"/>
      <c r="U23" s="626" t="s">
        <v>1028</v>
      </c>
      <c r="V23" s="627">
        <v>1.9253401130000003E7</v>
      </c>
      <c r="W23" s="628"/>
      <c r="X23" s="628"/>
      <c r="Y23" s="628"/>
      <c r="Z23" s="628"/>
      <c r="AA23" s="628"/>
      <c r="AB23" s="628"/>
      <c r="AC23" s="628"/>
      <c r="AD23" s="628"/>
      <c r="AE23" s="628"/>
      <c r="AF23" s="628"/>
      <c r="AG23" s="628"/>
      <c r="AH23" s="628"/>
      <c r="AI23" s="628"/>
      <c r="AJ23" s="628"/>
      <c r="AK23" s="628"/>
      <c r="AL23" s="628"/>
      <c r="AM23" s="628"/>
      <c r="AN23" s="628"/>
      <c r="AO23" s="628"/>
      <c r="AP23" s="628"/>
      <c r="AQ23" s="628"/>
      <c r="AR23" s="628"/>
      <c r="AS23" s="628"/>
      <c r="AT23" s="628"/>
      <c r="AU23" s="628"/>
      <c r="AV23" s="628"/>
      <c r="AW23" s="628"/>
      <c r="AX23" s="628"/>
      <c r="AY23" s="628"/>
      <c r="AZ23" s="628"/>
      <c r="BA23" s="628"/>
      <c r="BB23" s="628"/>
      <c r="BC23" s="628"/>
      <c r="BD23" s="628"/>
      <c r="BE23" s="628"/>
      <c r="BF23" s="628"/>
      <c r="BG23" s="628"/>
      <c r="BH23" s="628"/>
      <c r="BI23" s="628"/>
      <c r="BJ23" s="628"/>
      <c r="BK23" s="628"/>
      <c r="BL23" s="628"/>
      <c r="BM23" s="628"/>
      <c r="BN23" s="628"/>
      <c r="BO23" s="628"/>
      <c r="BP23" s="628"/>
      <c r="BQ23" s="628"/>
      <c r="BR23" s="628"/>
      <c r="BS23" s="628"/>
      <c r="BT23" s="628"/>
      <c r="BU23" s="628"/>
      <c r="BV23" s="628"/>
      <c r="BW23" s="628"/>
      <c r="BX23" s="628"/>
      <c r="BY23" s="628"/>
      <c r="BZ23" s="628"/>
      <c r="CA23" s="628"/>
      <c r="CB23" s="628"/>
      <c r="CC23" s="628"/>
      <c r="CD23" s="628"/>
      <c r="CE23" s="628"/>
      <c r="CF23" s="628"/>
      <c r="CG23" s="628"/>
      <c r="CH23" s="628"/>
      <c r="CI23" s="628"/>
      <c r="CJ23" s="628"/>
      <c r="CK23" s="628"/>
      <c r="CL23" s="628"/>
      <c r="CM23" s="628"/>
      <c r="CN23" s="628"/>
      <c r="CO23" s="628"/>
      <c r="CP23" s="628"/>
      <c r="CQ23" s="628"/>
      <c r="CR23" s="628"/>
      <c r="CS23" s="628"/>
      <c r="CT23" s="628"/>
    </row>
    <row r="24">
      <c r="A24" s="305" t="s">
        <v>761</v>
      </c>
      <c r="B24" s="306"/>
      <c r="C24" s="345"/>
      <c r="D24" s="324">
        <v>46286.0</v>
      </c>
      <c r="E24" s="429" t="s">
        <v>764</v>
      </c>
      <c r="F24" s="311" t="s">
        <v>695</v>
      </c>
      <c r="G24" s="312" t="s">
        <v>697</v>
      </c>
      <c r="H24" s="312" t="s">
        <v>869</v>
      </c>
      <c r="I24" s="312" t="s">
        <v>102</v>
      </c>
      <c r="J24" s="372" t="s">
        <v>796</v>
      </c>
      <c r="K24" s="314">
        <v>842891.49</v>
      </c>
      <c r="L24" s="317">
        <f t="shared" si="1"/>
        <v>0</v>
      </c>
      <c r="M24" s="317">
        <f t="shared" si="6"/>
        <v>842891.49</v>
      </c>
      <c r="N24" s="318"/>
      <c r="O24" s="318"/>
      <c r="P24" s="318"/>
      <c r="Q24" s="317">
        <f t="shared" si="2"/>
        <v>842891.49</v>
      </c>
      <c r="R24" s="318"/>
      <c r="S24" s="317">
        <f t="shared" si="3"/>
        <v>842891.49</v>
      </c>
      <c r="T24" s="318"/>
      <c r="U24" s="654" t="s">
        <v>237</v>
      </c>
      <c r="V24" s="612">
        <v>1.036939022E7</v>
      </c>
      <c r="W24" s="359"/>
      <c r="X24" s="359"/>
      <c r="Y24" s="359"/>
      <c r="Z24" s="359"/>
      <c r="AA24" s="359"/>
      <c r="AB24" s="359"/>
      <c r="AC24" s="359"/>
      <c r="AD24" s="359"/>
      <c r="AE24" s="359"/>
      <c r="AF24" s="359"/>
      <c r="AG24" s="359"/>
      <c r="AH24" s="359"/>
      <c r="AI24" s="359"/>
      <c r="AJ24" s="359"/>
      <c r="AK24" s="359"/>
      <c r="AL24" s="359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  <c r="AZ24" s="359"/>
      <c r="BA24" s="359"/>
      <c r="BB24" s="359"/>
      <c r="BC24" s="359"/>
      <c r="BD24" s="359"/>
      <c r="BE24" s="359"/>
      <c r="BF24" s="359"/>
      <c r="BG24" s="359"/>
      <c r="BH24" s="359"/>
      <c r="BI24" s="359"/>
      <c r="BJ24" s="359"/>
      <c r="BK24" s="359"/>
      <c r="BL24" s="359"/>
      <c r="BM24" s="359"/>
      <c r="BN24" s="359"/>
      <c r="BO24" s="359"/>
      <c r="BP24" s="359"/>
      <c r="BQ24" s="359"/>
      <c r="BR24" s="359"/>
      <c r="BS24" s="359"/>
      <c r="BT24" s="359"/>
      <c r="BU24" s="359"/>
      <c r="BV24" s="359"/>
      <c r="BW24" s="359"/>
      <c r="BX24" s="359"/>
      <c r="BY24" s="359"/>
      <c r="BZ24" s="359"/>
      <c r="CA24" s="359"/>
      <c r="CB24" s="359"/>
      <c r="CC24" s="359"/>
      <c r="CD24" s="359"/>
      <c r="CE24" s="359"/>
      <c r="CF24" s="359"/>
      <c r="CG24" s="359"/>
      <c r="CH24" s="359"/>
      <c r="CI24" s="359"/>
      <c r="CJ24" s="359"/>
      <c r="CK24" s="359"/>
      <c r="CL24" s="359"/>
      <c r="CM24" s="359"/>
      <c r="CN24" s="359"/>
      <c r="CO24" s="359"/>
      <c r="CP24" s="359"/>
      <c r="CQ24" s="359"/>
      <c r="CR24" s="359"/>
      <c r="CS24" s="359"/>
      <c r="CT24" s="359"/>
    </row>
    <row r="25">
      <c r="A25" s="613" t="s">
        <v>761</v>
      </c>
      <c r="B25" s="668" t="s">
        <v>1245</v>
      </c>
      <c r="C25" s="669" t="s">
        <v>1246</v>
      </c>
      <c r="D25" s="661">
        <v>46231.0</v>
      </c>
      <c r="E25" s="666" t="s">
        <v>764</v>
      </c>
      <c r="F25" s="311" t="s">
        <v>1166</v>
      </c>
      <c r="G25" s="618" t="s">
        <v>697</v>
      </c>
      <c r="H25" s="618" t="s">
        <v>213</v>
      </c>
      <c r="I25" s="618" t="s">
        <v>102</v>
      </c>
      <c r="J25" s="619" t="s">
        <v>905</v>
      </c>
      <c r="K25" s="620">
        <v>6820372.26</v>
      </c>
      <c r="L25" s="623">
        <f t="shared" si="1"/>
        <v>0</v>
      </c>
      <c r="M25" s="623">
        <f t="shared" si="6"/>
        <v>6820372.26</v>
      </c>
      <c r="N25" s="625"/>
      <c r="O25" s="625"/>
      <c r="P25" s="625"/>
      <c r="Q25" s="623">
        <f t="shared" si="2"/>
        <v>6820372.26</v>
      </c>
      <c r="R25" s="625"/>
      <c r="S25" s="623">
        <f t="shared" si="3"/>
        <v>6820372.26</v>
      </c>
      <c r="T25" s="625"/>
      <c r="U25" s="626" t="s">
        <v>811</v>
      </c>
      <c r="V25" s="627">
        <v>1113784.17</v>
      </c>
      <c r="W25" s="628"/>
      <c r="X25" s="628"/>
      <c r="Y25" s="628"/>
      <c r="Z25" s="628"/>
      <c r="AA25" s="628"/>
      <c r="AB25" s="628"/>
      <c r="AC25" s="628"/>
      <c r="AD25" s="628"/>
      <c r="AE25" s="628"/>
      <c r="AF25" s="628"/>
      <c r="AG25" s="628"/>
      <c r="AH25" s="628"/>
      <c r="AI25" s="628"/>
      <c r="AJ25" s="628"/>
      <c r="AK25" s="628"/>
      <c r="AL25" s="628"/>
      <c r="AM25" s="628"/>
      <c r="AN25" s="628"/>
      <c r="AO25" s="628"/>
      <c r="AP25" s="628"/>
      <c r="AQ25" s="628"/>
      <c r="AR25" s="628"/>
      <c r="AS25" s="628"/>
      <c r="AT25" s="628"/>
      <c r="AU25" s="628"/>
      <c r="AV25" s="628"/>
      <c r="AW25" s="628"/>
      <c r="AX25" s="628"/>
      <c r="AY25" s="628"/>
      <c r="AZ25" s="628"/>
      <c r="BA25" s="628"/>
      <c r="BB25" s="628"/>
      <c r="BC25" s="628"/>
      <c r="BD25" s="628"/>
      <c r="BE25" s="628"/>
      <c r="BF25" s="628"/>
      <c r="BG25" s="628"/>
      <c r="BH25" s="628"/>
      <c r="BI25" s="628"/>
      <c r="BJ25" s="628"/>
      <c r="BK25" s="628"/>
      <c r="BL25" s="628"/>
      <c r="BM25" s="628"/>
      <c r="BN25" s="628"/>
      <c r="BO25" s="628"/>
      <c r="BP25" s="628"/>
      <c r="BQ25" s="628"/>
      <c r="BR25" s="628"/>
      <c r="BS25" s="628"/>
      <c r="BT25" s="628"/>
      <c r="BU25" s="628"/>
      <c r="BV25" s="628"/>
      <c r="BW25" s="628"/>
      <c r="BX25" s="628"/>
      <c r="BY25" s="628"/>
      <c r="BZ25" s="628"/>
      <c r="CA25" s="628"/>
      <c r="CB25" s="628"/>
      <c r="CC25" s="628"/>
      <c r="CD25" s="628"/>
      <c r="CE25" s="628"/>
      <c r="CF25" s="628"/>
      <c r="CG25" s="628"/>
      <c r="CH25" s="628"/>
      <c r="CI25" s="628"/>
      <c r="CJ25" s="628"/>
      <c r="CK25" s="628"/>
      <c r="CL25" s="628"/>
      <c r="CM25" s="628"/>
      <c r="CN25" s="628"/>
      <c r="CO25" s="628"/>
      <c r="CP25" s="628"/>
      <c r="CQ25" s="628"/>
      <c r="CR25" s="628"/>
      <c r="CS25" s="628"/>
      <c r="CT25" s="628"/>
    </row>
    <row r="26">
      <c r="A26" s="613" t="s">
        <v>761</v>
      </c>
      <c r="B26" s="614"/>
      <c r="C26" s="670" t="s">
        <v>1247</v>
      </c>
      <c r="D26" s="661">
        <v>46287.0</v>
      </c>
      <c r="E26" s="666" t="s">
        <v>764</v>
      </c>
      <c r="F26" s="311" t="s">
        <v>1166</v>
      </c>
      <c r="G26" s="618" t="s">
        <v>697</v>
      </c>
      <c r="H26" s="618" t="s">
        <v>213</v>
      </c>
      <c r="I26" s="618" t="s">
        <v>102</v>
      </c>
      <c r="J26" s="619" t="s">
        <v>887</v>
      </c>
      <c r="K26" s="620">
        <v>3410186.1</v>
      </c>
      <c r="L26" s="623">
        <f t="shared" si="1"/>
        <v>0</v>
      </c>
      <c r="M26" s="623">
        <f t="shared" si="6"/>
        <v>3410186.1</v>
      </c>
      <c r="N26" s="625"/>
      <c r="O26" s="625"/>
      <c r="P26" s="625"/>
      <c r="Q26" s="623">
        <f t="shared" si="2"/>
        <v>3410186.1</v>
      </c>
      <c r="R26" s="625"/>
      <c r="S26" s="623">
        <f t="shared" si="3"/>
        <v>3410186.1</v>
      </c>
      <c r="T26" s="625"/>
      <c r="U26" s="626" t="s">
        <v>252</v>
      </c>
      <c r="V26" s="627">
        <v>1267972.08</v>
      </c>
      <c r="W26" s="628"/>
      <c r="X26" s="628"/>
      <c r="Y26" s="628"/>
      <c r="Z26" s="628"/>
      <c r="AA26" s="628"/>
      <c r="AB26" s="628"/>
      <c r="AC26" s="628"/>
      <c r="AD26" s="628"/>
      <c r="AE26" s="628"/>
      <c r="AF26" s="628"/>
      <c r="AG26" s="628"/>
      <c r="AH26" s="628"/>
      <c r="AI26" s="628"/>
      <c r="AJ26" s="628"/>
      <c r="AK26" s="628"/>
      <c r="AL26" s="628"/>
      <c r="AM26" s="628"/>
      <c r="AN26" s="628"/>
      <c r="AO26" s="628"/>
      <c r="AP26" s="628"/>
      <c r="AQ26" s="628"/>
      <c r="AR26" s="628"/>
      <c r="AS26" s="628"/>
      <c r="AT26" s="628"/>
      <c r="AU26" s="628"/>
      <c r="AV26" s="628"/>
      <c r="AW26" s="628"/>
      <c r="AX26" s="628"/>
      <c r="AY26" s="628"/>
      <c r="AZ26" s="628"/>
      <c r="BA26" s="628"/>
      <c r="BB26" s="628"/>
      <c r="BC26" s="628"/>
      <c r="BD26" s="628"/>
      <c r="BE26" s="628"/>
      <c r="BF26" s="628"/>
      <c r="BG26" s="628"/>
      <c r="BH26" s="628"/>
      <c r="BI26" s="628"/>
      <c r="BJ26" s="628"/>
      <c r="BK26" s="628"/>
      <c r="BL26" s="628"/>
      <c r="BM26" s="628"/>
      <c r="BN26" s="628"/>
      <c r="BO26" s="628"/>
      <c r="BP26" s="628"/>
      <c r="BQ26" s="628"/>
      <c r="BR26" s="628"/>
      <c r="BS26" s="628"/>
      <c r="BT26" s="628"/>
      <c r="BU26" s="628"/>
      <c r="BV26" s="628"/>
      <c r="BW26" s="628"/>
      <c r="BX26" s="628"/>
      <c r="BY26" s="628"/>
      <c r="BZ26" s="628"/>
      <c r="CA26" s="628"/>
      <c r="CB26" s="628"/>
      <c r="CC26" s="628"/>
      <c r="CD26" s="628"/>
      <c r="CE26" s="628"/>
      <c r="CF26" s="628"/>
      <c r="CG26" s="628"/>
      <c r="CH26" s="628"/>
      <c r="CI26" s="628"/>
      <c r="CJ26" s="628"/>
      <c r="CK26" s="628"/>
      <c r="CL26" s="628"/>
      <c r="CM26" s="628"/>
      <c r="CN26" s="628"/>
      <c r="CO26" s="628"/>
      <c r="CP26" s="628"/>
      <c r="CQ26" s="628"/>
      <c r="CR26" s="628"/>
      <c r="CS26" s="628"/>
      <c r="CT26" s="628"/>
    </row>
    <row r="27">
      <c r="A27" s="671" t="s">
        <v>761</v>
      </c>
      <c r="B27" s="672"/>
      <c r="C27" s="673" t="s">
        <v>1248</v>
      </c>
      <c r="D27" s="674">
        <v>46281.0</v>
      </c>
      <c r="E27" s="675" t="s">
        <v>764</v>
      </c>
      <c r="F27" s="311" t="s">
        <v>1035</v>
      </c>
      <c r="G27" s="676" t="s">
        <v>697</v>
      </c>
      <c r="H27" s="676" t="s">
        <v>213</v>
      </c>
      <c r="I27" s="676" t="s">
        <v>102</v>
      </c>
      <c r="J27" s="677" t="s">
        <v>897</v>
      </c>
      <c r="K27" s="678">
        <v>3410186.1</v>
      </c>
      <c r="L27" s="679">
        <f t="shared" si="1"/>
        <v>3410186.1</v>
      </c>
      <c r="M27" s="680"/>
      <c r="N27" s="680"/>
      <c r="O27" s="680"/>
      <c r="P27" s="680"/>
      <c r="Q27" s="679">
        <f t="shared" si="2"/>
        <v>0</v>
      </c>
      <c r="R27" s="680"/>
      <c r="S27" s="679">
        <f t="shared" si="3"/>
        <v>0</v>
      </c>
      <c r="T27" s="680"/>
      <c r="U27" s="681" t="s">
        <v>1136</v>
      </c>
      <c r="V27" s="682">
        <v>2974724.2</v>
      </c>
      <c r="W27" s="683"/>
      <c r="X27" s="683"/>
      <c r="Y27" s="683"/>
      <c r="Z27" s="683"/>
      <c r="AA27" s="683"/>
      <c r="AB27" s="683"/>
      <c r="AC27" s="683"/>
      <c r="AD27" s="683"/>
      <c r="AE27" s="683"/>
      <c r="AF27" s="683"/>
      <c r="AG27" s="683"/>
      <c r="AH27" s="683"/>
      <c r="AI27" s="683"/>
      <c r="AJ27" s="683"/>
      <c r="AK27" s="683"/>
      <c r="AL27" s="683"/>
      <c r="AM27" s="683"/>
      <c r="AN27" s="683"/>
      <c r="AO27" s="683"/>
      <c r="AP27" s="683"/>
      <c r="AQ27" s="683"/>
      <c r="AR27" s="683"/>
      <c r="AS27" s="683"/>
      <c r="AT27" s="683"/>
      <c r="AU27" s="683"/>
      <c r="AV27" s="683"/>
      <c r="AW27" s="683"/>
      <c r="AX27" s="683"/>
      <c r="AY27" s="683"/>
      <c r="AZ27" s="683"/>
      <c r="BA27" s="683"/>
      <c r="BB27" s="683"/>
      <c r="BC27" s="683"/>
      <c r="BD27" s="683"/>
      <c r="BE27" s="683"/>
      <c r="BF27" s="683"/>
      <c r="BG27" s="683"/>
      <c r="BH27" s="683"/>
      <c r="BI27" s="683"/>
      <c r="BJ27" s="683"/>
      <c r="BK27" s="683"/>
      <c r="BL27" s="683"/>
      <c r="BM27" s="683"/>
      <c r="BN27" s="683"/>
      <c r="BO27" s="683"/>
      <c r="BP27" s="683"/>
      <c r="BQ27" s="683"/>
      <c r="BR27" s="683"/>
      <c r="BS27" s="683"/>
      <c r="BT27" s="683"/>
      <c r="BU27" s="683"/>
      <c r="BV27" s="683"/>
      <c r="BW27" s="683"/>
      <c r="BX27" s="683"/>
      <c r="BY27" s="683"/>
      <c r="BZ27" s="683"/>
      <c r="CA27" s="683"/>
      <c r="CB27" s="683"/>
      <c r="CC27" s="683"/>
      <c r="CD27" s="683"/>
      <c r="CE27" s="683"/>
      <c r="CF27" s="683"/>
      <c r="CG27" s="683"/>
      <c r="CH27" s="683"/>
      <c r="CI27" s="683"/>
      <c r="CJ27" s="683"/>
      <c r="CK27" s="683"/>
      <c r="CL27" s="683"/>
      <c r="CM27" s="683"/>
      <c r="CN27" s="683"/>
      <c r="CO27" s="683"/>
      <c r="CP27" s="683"/>
      <c r="CQ27" s="683"/>
      <c r="CR27" s="683"/>
      <c r="CS27" s="683"/>
      <c r="CT27" s="683"/>
    </row>
    <row r="28">
      <c r="A28" s="305" t="s">
        <v>761</v>
      </c>
      <c r="B28" s="306"/>
      <c r="C28" s="384" t="s">
        <v>1026</v>
      </c>
      <c r="D28" s="324">
        <v>46287.0</v>
      </c>
      <c r="E28" s="406" t="s">
        <v>764</v>
      </c>
      <c r="F28" s="311" t="s">
        <v>695</v>
      </c>
      <c r="G28" s="312" t="s">
        <v>697</v>
      </c>
      <c r="H28" s="312" t="s">
        <v>213</v>
      </c>
      <c r="I28" s="312" t="s">
        <v>102</v>
      </c>
      <c r="J28" s="372" t="s">
        <v>823</v>
      </c>
      <c r="K28" s="314">
        <v>828632.49</v>
      </c>
      <c r="L28" s="317">
        <f t="shared" si="1"/>
        <v>0</v>
      </c>
      <c r="M28" s="317">
        <f>K28</f>
        <v>828632.49</v>
      </c>
      <c r="N28" s="318"/>
      <c r="O28" s="318"/>
      <c r="P28" s="318"/>
      <c r="Q28" s="317">
        <f t="shared" si="2"/>
        <v>828632.49</v>
      </c>
      <c r="R28" s="318"/>
      <c r="S28" s="317">
        <f t="shared" si="3"/>
        <v>828632.49</v>
      </c>
      <c r="T28" s="318"/>
      <c r="U28" s="654" t="s">
        <v>148</v>
      </c>
      <c r="V28" s="612">
        <v>2178113.72</v>
      </c>
      <c r="W28" s="359"/>
      <c r="X28" s="359"/>
      <c r="Y28" s="359"/>
      <c r="Z28" s="359"/>
      <c r="AA28" s="359"/>
      <c r="AB28" s="359"/>
      <c r="AC28" s="359"/>
      <c r="AD28" s="359"/>
      <c r="AE28" s="359"/>
      <c r="AF28" s="359"/>
      <c r="AG28" s="359"/>
      <c r="AH28" s="359"/>
      <c r="AI28" s="359"/>
      <c r="AJ28" s="359"/>
      <c r="AK28" s="359"/>
      <c r="AL28" s="359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  <c r="AZ28" s="359"/>
      <c r="BA28" s="359"/>
      <c r="BB28" s="359"/>
      <c r="BC28" s="359"/>
      <c r="BD28" s="359"/>
      <c r="BE28" s="359"/>
      <c r="BF28" s="359"/>
      <c r="BG28" s="359"/>
      <c r="BH28" s="359"/>
      <c r="BI28" s="359"/>
      <c r="BJ28" s="359"/>
      <c r="BK28" s="359"/>
      <c r="BL28" s="359"/>
      <c r="BM28" s="359"/>
      <c r="BN28" s="359"/>
      <c r="BO28" s="359"/>
      <c r="BP28" s="359"/>
      <c r="BQ28" s="359"/>
      <c r="BR28" s="359"/>
      <c r="BS28" s="359"/>
      <c r="BT28" s="359"/>
      <c r="BU28" s="359"/>
      <c r="BV28" s="359"/>
      <c r="BW28" s="359"/>
      <c r="BX28" s="359"/>
      <c r="BY28" s="359"/>
      <c r="BZ28" s="359"/>
      <c r="CA28" s="359"/>
      <c r="CB28" s="359"/>
      <c r="CC28" s="359"/>
      <c r="CD28" s="359"/>
      <c r="CE28" s="359"/>
      <c r="CF28" s="359"/>
      <c r="CG28" s="359"/>
      <c r="CH28" s="359"/>
      <c r="CI28" s="359"/>
      <c r="CJ28" s="359"/>
      <c r="CK28" s="359"/>
      <c r="CL28" s="359"/>
      <c r="CM28" s="359"/>
      <c r="CN28" s="359"/>
      <c r="CO28" s="359"/>
      <c r="CP28" s="359"/>
      <c r="CQ28" s="359"/>
      <c r="CR28" s="359"/>
      <c r="CS28" s="359"/>
      <c r="CT28" s="359"/>
    </row>
    <row r="29">
      <c r="A29" s="684" t="s">
        <v>761</v>
      </c>
      <c r="B29" s="471"/>
      <c r="C29" s="685" t="s">
        <v>1036</v>
      </c>
      <c r="D29" s="686">
        <v>46287.0</v>
      </c>
      <c r="E29" s="687" t="s">
        <v>764</v>
      </c>
      <c r="F29" s="311" t="s">
        <v>1158</v>
      </c>
      <c r="G29" s="479" t="s">
        <v>697</v>
      </c>
      <c r="H29" s="479" t="s">
        <v>213</v>
      </c>
      <c r="I29" s="479" t="s">
        <v>102</v>
      </c>
      <c r="J29" s="688" t="s">
        <v>793</v>
      </c>
      <c r="K29" s="480">
        <v>989332.7</v>
      </c>
      <c r="L29" s="481">
        <f t="shared" si="1"/>
        <v>989332.7</v>
      </c>
      <c r="M29" s="482"/>
      <c r="N29" s="482"/>
      <c r="O29" s="482"/>
      <c r="P29" s="482"/>
      <c r="Q29" s="481">
        <f t="shared" si="2"/>
        <v>0</v>
      </c>
      <c r="R29" s="482"/>
      <c r="S29" s="481">
        <f t="shared" si="3"/>
        <v>0</v>
      </c>
      <c r="T29" s="482"/>
      <c r="U29" s="689" t="s">
        <v>775</v>
      </c>
      <c r="V29" s="690">
        <v>3753888.24</v>
      </c>
      <c r="W29" s="691"/>
      <c r="X29" s="691"/>
      <c r="Y29" s="691"/>
      <c r="Z29" s="691"/>
      <c r="AA29" s="691"/>
      <c r="AB29" s="691"/>
      <c r="AC29" s="691"/>
      <c r="AD29" s="691"/>
      <c r="AE29" s="691"/>
      <c r="AF29" s="691"/>
      <c r="AG29" s="691"/>
      <c r="AH29" s="691"/>
      <c r="AI29" s="691"/>
      <c r="AJ29" s="691"/>
      <c r="AK29" s="691"/>
      <c r="AL29" s="691"/>
      <c r="AM29" s="691"/>
      <c r="AN29" s="691"/>
      <c r="AO29" s="691"/>
      <c r="AP29" s="691"/>
      <c r="AQ29" s="691"/>
      <c r="AR29" s="691"/>
      <c r="AS29" s="691"/>
      <c r="AT29" s="691"/>
      <c r="AU29" s="691"/>
      <c r="AV29" s="691"/>
      <c r="AW29" s="691"/>
      <c r="AX29" s="691"/>
      <c r="AY29" s="691"/>
      <c r="AZ29" s="691"/>
      <c r="BA29" s="691"/>
      <c r="BB29" s="691"/>
      <c r="BC29" s="691"/>
      <c r="BD29" s="691"/>
      <c r="BE29" s="691"/>
      <c r="BF29" s="691"/>
      <c r="BG29" s="691"/>
      <c r="BH29" s="691"/>
      <c r="BI29" s="691"/>
      <c r="BJ29" s="691"/>
      <c r="BK29" s="691"/>
      <c r="BL29" s="691"/>
      <c r="BM29" s="691"/>
      <c r="BN29" s="691"/>
      <c r="BO29" s="691"/>
      <c r="BP29" s="691"/>
      <c r="BQ29" s="691"/>
      <c r="BR29" s="691"/>
      <c r="BS29" s="691"/>
      <c r="BT29" s="691"/>
      <c r="BU29" s="691"/>
      <c r="BV29" s="691"/>
      <c r="BW29" s="691"/>
      <c r="BX29" s="691"/>
      <c r="BY29" s="691"/>
      <c r="BZ29" s="691"/>
      <c r="CA29" s="691"/>
      <c r="CB29" s="691"/>
      <c r="CC29" s="691"/>
      <c r="CD29" s="691"/>
      <c r="CE29" s="691"/>
      <c r="CF29" s="691"/>
      <c r="CG29" s="691"/>
      <c r="CH29" s="691"/>
      <c r="CI29" s="691"/>
      <c r="CJ29" s="691"/>
      <c r="CK29" s="691"/>
      <c r="CL29" s="691"/>
      <c r="CM29" s="691"/>
      <c r="CN29" s="691"/>
      <c r="CO29" s="691"/>
      <c r="CP29" s="691"/>
      <c r="CQ29" s="691"/>
      <c r="CR29" s="691"/>
      <c r="CS29" s="691"/>
      <c r="CT29" s="691"/>
    </row>
    <row r="30">
      <c r="A30" s="325" t="s">
        <v>761</v>
      </c>
      <c r="B30" s="306"/>
      <c r="C30" s="384" t="s">
        <v>924</v>
      </c>
      <c r="D30" s="324">
        <v>46287.0</v>
      </c>
      <c r="E30" s="692" t="s">
        <v>764</v>
      </c>
      <c r="F30" s="372" t="s">
        <v>695</v>
      </c>
      <c r="G30" s="312" t="s">
        <v>697</v>
      </c>
      <c r="H30" s="312" t="s">
        <v>213</v>
      </c>
      <c r="I30" s="312" t="s">
        <v>102</v>
      </c>
      <c r="J30" s="372" t="s">
        <v>856</v>
      </c>
      <c r="K30" s="314">
        <v>868200.19</v>
      </c>
      <c r="L30" s="317">
        <f t="shared" si="1"/>
        <v>0</v>
      </c>
      <c r="M30" s="317">
        <f t="shared" ref="M30:M31" si="7">K30</f>
        <v>868200.19</v>
      </c>
      <c r="N30" s="318"/>
      <c r="O30" s="318"/>
      <c r="P30" s="318"/>
      <c r="Q30" s="317">
        <f t="shared" si="2"/>
        <v>868200.19</v>
      </c>
      <c r="R30" s="318"/>
      <c r="S30" s="317">
        <f t="shared" si="3"/>
        <v>868200.19</v>
      </c>
      <c r="T30" s="318"/>
      <c r="U30" s="693" t="s">
        <v>1249</v>
      </c>
      <c r="V30" s="694">
        <v>1.2665221517E8</v>
      </c>
      <c r="W30" s="359"/>
      <c r="X30" s="359"/>
      <c r="Y30" s="359"/>
      <c r="Z30" s="359"/>
      <c r="AA30" s="359"/>
      <c r="AB30" s="359"/>
      <c r="AC30" s="359"/>
      <c r="AD30" s="359"/>
      <c r="AE30" s="359"/>
      <c r="AF30" s="359"/>
      <c r="AG30" s="359"/>
      <c r="AH30" s="359"/>
      <c r="AI30" s="359"/>
      <c r="AJ30" s="359"/>
      <c r="AK30" s="359"/>
      <c r="AL30" s="359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  <c r="AZ30" s="359"/>
      <c r="BA30" s="359"/>
      <c r="BB30" s="359"/>
      <c r="BC30" s="359"/>
      <c r="BD30" s="359"/>
      <c r="BE30" s="359"/>
      <c r="BF30" s="359"/>
      <c r="BG30" s="359"/>
      <c r="BH30" s="359"/>
      <c r="BI30" s="359"/>
      <c r="BJ30" s="359"/>
      <c r="BK30" s="359"/>
      <c r="BL30" s="359"/>
      <c r="BM30" s="359"/>
      <c r="BN30" s="359"/>
      <c r="BO30" s="359"/>
      <c r="BP30" s="359"/>
      <c r="BQ30" s="359"/>
      <c r="BR30" s="359"/>
      <c r="BS30" s="359"/>
      <c r="BT30" s="359"/>
      <c r="BU30" s="359"/>
      <c r="BV30" s="359"/>
      <c r="BW30" s="359"/>
      <c r="BX30" s="359"/>
      <c r="BY30" s="359"/>
      <c r="BZ30" s="359"/>
      <c r="CA30" s="359"/>
      <c r="CB30" s="359"/>
      <c r="CC30" s="359"/>
      <c r="CD30" s="359"/>
      <c r="CE30" s="359"/>
      <c r="CF30" s="359"/>
      <c r="CG30" s="359"/>
      <c r="CH30" s="359"/>
      <c r="CI30" s="359"/>
      <c r="CJ30" s="359"/>
      <c r="CK30" s="359"/>
      <c r="CL30" s="359"/>
      <c r="CM30" s="359"/>
      <c r="CN30" s="359"/>
      <c r="CO30" s="359"/>
      <c r="CP30" s="359"/>
      <c r="CQ30" s="359"/>
      <c r="CR30" s="359"/>
      <c r="CS30" s="359"/>
      <c r="CT30" s="359"/>
    </row>
    <row r="31">
      <c r="A31" s="305" t="s">
        <v>761</v>
      </c>
      <c r="B31" s="306"/>
      <c r="C31" s="384" t="s">
        <v>933</v>
      </c>
      <c r="D31" s="324">
        <v>46287.0</v>
      </c>
      <c r="E31" s="429" t="s">
        <v>764</v>
      </c>
      <c r="F31" s="311" t="s">
        <v>695</v>
      </c>
      <c r="G31" s="312" t="s">
        <v>697</v>
      </c>
      <c r="H31" s="312" t="s">
        <v>213</v>
      </c>
      <c r="I31" s="312" t="s">
        <v>102</v>
      </c>
      <c r="J31" s="372" t="s">
        <v>876</v>
      </c>
      <c r="K31" s="314">
        <v>1236238.91</v>
      </c>
      <c r="L31" s="317">
        <f t="shared" si="1"/>
        <v>0</v>
      </c>
      <c r="M31" s="317">
        <f t="shared" si="7"/>
        <v>1236238.91</v>
      </c>
      <c r="N31" s="318"/>
      <c r="O31" s="318"/>
      <c r="P31" s="318"/>
      <c r="Q31" s="317">
        <f t="shared" si="2"/>
        <v>1236238.91</v>
      </c>
      <c r="R31" s="318"/>
      <c r="S31" s="317">
        <f t="shared" si="3"/>
        <v>1236238.91</v>
      </c>
      <c r="T31" s="318"/>
      <c r="U31" s="359"/>
      <c r="V31" s="359"/>
      <c r="W31" s="359"/>
      <c r="X31" s="359"/>
      <c r="Y31" s="359"/>
      <c r="Z31" s="359"/>
      <c r="AA31" s="359"/>
      <c r="AB31" s="359"/>
      <c r="AC31" s="359"/>
      <c r="AD31" s="359"/>
      <c r="AE31" s="359"/>
      <c r="AF31" s="359"/>
      <c r="AG31" s="359"/>
      <c r="AH31" s="359"/>
      <c r="AI31" s="359"/>
      <c r="AJ31" s="359"/>
      <c r="AK31" s="359"/>
      <c r="AL31" s="359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  <c r="BJ31" s="359"/>
      <c r="BK31" s="359"/>
      <c r="BL31" s="359"/>
      <c r="BM31" s="359"/>
      <c r="BN31" s="359"/>
      <c r="BO31" s="359"/>
      <c r="BP31" s="359"/>
      <c r="BQ31" s="359"/>
      <c r="BR31" s="359"/>
      <c r="BS31" s="359"/>
      <c r="BT31" s="359"/>
      <c r="BU31" s="359"/>
      <c r="BV31" s="359"/>
      <c r="BW31" s="359"/>
      <c r="BX31" s="359"/>
      <c r="BY31" s="359"/>
      <c r="BZ31" s="359"/>
      <c r="CA31" s="359"/>
      <c r="CB31" s="359"/>
      <c r="CC31" s="359"/>
      <c r="CD31" s="359"/>
      <c r="CE31" s="359"/>
      <c r="CF31" s="359"/>
      <c r="CG31" s="359"/>
      <c r="CH31" s="359"/>
      <c r="CI31" s="359"/>
      <c r="CJ31" s="359"/>
      <c r="CK31" s="359"/>
      <c r="CL31" s="359"/>
      <c r="CM31" s="359"/>
      <c r="CN31" s="359"/>
      <c r="CO31" s="359"/>
      <c r="CP31" s="359"/>
      <c r="CQ31" s="359"/>
      <c r="CR31" s="359"/>
      <c r="CS31" s="359"/>
      <c r="CT31" s="359"/>
    </row>
    <row r="32">
      <c r="A32" s="695" t="s">
        <v>761</v>
      </c>
      <c r="B32" s="696"/>
      <c r="C32" s="697" t="s">
        <v>1250</v>
      </c>
      <c r="D32" s="698">
        <v>46296.0</v>
      </c>
      <c r="E32" s="699" t="s">
        <v>764</v>
      </c>
      <c r="F32" s="311" t="s">
        <v>1162</v>
      </c>
      <c r="G32" s="700" t="s">
        <v>747</v>
      </c>
      <c r="H32" s="700" t="s">
        <v>213</v>
      </c>
      <c r="I32" s="700" t="s">
        <v>102</v>
      </c>
      <c r="J32" s="701" t="s">
        <v>935</v>
      </c>
      <c r="K32" s="702">
        <v>191834.42</v>
      </c>
      <c r="L32" s="703">
        <f t="shared" si="1"/>
        <v>191834.42</v>
      </c>
      <c r="M32" s="704"/>
      <c r="N32" s="704"/>
      <c r="O32" s="704"/>
      <c r="P32" s="704"/>
      <c r="Q32" s="703">
        <f t="shared" si="2"/>
        <v>0</v>
      </c>
      <c r="R32" s="704"/>
      <c r="S32" s="703">
        <f t="shared" si="3"/>
        <v>0</v>
      </c>
      <c r="T32" s="704"/>
      <c r="U32" s="705"/>
      <c r="V32" s="705"/>
      <c r="W32" s="705"/>
      <c r="X32" s="705"/>
      <c r="Y32" s="705"/>
      <c r="Z32" s="705"/>
      <c r="AA32" s="705"/>
      <c r="AB32" s="705"/>
      <c r="AC32" s="705"/>
      <c r="AD32" s="705"/>
      <c r="AE32" s="705"/>
      <c r="AF32" s="705"/>
      <c r="AG32" s="705"/>
      <c r="AH32" s="705"/>
      <c r="AI32" s="705"/>
      <c r="AJ32" s="705"/>
      <c r="AK32" s="705"/>
      <c r="AL32" s="705"/>
      <c r="AM32" s="705"/>
      <c r="AN32" s="705"/>
      <c r="AO32" s="705"/>
      <c r="AP32" s="705"/>
      <c r="AQ32" s="705"/>
      <c r="AR32" s="705"/>
      <c r="AS32" s="705"/>
      <c r="AT32" s="705"/>
      <c r="AU32" s="705"/>
      <c r="AV32" s="705"/>
      <c r="AW32" s="705"/>
      <c r="AX32" s="705"/>
      <c r="AY32" s="705"/>
      <c r="AZ32" s="705"/>
      <c r="BA32" s="705"/>
      <c r="BB32" s="705"/>
      <c r="BC32" s="705"/>
      <c r="BD32" s="705"/>
      <c r="BE32" s="705"/>
      <c r="BF32" s="705"/>
      <c r="BG32" s="705"/>
      <c r="BH32" s="705"/>
      <c r="BI32" s="705"/>
      <c r="BJ32" s="705"/>
      <c r="BK32" s="705"/>
      <c r="BL32" s="705"/>
      <c r="BM32" s="705"/>
      <c r="BN32" s="705"/>
      <c r="BO32" s="705"/>
      <c r="BP32" s="705"/>
      <c r="BQ32" s="705"/>
      <c r="BR32" s="705"/>
      <c r="BS32" s="705"/>
      <c r="BT32" s="705"/>
      <c r="BU32" s="705"/>
      <c r="BV32" s="705"/>
      <c r="BW32" s="705"/>
      <c r="BX32" s="705"/>
      <c r="BY32" s="705"/>
      <c r="BZ32" s="705"/>
      <c r="CA32" s="705"/>
      <c r="CB32" s="705"/>
      <c r="CC32" s="705"/>
      <c r="CD32" s="705"/>
      <c r="CE32" s="705"/>
      <c r="CF32" s="705"/>
      <c r="CG32" s="705"/>
      <c r="CH32" s="705"/>
      <c r="CI32" s="705"/>
      <c r="CJ32" s="705"/>
      <c r="CK32" s="705"/>
      <c r="CL32" s="705"/>
      <c r="CM32" s="705"/>
      <c r="CN32" s="705"/>
      <c r="CO32" s="705"/>
      <c r="CP32" s="705"/>
      <c r="CQ32" s="705"/>
      <c r="CR32" s="705"/>
      <c r="CS32" s="705"/>
      <c r="CT32" s="705"/>
    </row>
    <row r="33">
      <c r="A33" s="613" t="s">
        <v>761</v>
      </c>
      <c r="B33" s="614"/>
      <c r="C33" s="706" t="s">
        <v>946</v>
      </c>
      <c r="D33" s="661">
        <v>46296.0</v>
      </c>
      <c r="E33" s="666" t="s">
        <v>764</v>
      </c>
      <c r="F33" s="311" t="s">
        <v>1166</v>
      </c>
      <c r="G33" s="618" t="s">
        <v>747</v>
      </c>
      <c r="H33" s="618" t="s">
        <v>213</v>
      </c>
      <c r="I33" s="618" t="s">
        <v>102</v>
      </c>
      <c r="J33" s="619" t="s">
        <v>951</v>
      </c>
      <c r="K33" s="620">
        <v>2028518.32</v>
      </c>
      <c r="L33" s="623">
        <f t="shared" si="1"/>
        <v>0</v>
      </c>
      <c r="M33" s="623">
        <v>2028518.32</v>
      </c>
      <c r="N33" s="623">
        <v>411487.93</v>
      </c>
      <c r="O33" s="623">
        <v>0.0</v>
      </c>
      <c r="P33" s="623">
        <v>0.0</v>
      </c>
      <c r="Q33" s="623">
        <f t="shared" si="2"/>
        <v>1617030.39</v>
      </c>
      <c r="R33" s="625"/>
      <c r="S33" s="623">
        <f t="shared" si="3"/>
        <v>1617030.39</v>
      </c>
      <c r="T33" s="625"/>
      <c r="U33" s="628"/>
      <c r="V33" s="628"/>
      <c r="W33" s="628"/>
      <c r="X33" s="628"/>
      <c r="Y33" s="628"/>
      <c r="Z33" s="628"/>
      <c r="AA33" s="628"/>
      <c r="AB33" s="628"/>
      <c r="AC33" s="628"/>
      <c r="AD33" s="628"/>
      <c r="AE33" s="628"/>
      <c r="AF33" s="628"/>
      <c r="AG33" s="628"/>
      <c r="AH33" s="628"/>
      <c r="AI33" s="628"/>
      <c r="AJ33" s="628"/>
      <c r="AK33" s="628"/>
      <c r="AL33" s="628"/>
      <c r="AM33" s="628"/>
      <c r="AN33" s="628"/>
      <c r="AO33" s="628"/>
      <c r="AP33" s="628"/>
      <c r="AQ33" s="628"/>
      <c r="AR33" s="628"/>
      <c r="AS33" s="628"/>
      <c r="AT33" s="628"/>
      <c r="AU33" s="628"/>
      <c r="AV33" s="628"/>
      <c r="AW33" s="628"/>
      <c r="AX33" s="628"/>
      <c r="AY33" s="628"/>
      <c r="AZ33" s="628"/>
      <c r="BA33" s="628"/>
      <c r="BB33" s="628"/>
      <c r="BC33" s="628"/>
      <c r="BD33" s="628"/>
      <c r="BE33" s="628"/>
      <c r="BF33" s="628"/>
      <c r="BG33" s="628"/>
      <c r="BH33" s="628"/>
      <c r="BI33" s="628"/>
      <c r="BJ33" s="628"/>
      <c r="BK33" s="628"/>
      <c r="BL33" s="628"/>
      <c r="BM33" s="628"/>
      <c r="BN33" s="628"/>
      <c r="BO33" s="628"/>
      <c r="BP33" s="628"/>
      <c r="BQ33" s="628"/>
      <c r="BR33" s="628"/>
      <c r="BS33" s="628"/>
      <c r="BT33" s="628"/>
      <c r="BU33" s="628"/>
      <c r="BV33" s="628"/>
      <c r="BW33" s="628"/>
      <c r="BX33" s="628"/>
      <c r="BY33" s="628"/>
      <c r="BZ33" s="628"/>
      <c r="CA33" s="628"/>
      <c r="CB33" s="628"/>
      <c r="CC33" s="628"/>
      <c r="CD33" s="628"/>
      <c r="CE33" s="628"/>
      <c r="CF33" s="628"/>
      <c r="CG33" s="628"/>
      <c r="CH33" s="628"/>
      <c r="CI33" s="628"/>
      <c r="CJ33" s="628"/>
      <c r="CK33" s="628"/>
      <c r="CL33" s="628"/>
      <c r="CM33" s="628"/>
      <c r="CN33" s="628"/>
      <c r="CO33" s="628"/>
      <c r="CP33" s="628"/>
      <c r="CQ33" s="628"/>
      <c r="CR33" s="628"/>
      <c r="CS33" s="628"/>
      <c r="CT33" s="628"/>
    </row>
    <row r="34">
      <c r="A34" s="613" t="s">
        <v>761</v>
      </c>
      <c r="B34" s="614"/>
      <c r="C34" s="706" t="s">
        <v>939</v>
      </c>
      <c r="D34" s="661">
        <v>46296.0</v>
      </c>
      <c r="E34" s="666" t="s">
        <v>764</v>
      </c>
      <c r="F34" s="707" t="s">
        <v>1166</v>
      </c>
      <c r="G34" s="618" t="s">
        <v>747</v>
      </c>
      <c r="H34" s="618" t="s">
        <v>213</v>
      </c>
      <c r="I34" s="618" t="s">
        <v>102</v>
      </c>
      <c r="J34" s="619" t="s">
        <v>907</v>
      </c>
      <c r="K34" s="620">
        <v>14380.0</v>
      </c>
      <c r="L34" s="623">
        <f t="shared" si="1"/>
        <v>0</v>
      </c>
      <c r="M34" s="623">
        <f t="shared" ref="M34:M35" si="8">K34</f>
        <v>14380</v>
      </c>
      <c r="N34" s="625"/>
      <c r="O34" s="625"/>
      <c r="P34" s="625"/>
      <c r="Q34" s="623">
        <f t="shared" si="2"/>
        <v>14380</v>
      </c>
      <c r="R34" s="625"/>
      <c r="S34" s="623">
        <f t="shared" si="3"/>
        <v>14380</v>
      </c>
      <c r="T34" s="625"/>
      <c r="U34" s="628"/>
      <c r="V34" s="628"/>
      <c r="W34" s="628"/>
      <c r="X34" s="628"/>
      <c r="Y34" s="628"/>
      <c r="Z34" s="628"/>
      <c r="AA34" s="628"/>
      <c r="AB34" s="628"/>
      <c r="AC34" s="628"/>
      <c r="AD34" s="628"/>
      <c r="AE34" s="628"/>
      <c r="AF34" s="628"/>
      <c r="AG34" s="628"/>
      <c r="AH34" s="628"/>
      <c r="AI34" s="628"/>
      <c r="AJ34" s="628"/>
      <c r="AK34" s="628"/>
      <c r="AL34" s="628"/>
      <c r="AM34" s="628"/>
      <c r="AN34" s="628"/>
      <c r="AO34" s="628"/>
      <c r="AP34" s="628"/>
      <c r="AQ34" s="628"/>
      <c r="AR34" s="628"/>
      <c r="AS34" s="628"/>
      <c r="AT34" s="628"/>
      <c r="AU34" s="628"/>
      <c r="AV34" s="628"/>
      <c r="AW34" s="628"/>
      <c r="AX34" s="628"/>
      <c r="AY34" s="628"/>
      <c r="AZ34" s="628"/>
      <c r="BA34" s="628"/>
      <c r="BB34" s="628"/>
      <c r="BC34" s="628"/>
      <c r="BD34" s="628"/>
      <c r="BE34" s="628"/>
      <c r="BF34" s="628"/>
      <c r="BG34" s="628"/>
      <c r="BH34" s="628"/>
      <c r="BI34" s="628"/>
      <c r="BJ34" s="628"/>
      <c r="BK34" s="628"/>
      <c r="BL34" s="628"/>
      <c r="BM34" s="628"/>
      <c r="BN34" s="628"/>
      <c r="BO34" s="628"/>
      <c r="BP34" s="628"/>
      <c r="BQ34" s="628"/>
      <c r="BR34" s="628"/>
      <c r="BS34" s="628"/>
      <c r="BT34" s="628"/>
      <c r="BU34" s="628"/>
      <c r="BV34" s="628"/>
      <c r="BW34" s="628"/>
      <c r="BX34" s="628"/>
      <c r="BY34" s="628"/>
      <c r="BZ34" s="628"/>
      <c r="CA34" s="628"/>
      <c r="CB34" s="628"/>
      <c r="CC34" s="628"/>
      <c r="CD34" s="628"/>
      <c r="CE34" s="628"/>
      <c r="CF34" s="628"/>
      <c r="CG34" s="628"/>
      <c r="CH34" s="628"/>
      <c r="CI34" s="628"/>
      <c r="CJ34" s="628"/>
      <c r="CK34" s="628"/>
      <c r="CL34" s="628"/>
      <c r="CM34" s="628"/>
      <c r="CN34" s="628"/>
      <c r="CO34" s="628"/>
      <c r="CP34" s="628"/>
      <c r="CQ34" s="628"/>
      <c r="CR34" s="628"/>
      <c r="CS34" s="628"/>
      <c r="CT34" s="628"/>
    </row>
    <row r="35">
      <c r="A35" s="613" t="s">
        <v>761</v>
      </c>
      <c r="B35" s="614"/>
      <c r="C35" s="706" t="s">
        <v>933</v>
      </c>
      <c r="D35" s="661">
        <v>46296.0</v>
      </c>
      <c r="E35" s="666" t="s">
        <v>764</v>
      </c>
      <c r="F35" s="311" t="s">
        <v>1166</v>
      </c>
      <c r="G35" s="618" t="s">
        <v>747</v>
      </c>
      <c r="H35" s="618" t="s">
        <v>213</v>
      </c>
      <c r="I35" s="618" t="s">
        <v>102</v>
      </c>
      <c r="J35" s="619" t="s">
        <v>886</v>
      </c>
      <c r="K35" s="620">
        <v>44948.0</v>
      </c>
      <c r="L35" s="623">
        <f t="shared" si="1"/>
        <v>0</v>
      </c>
      <c r="M35" s="623">
        <f t="shared" si="8"/>
        <v>44948</v>
      </c>
      <c r="N35" s="623">
        <v>44049.04</v>
      </c>
      <c r="O35" s="623">
        <v>0.0</v>
      </c>
      <c r="P35" s="623">
        <v>898.96</v>
      </c>
      <c r="Q35" s="623">
        <f t="shared" si="2"/>
        <v>0</v>
      </c>
      <c r="R35" s="625"/>
      <c r="S35" s="623">
        <f t="shared" si="3"/>
        <v>0</v>
      </c>
      <c r="T35" s="625"/>
      <c r="U35" s="628"/>
      <c r="V35" s="628"/>
      <c r="W35" s="628"/>
      <c r="X35" s="628"/>
      <c r="Y35" s="628"/>
      <c r="Z35" s="628"/>
      <c r="AA35" s="628"/>
      <c r="AB35" s="628"/>
      <c r="AC35" s="628"/>
      <c r="AD35" s="628"/>
      <c r="AE35" s="628"/>
      <c r="AF35" s="628"/>
      <c r="AG35" s="628"/>
      <c r="AH35" s="628"/>
      <c r="AI35" s="628"/>
      <c r="AJ35" s="628"/>
      <c r="AK35" s="628"/>
      <c r="AL35" s="628"/>
      <c r="AM35" s="628"/>
      <c r="AN35" s="628"/>
      <c r="AO35" s="628"/>
      <c r="AP35" s="628"/>
      <c r="AQ35" s="628"/>
      <c r="AR35" s="628"/>
      <c r="AS35" s="628"/>
      <c r="AT35" s="628"/>
      <c r="AU35" s="628"/>
      <c r="AV35" s="628"/>
      <c r="AW35" s="628"/>
      <c r="AX35" s="628"/>
      <c r="AY35" s="628"/>
      <c r="AZ35" s="628"/>
      <c r="BA35" s="628"/>
      <c r="BB35" s="628"/>
      <c r="BC35" s="628"/>
      <c r="BD35" s="628"/>
      <c r="BE35" s="628"/>
      <c r="BF35" s="628"/>
      <c r="BG35" s="628"/>
      <c r="BH35" s="628"/>
      <c r="BI35" s="628"/>
      <c r="BJ35" s="628"/>
      <c r="BK35" s="628"/>
      <c r="BL35" s="628"/>
      <c r="BM35" s="628"/>
      <c r="BN35" s="628"/>
      <c r="BO35" s="628"/>
      <c r="BP35" s="628"/>
      <c r="BQ35" s="628"/>
      <c r="BR35" s="628"/>
      <c r="BS35" s="628"/>
      <c r="BT35" s="628"/>
      <c r="BU35" s="628"/>
      <c r="BV35" s="628"/>
      <c r="BW35" s="628"/>
      <c r="BX35" s="628"/>
      <c r="BY35" s="628"/>
      <c r="BZ35" s="628"/>
      <c r="CA35" s="628"/>
      <c r="CB35" s="628"/>
      <c r="CC35" s="628"/>
      <c r="CD35" s="628"/>
      <c r="CE35" s="628"/>
      <c r="CF35" s="628"/>
      <c r="CG35" s="628"/>
      <c r="CH35" s="628"/>
      <c r="CI35" s="628"/>
      <c r="CJ35" s="628"/>
      <c r="CK35" s="628"/>
      <c r="CL35" s="628"/>
      <c r="CM35" s="628"/>
      <c r="CN35" s="628"/>
      <c r="CO35" s="628"/>
      <c r="CP35" s="628"/>
      <c r="CQ35" s="628"/>
      <c r="CR35" s="628"/>
      <c r="CS35" s="628"/>
      <c r="CT35" s="628"/>
    </row>
    <row r="36">
      <c r="A36" s="576"/>
      <c r="B36" s="306"/>
      <c r="C36" s="306"/>
      <c r="D36" s="307"/>
      <c r="E36" s="429" t="s">
        <v>721</v>
      </c>
      <c r="F36" s="311" t="s">
        <v>695</v>
      </c>
      <c r="G36" s="312" t="s">
        <v>697</v>
      </c>
      <c r="H36" s="312" t="s">
        <v>1228</v>
      </c>
      <c r="I36" s="312" t="s">
        <v>1209</v>
      </c>
      <c r="J36" s="372" t="s">
        <v>1212</v>
      </c>
      <c r="K36" s="314">
        <v>150128.0</v>
      </c>
      <c r="L36" s="317">
        <f t="shared" si="1"/>
        <v>0</v>
      </c>
      <c r="M36" s="317">
        <v>150128.0</v>
      </c>
      <c r="N36" s="318"/>
      <c r="O36" s="318"/>
      <c r="P36" s="318"/>
      <c r="Q36" s="317">
        <f t="shared" si="2"/>
        <v>150128</v>
      </c>
      <c r="R36" s="317">
        <v>150128.0</v>
      </c>
      <c r="S36" s="317">
        <f t="shared" si="3"/>
        <v>0</v>
      </c>
      <c r="T36" s="318"/>
      <c r="U36" s="359"/>
      <c r="V36" s="359"/>
      <c r="W36" s="359"/>
      <c r="X36" s="359"/>
      <c r="Y36" s="359"/>
      <c r="Z36" s="359"/>
      <c r="AA36" s="359"/>
      <c r="AB36" s="359"/>
      <c r="AC36" s="359"/>
      <c r="AD36" s="359"/>
      <c r="AE36" s="359"/>
      <c r="AF36" s="359"/>
      <c r="AG36" s="359"/>
      <c r="AH36" s="359"/>
      <c r="AI36" s="359"/>
      <c r="AJ36" s="359"/>
      <c r="AK36" s="359"/>
      <c r="AL36" s="359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59"/>
      <c r="BB36" s="359"/>
      <c r="BC36" s="359"/>
      <c r="BD36" s="359"/>
      <c r="BE36" s="359"/>
      <c r="BF36" s="359"/>
      <c r="BG36" s="359"/>
      <c r="BH36" s="359"/>
      <c r="BI36" s="359"/>
      <c r="BJ36" s="359"/>
      <c r="BK36" s="359"/>
      <c r="BL36" s="359"/>
      <c r="BM36" s="359"/>
      <c r="BN36" s="359"/>
      <c r="BO36" s="359"/>
      <c r="BP36" s="359"/>
      <c r="BQ36" s="359"/>
      <c r="BR36" s="359"/>
      <c r="BS36" s="359"/>
      <c r="BT36" s="359"/>
      <c r="BU36" s="359"/>
      <c r="BV36" s="359"/>
      <c r="BW36" s="359"/>
      <c r="BX36" s="359"/>
      <c r="BY36" s="359"/>
      <c r="BZ36" s="359"/>
      <c r="CA36" s="359"/>
      <c r="CB36" s="359"/>
      <c r="CC36" s="359"/>
      <c r="CD36" s="359"/>
      <c r="CE36" s="359"/>
      <c r="CF36" s="359"/>
      <c r="CG36" s="359"/>
      <c r="CH36" s="359"/>
      <c r="CI36" s="359"/>
      <c r="CJ36" s="359"/>
      <c r="CK36" s="359"/>
      <c r="CL36" s="359"/>
      <c r="CM36" s="359"/>
      <c r="CN36" s="359"/>
      <c r="CO36" s="359"/>
      <c r="CP36" s="359"/>
      <c r="CQ36" s="359"/>
      <c r="CR36" s="359"/>
      <c r="CS36" s="359"/>
      <c r="CT36" s="359"/>
    </row>
    <row r="37">
      <c r="A37" s="613" t="s">
        <v>822</v>
      </c>
      <c r="B37" s="614"/>
      <c r="C37" s="614"/>
      <c r="D37" s="616"/>
      <c r="E37" s="617"/>
      <c r="F37" s="311" t="s">
        <v>1166</v>
      </c>
      <c r="G37" s="618" t="s">
        <v>747</v>
      </c>
      <c r="H37" s="708" t="s">
        <v>419</v>
      </c>
      <c r="I37" s="618" t="s">
        <v>71</v>
      </c>
      <c r="J37" s="709" t="s">
        <v>480</v>
      </c>
      <c r="K37" s="620">
        <v>1904004.35</v>
      </c>
      <c r="L37" s="623">
        <f t="shared" si="1"/>
        <v>0</v>
      </c>
      <c r="M37" s="623">
        <v>1904004.35</v>
      </c>
      <c r="N37" s="625"/>
      <c r="O37" s="625"/>
      <c r="P37" s="625"/>
      <c r="Q37" s="623">
        <f t="shared" si="2"/>
        <v>1904004.35</v>
      </c>
      <c r="R37" s="625"/>
      <c r="S37" s="623">
        <f t="shared" si="3"/>
        <v>1904004.35</v>
      </c>
      <c r="T37" s="710" t="s">
        <v>1098</v>
      </c>
      <c r="U37" s="628"/>
      <c r="V37" s="628"/>
      <c r="W37" s="628"/>
      <c r="X37" s="628"/>
      <c r="Y37" s="628"/>
      <c r="Z37" s="628"/>
      <c r="AA37" s="628"/>
      <c r="AB37" s="628"/>
      <c r="AC37" s="628"/>
      <c r="AD37" s="628"/>
      <c r="AE37" s="628"/>
      <c r="AF37" s="628"/>
      <c r="AG37" s="628"/>
      <c r="AH37" s="628"/>
      <c r="AI37" s="628"/>
      <c r="AJ37" s="628"/>
      <c r="AK37" s="628"/>
      <c r="AL37" s="628"/>
      <c r="AM37" s="628"/>
      <c r="AN37" s="628"/>
      <c r="AO37" s="628"/>
      <c r="AP37" s="628"/>
      <c r="AQ37" s="628"/>
      <c r="AR37" s="628"/>
      <c r="AS37" s="628"/>
      <c r="AT37" s="628"/>
      <c r="AU37" s="628"/>
      <c r="AV37" s="628"/>
      <c r="AW37" s="628"/>
      <c r="AX37" s="628"/>
      <c r="AY37" s="628"/>
      <c r="AZ37" s="628"/>
      <c r="BA37" s="628"/>
      <c r="BB37" s="628"/>
      <c r="BC37" s="628"/>
      <c r="BD37" s="628"/>
      <c r="BE37" s="628"/>
      <c r="BF37" s="628"/>
      <c r="BG37" s="628"/>
      <c r="BH37" s="628"/>
      <c r="BI37" s="628"/>
      <c r="BJ37" s="628"/>
      <c r="BK37" s="628"/>
      <c r="BL37" s="628"/>
      <c r="BM37" s="628"/>
      <c r="BN37" s="628"/>
      <c r="BO37" s="628"/>
      <c r="BP37" s="628"/>
      <c r="BQ37" s="628"/>
      <c r="BR37" s="628"/>
      <c r="BS37" s="628"/>
      <c r="BT37" s="628"/>
      <c r="BU37" s="628"/>
      <c r="BV37" s="628"/>
      <c r="BW37" s="628"/>
      <c r="BX37" s="628"/>
      <c r="BY37" s="628"/>
      <c r="BZ37" s="628"/>
      <c r="CA37" s="628"/>
      <c r="CB37" s="628"/>
      <c r="CC37" s="628"/>
      <c r="CD37" s="628"/>
      <c r="CE37" s="628"/>
      <c r="CF37" s="628"/>
      <c r="CG37" s="628"/>
      <c r="CH37" s="628"/>
      <c r="CI37" s="628"/>
      <c r="CJ37" s="628"/>
      <c r="CK37" s="628"/>
      <c r="CL37" s="628"/>
      <c r="CM37" s="628"/>
      <c r="CN37" s="628"/>
      <c r="CO37" s="628"/>
      <c r="CP37" s="628"/>
      <c r="CQ37" s="628"/>
      <c r="CR37" s="628"/>
      <c r="CS37" s="628"/>
      <c r="CT37" s="628"/>
    </row>
    <row r="38">
      <c r="A38" s="613" t="s">
        <v>822</v>
      </c>
      <c r="B38" s="614"/>
      <c r="C38" s="614"/>
      <c r="D38" s="616"/>
      <c r="E38" s="617"/>
      <c r="F38" s="311" t="s">
        <v>1166</v>
      </c>
      <c r="G38" s="618" t="s">
        <v>747</v>
      </c>
      <c r="H38" s="708" t="s">
        <v>419</v>
      </c>
      <c r="I38" s="618" t="s">
        <v>71</v>
      </c>
      <c r="J38" s="619" t="s">
        <v>537</v>
      </c>
      <c r="K38" s="620">
        <v>556937.98</v>
      </c>
      <c r="L38" s="623">
        <f t="shared" si="1"/>
        <v>0</v>
      </c>
      <c r="M38" s="623">
        <v>556937.98</v>
      </c>
      <c r="N38" s="625"/>
      <c r="O38" s="625"/>
      <c r="P38" s="625"/>
      <c r="Q38" s="623">
        <f t="shared" si="2"/>
        <v>556937.98</v>
      </c>
      <c r="R38" s="625"/>
      <c r="S38" s="623">
        <f t="shared" si="3"/>
        <v>556937.98</v>
      </c>
      <c r="T38" s="710" t="s">
        <v>1251</v>
      </c>
      <c r="U38" s="628"/>
      <c r="V38" s="628"/>
      <c r="W38" s="628"/>
      <c r="X38" s="628"/>
      <c r="Y38" s="628"/>
      <c r="Z38" s="628"/>
      <c r="AA38" s="628"/>
      <c r="AB38" s="628"/>
      <c r="AC38" s="628"/>
      <c r="AD38" s="628"/>
      <c r="AE38" s="628"/>
      <c r="AF38" s="628"/>
      <c r="AG38" s="628"/>
      <c r="AH38" s="628"/>
      <c r="AI38" s="628"/>
      <c r="AJ38" s="628"/>
      <c r="AK38" s="628"/>
      <c r="AL38" s="628"/>
      <c r="AM38" s="628"/>
      <c r="AN38" s="628"/>
      <c r="AO38" s="628"/>
      <c r="AP38" s="628"/>
      <c r="AQ38" s="628"/>
      <c r="AR38" s="628"/>
      <c r="AS38" s="628"/>
      <c r="AT38" s="628"/>
      <c r="AU38" s="628"/>
      <c r="AV38" s="628"/>
      <c r="AW38" s="628"/>
      <c r="AX38" s="628"/>
      <c r="AY38" s="628"/>
      <c r="AZ38" s="628"/>
      <c r="BA38" s="628"/>
      <c r="BB38" s="628"/>
      <c r="BC38" s="628"/>
      <c r="BD38" s="628"/>
      <c r="BE38" s="628"/>
      <c r="BF38" s="628"/>
      <c r="BG38" s="628"/>
      <c r="BH38" s="628"/>
      <c r="BI38" s="628"/>
      <c r="BJ38" s="628"/>
      <c r="BK38" s="628"/>
      <c r="BL38" s="628"/>
      <c r="BM38" s="628"/>
      <c r="BN38" s="628"/>
      <c r="BO38" s="628"/>
      <c r="BP38" s="628"/>
      <c r="BQ38" s="628"/>
      <c r="BR38" s="628"/>
      <c r="BS38" s="628"/>
      <c r="BT38" s="628"/>
      <c r="BU38" s="628"/>
      <c r="BV38" s="628"/>
      <c r="BW38" s="628"/>
      <c r="BX38" s="628"/>
      <c r="BY38" s="628"/>
      <c r="BZ38" s="628"/>
      <c r="CA38" s="628"/>
      <c r="CB38" s="628"/>
      <c r="CC38" s="628"/>
      <c r="CD38" s="628"/>
      <c r="CE38" s="628"/>
      <c r="CF38" s="628"/>
      <c r="CG38" s="628"/>
      <c r="CH38" s="628"/>
      <c r="CI38" s="628"/>
      <c r="CJ38" s="628"/>
      <c r="CK38" s="628"/>
      <c r="CL38" s="628"/>
      <c r="CM38" s="628"/>
      <c r="CN38" s="628"/>
      <c r="CO38" s="628"/>
      <c r="CP38" s="628"/>
      <c r="CQ38" s="628"/>
      <c r="CR38" s="628"/>
      <c r="CS38" s="628"/>
      <c r="CT38" s="628"/>
    </row>
    <row r="39">
      <c r="A39" s="613" t="s">
        <v>822</v>
      </c>
      <c r="B39" s="614"/>
      <c r="C39" s="614"/>
      <c r="D39" s="616"/>
      <c r="E39" s="617"/>
      <c r="F39" s="311" t="s">
        <v>1166</v>
      </c>
      <c r="G39" s="618" t="s">
        <v>697</v>
      </c>
      <c r="H39" s="708" t="s">
        <v>419</v>
      </c>
      <c r="I39" s="618" t="s">
        <v>71</v>
      </c>
      <c r="J39" s="709" t="s">
        <v>454</v>
      </c>
      <c r="K39" s="620">
        <v>1552418.47</v>
      </c>
      <c r="L39" s="623">
        <f t="shared" si="1"/>
        <v>0</v>
      </c>
      <c r="M39" s="623">
        <v>1552418.47</v>
      </c>
      <c r="N39" s="625"/>
      <c r="O39" s="625"/>
      <c r="P39" s="625"/>
      <c r="Q39" s="623">
        <f t="shared" si="2"/>
        <v>1552418.47</v>
      </c>
      <c r="R39" s="625"/>
      <c r="S39" s="623">
        <f t="shared" si="3"/>
        <v>1552418.47</v>
      </c>
      <c r="T39" s="710" t="s">
        <v>1099</v>
      </c>
      <c r="U39" s="628"/>
      <c r="V39" s="628"/>
      <c r="W39" s="628"/>
      <c r="X39" s="628"/>
      <c r="Y39" s="628"/>
      <c r="Z39" s="628"/>
      <c r="AA39" s="628"/>
      <c r="AB39" s="628"/>
      <c r="AC39" s="628"/>
      <c r="AD39" s="628"/>
      <c r="AE39" s="628"/>
      <c r="AF39" s="628"/>
      <c r="AG39" s="628"/>
      <c r="AH39" s="628"/>
      <c r="AI39" s="628"/>
      <c r="AJ39" s="628"/>
      <c r="AK39" s="628"/>
      <c r="AL39" s="628"/>
      <c r="AM39" s="628"/>
      <c r="AN39" s="628"/>
      <c r="AO39" s="628"/>
      <c r="AP39" s="628"/>
      <c r="AQ39" s="628"/>
      <c r="AR39" s="628"/>
      <c r="AS39" s="628"/>
      <c r="AT39" s="628"/>
      <c r="AU39" s="628"/>
      <c r="AV39" s="628"/>
      <c r="AW39" s="628"/>
      <c r="AX39" s="628"/>
      <c r="AY39" s="628"/>
      <c r="AZ39" s="628"/>
      <c r="BA39" s="628"/>
      <c r="BB39" s="628"/>
      <c r="BC39" s="628"/>
      <c r="BD39" s="628"/>
      <c r="BE39" s="628"/>
      <c r="BF39" s="628"/>
      <c r="BG39" s="628"/>
      <c r="BH39" s="628"/>
      <c r="BI39" s="628"/>
      <c r="BJ39" s="628"/>
      <c r="BK39" s="628"/>
      <c r="BL39" s="628"/>
      <c r="BM39" s="628"/>
      <c r="BN39" s="628"/>
      <c r="BO39" s="628"/>
      <c r="BP39" s="628"/>
      <c r="BQ39" s="628"/>
      <c r="BR39" s="628"/>
      <c r="BS39" s="628"/>
      <c r="BT39" s="628"/>
      <c r="BU39" s="628"/>
      <c r="BV39" s="628"/>
      <c r="BW39" s="628"/>
      <c r="BX39" s="628"/>
      <c r="BY39" s="628"/>
      <c r="BZ39" s="628"/>
      <c r="CA39" s="628"/>
      <c r="CB39" s="628"/>
      <c r="CC39" s="628"/>
      <c r="CD39" s="628"/>
      <c r="CE39" s="628"/>
      <c r="CF39" s="628"/>
      <c r="CG39" s="628"/>
      <c r="CH39" s="628"/>
      <c r="CI39" s="628"/>
      <c r="CJ39" s="628"/>
      <c r="CK39" s="628"/>
      <c r="CL39" s="628"/>
      <c r="CM39" s="628"/>
      <c r="CN39" s="628"/>
      <c r="CO39" s="628"/>
      <c r="CP39" s="628"/>
      <c r="CQ39" s="628"/>
      <c r="CR39" s="628"/>
      <c r="CS39" s="628"/>
      <c r="CT39" s="628"/>
    </row>
    <row r="40">
      <c r="A40" s="305" t="s">
        <v>822</v>
      </c>
      <c r="B40" s="306"/>
      <c r="C40" s="306"/>
      <c r="D40" s="307"/>
      <c r="E40" s="321"/>
      <c r="F40" s="311" t="s">
        <v>695</v>
      </c>
      <c r="G40" s="312" t="s">
        <v>697</v>
      </c>
      <c r="H40" s="411" t="s">
        <v>419</v>
      </c>
      <c r="I40" s="312" t="s">
        <v>71</v>
      </c>
      <c r="J40" s="372" t="s">
        <v>504</v>
      </c>
      <c r="K40" s="314">
        <v>780418.3</v>
      </c>
      <c r="L40" s="317">
        <f t="shared" si="1"/>
        <v>0</v>
      </c>
      <c r="M40" s="317">
        <v>780418.3</v>
      </c>
      <c r="N40" s="318"/>
      <c r="O40" s="318"/>
      <c r="P40" s="318"/>
      <c r="Q40" s="317">
        <f t="shared" si="2"/>
        <v>780418.3</v>
      </c>
      <c r="R40" s="318"/>
      <c r="S40" s="317">
        <f t="shared" si="3"/>
        <v>780418.3</v>
      </c>
      <c r="T40" s="416" t="s">
        <v>1113</v>
      </c>
      <c r="U40" s="359"/>
      <c r="V40" s="359"/>
      <c r="W40" s="359"/>
      <c r="X40" s="359"/>
      <c r="Y40" s="359"/>
      <c r="Z40" s="359"/>
      <c r="AA40" s="359"/>
      <c r="AB40" s="359"/>
      <c r="AC40" s="359"/>
      <c r="AD40" s="359"/>
      <c r="AE40" s="359"/>
      <c r="AF40" s="359"/>
      <c r="AG40" s="359"/>
      <c r="AH40" s="359"/>
      <c r="AI40" s="359"/>
      <c r="AJ40" s="359"/>
      <c r="AK40" s="359"/>
      <c r="AL40" s="359"/>
      <c r="AM40" s="359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  <c r="AY40" s="359"/>
      <c r="AZ40" s="359"/>
      <c r="BA40" s="359"/>
      <c r="BB40" s="359"/>
      <c r="BC40" s="359"/>
      <c r="BD40" s="359"/>
      <c r="BE40" s="359"/>
      <c r="BF40" s="359"/>
      <c r="BG40" s="359"/>
      <c r="BH40" s="359"/>
      <c r="BI40" s="359"/>
      <c r="BJ40" s="359"/>
      <c r="BK40" s="359"/>
      <c r="BL40" s="359"/>
      <c r="BM40" s="359"/>
      <c r="BN40" s="359"/>
      <c r="BO40" s="359"/>
      <c r="BP40" s="359"/>
      <c r="BQ40" s="359"/>
      <c r="BR40" s="359"/>
      <c r="BS40" s="359"/>
      <c r="BT40" s="359"/>
      <c r="BU40" s="359"/>
      <c r="BV40" s="359"/>
      <c r="BW40" s="359"/>
      <c r="BX40" s="359"/>
      <c r="BY40" s="359"/>
      <c r="BZ40" s="359"/>
      <c r="CA40" s="359"/>
      <c r="CB40" s="359"/>
      <c r="CC40" s="359"/>
      <c r="CD40" s="359"/>
      <c r="CE40" s="359"/>
      <c r="CF40" s="359"/>
      <c r="CG40" s="359"/>
      <c r="CH40" s="359"/>
      <c r="CI40" s="359"/>
      <c r="CJ40" s="359"/>
      <c r="CK40" s="359"/>
      <c r="CL40" s="359"/>
      <c r="CM40" s="359"/>
      <c r="CN40" s="359"/>
      <c r="CO40" s="359"/>
      <c r="CP40" s="359"/>
      <c r="CQ40" s="359"/>
      <c r="CR40" s="359"/>
      <c r="CS40" s="359"/>
      <c r="CT40" s="359"/>
    </row>
    <row r="41">
      <c r="A41" s="684" t="s">
        <v>822</v>
      </c>
      <c r="B41" s="471"/>
      <c r="C41" s="471"/>
      <c r="D41" s="475"/>
      <c r="E41" s="711"/>
      <c r="F41" s="311" t="s">
        <v>1158</v>
      </c>
      <c r="G41" s="479" t="s">
        <v>697</v>
      </c>
      <c r="H41" s="712" t="s">
        <v>419</v>
      </c>
      <c r="I41" s="479" t="s">
        <v>71</v>
      </c>
      <c r="J41" s="713" t="s">
        <v>471</v>
      </c>
      <c r="K41" s="480">
        <v>2389200.18</v>
      </c>
      <c r="L41" s="481">
        <f t="shared" si="1"/>
        <v>0</v>
      </c>
      <c r="M41" s="481">
        <v>2389200.18</v>
      </c>
      <c r="N41" s="482"/>
      <c r="O41" s="482"/>
      <c r="P41" s="482"/>
      <c r="Q41" s="481">
        <f t="shared" si="2"/>
        <v>2389200.18</v>
      </c>
      <c r="R41" s="482"/>
      <c r="S41" s="481">
        <f t="shared" si="3"/>
        <v>2389200.18</v>
      </c>
      <c r="T41" s="714" t="s">
        <v>1114</v>
      </c>
      <c r="U41" s="691"/>
      <c r="V41" s="691"/>
      <c r="W41" s="691"/>
      <c r="X41" s="691"/>
      <c r="Y41" s="691"/>
      <c r="Z41" s="691"/>
      <c r="AA41" s="691"/>
      <c r="AB41" s="691"/>
      <c r="AC41" s="691"/>
      <c r="AD41" s="691"/>
      <c r="AE41" s="691"/>
      <c r="AF41" s="691"/>
      <c r="AG41" s="691"/>
      <c r="AH41" s="691"/>
      <c r="AI41" s="691"/>
      <c r="AJ41" s="691"/>
      <c r="AK41" s="691"/>
      <c r="AL41" s="691"/>
      <c r="AM41" s="691"/>
      <c r="AN41" s="691"/>
      <c r="AO41" s="691"/>
      <c r="AP41" s="691"/>
      <c r="AQ41" s="691"/>
      <c r="AR41" s="691"/>
      <c r="AS41" s="691"/>
      <c r="AT41" s="691"/>
      <c r="AU41" s="691"/>
      <c r="AV41" s="691"/>
      <c r="AW41" s="691"/>
      <c r="AX41" s="691"/>
      <c r="AY41" s="691"/>
      <c r="AZ41" s="691"/>
      <c r="BA41" s="691"/>
      <c r="BB41" s="691"/>
      <c r="BC41" s="691"/>
      <c r="BD41" s="691"/>
      <c r="BE41" s="691"/>
      <c r="BF41" s="691"/>
      <c r="BG41" s="691"/>
      <c r="BH41" s="691"/>
      <c r="BI41" s="691"/>
      <c r="BJ41" s="691"/>
      <c r="BK41" s="691"/>
      <c r="BL41" s="691"/>
      <c r="BM41" s="691"/>
      <c r="BN41" s="691"/>
      <c r="BO41" s="691"/>
      <c r="BP41" s="691"/>
      <c r="BQ41" s="691"/>
      <c r="BR41" s="691"/>
      <c r="BS41" s="691"/>
      <c r="BT41" s="691"/>
      <c r="BU41" s="691"/>
      <c r="BV41" s="691"/>
      <c r="BW41" s="691"/>
      <c r="BX41" s="691"/>
      <c r="BY41" s="691"/>
      <c r="BZ41" s="691"/>
      <c r="CA41" s="691"/>
      <c r="CB41" s="691"/>
      <c r="CC41" s="691"/>
      <c r="CD41" s="691"/>
      <c r="CE41" s="691"/>
      <c r="CF41" s="691"/>
      <c r="CG41" s="691"/>
      <c r="CH41" s="691"/>
      <c r="CI41" s="691"/>
      <c r="CJ41" s="691"/>
      <c r="CK41" s="691"/>
      <c r="CL41" s="691"/>
      <c r="CM41" s="691"/>
      <c r="CN41" s="691"/>
      <c r="CO41" s="691"/>
      <c r="CP41" s="691"/>
      <c r="CQ41" s="691"/>
      <c r="CR41" s="691"/>
      <c r="CS41" s="691"/>
      <c r="CT41" s="691"/>
    </row>
    <row r="42">
      <c r="A42" s="305" t="s">
        <v>822</v>
      </c>
      <c r="B42" s="306"/>
      <c r="C42" s="306"/>
      <c r="D42" s="307"/>
      <c r="E42" s="321"/>
      <c r="F42" s="311" t="s">
        <v>695</v>
      </c>
      <c r="G42" s="312" t="s">
        <v>697</v>
      </c>
      <c r="H42" s="411" t="s">
        <v>419</v>
      </c>
      <c r="I42" s="312" t="s">
        <v>71</v>
      </c>
      <c r="J42" s="715" t="s">
        <v>447</v>
      </c>
      <c r="K42" s="314">
        <v>3995949.62</v>
      </c>
      <c r="L42" s="317">
        <f t="shared" si="1"/>
        <v>0</v>
      </c>
      <c r="M42" s="317">
        <v>3995949.62</v>
      </c>
      <c r="N42" s="318"/>
      <c r="O42" s="318"/>
      <c r="P42" s="318"/>
      <c r="Q42" s="317">
        <f t="shared" si="2"/>
        <v>3995949.62</v>
      </c>
      <c r="R42" s="318"/>
      <c r="S42" s="317">
        <f t="shared" si="3"/>
        <v>3995949.62</v>
      </c>
      <c r="T42" s="416" t="s">
        <v>1117</v>
      </c>
      <c r="U42" s="359"/>
      <c r="V42" s="359"/>
      <c r="W42" s="359"/>
      <c r="X42" s="359"/>
      <c r="Y42" s="359"/>
      <c r="Z42" s="359"/>
      <c r="AA42" s="359"/>
      <c r="AB42" s="359"/>
      <c r="AC42" s="359"/>
      <c r="AD42" s="359"/>
      <c r="AE42" s="359"/>
      <c r="AF42" s="359"/>
      <c r="AG42" s="359"/>
      <c r="AH42" s="359"/>
      <c r="AI42" s="359"/>
      <c r="AJ42" s="359"/>
      <c r="AK42" s="359"/>
      <c r="AL42" s="359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  <c r="AZ42" s="359"/>
      <c r="BA42" s="359"/>
      <c r="BB42" s="359"/>
      <c r="BC42" s="359"/>
      <c r="BD42" s="359"/>
      <c r="BE42" s="359"/>
      <c r="BF42" s="359"/>
      <c r="BG42" s="359"/>
      <c r="BH42" s="359"/>
      <c r="BI42" s="359"/>
      <c r="BJ42" s="359"/>
      <c r="BK42" s="359"/>
      <c r="BL42" s="359"/>
      <c r="BM42" s="359"/>
      <c r="BN42" s="359"/>
      <c r="BO42" s="359"/>
      <c r="BP42" s="359"/>
      <c r="BQ42" s="359"/>
      <c r="BR42" s="359"/>
      <c r="BS42" s="359"/>
      <c r="BT42" s="359"/>
      <c r="BU42" s="359"/>
      <c r="BV42" s="359"/>
      <c r="BW42" s="359"/>
      <c r="BX42" s="359"/>
      <c r="BY42" s="359"/>
      <c r="BZ42" s="359"/>
      <c r="CA42" s="359"/>
      <c r="CB42" s="359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  <c r="CQ42" s="359"/>
      <c r="CR42" s="359"/>
      <c r="CS42" s="359"/>
      <c r="CT42" s="359"/>
    </row>
    <row r="43">
      <c r="A43" s="716" t="s">
        <v>822</v>
      </c>
      <c r="B43" s="717"/>
      <c r="C43" s="717"/>
      <c r="D43" s="718"/>
      <c r="E43" s="719"/>
      <c r="F43" s="311" t="s">
        <v>1160</v>
      </c>
      <c r="G43" s="720" t="s">
        <v>747</v>
      </c>
      <c r="H43" s="721" t="s">
        <v>419</v>
      </c>
      <c r="I43" s="720" t="s">
        <v>71</v>
      </c>
      <c r="J43" s="722" t="s">
        <v>517</v>
      </c>
      <c r="K43" s="723">
        <v>943720.46</v>
      </c>
      <c r="L43" s="724">
        <f t="shared" si="1"/>
        <v>0</v>
      </c>
      <c r="M43" s="724">
        <v>943720.46</v>
      </c>
      <c r="N43" s="725"/>
      <c r="O43" s="725"/>
      <c r="P43" s="725"/>
      <c r="Q43" s="724">
        <f t="shared" si="2"/>
        <v>943720.46</v>
      </c>
      <c r="R43" s="725"/>
      <c r="S43" s="724">
        <f t="shared" si="3"/>
        <v>943720.46</v>
      </c>
      <c r="T43" s="726" t="s">
        <v>1252</v>
      </c>
      <c r="U43" s="727"/>
      <c r="V43" s="727"/>
      <c r="W43" s="727"/>
      <c r="X43" s="727"/>
      <c r="Y43" s="727"/>
      <c r="Z43" s="727"/>
      <c r="AA43" s="727"/>
      <c r="AB43" s="727"/>
      <c r="AC43" s="727"/>
      <c r="AD43" s="727"/>
      <c r="AE43" s="727"/>
      <c r="AF43" s="727"/>
      <c r="AG43" s="727"/>
      <c r="AH43" s="727"/>
      <c r="AI43" s="727"/>
      <c r="AJ43" s="727"/>
      <c r="AK43" s="727"/>
      <c r="AL43" s="727"/>
      <c r="AM43" s="727"/>
      <c r="AN43" s="727"/>
      <c r="AO43" s="727"/>
      <c r="AP43" s="727"/>
      <c r="AQ43" s="727"/>
      <c r="AR43" s="727"/>
      <c r="AS43" s="727"/>
      <c r="AT43" s="727"/>
      <c r="AU43" s="727"/>
      <c r="AV43" s="727"/>
      <c r="AW43" s="727"/>
      <c r="AX43" s="727"/>
      <c r="AY43" s="727"/>
      <c r="AZ43" s="727"/>
      <c r="BA43" s="727"/>
      <c r="BB43" s="727"/>
      <c r="BC43" s="727"/>
      <c r="BD43" s="727"/>
      <c r="BE43" s="727"/>
      <c r="BF43" s="727"/>
      <c r="BG43" s="727"/>
      <c r="BH43" s="727"/>
      <c r="BI43" s="727"/>
      <c r="BJ43" s="727"/>
      <c r="BK43" s="727"/>
      <c r="BL43" s="727"/>
      <c r="BM43" s="727"/>
      <c r="BN43" s="727"/>
      <c r="BO43" s="727"/>
      <c r="BP43" s="727"/>
      <c r="BQ43" s="727"/>
      <c r="BR43" s="727"/>
      <c r="BS43" s="727"/>
      <c r="BT43" s="727"/>
      <c r="BU43" s="727"/>
      <c r="BV43" s="727"/>
      <c r="BW43" s="727"/>
      <c r="BX43" s="727"/>
      <c r="BY43" s="727"/>
      <c r="BZ43" s="727"/>
      <c r="CA43" s="727"/>
      <c r="CB43" s="727"/>
      <c r="CC43" s="727"/>
      <c r="CD43" s="727"/>
      <c r="CE43" s="727"/>
      <c r="CF43" s="727"/>
      <c r="CG43" s="727"/>
      <c r="CH43" s="727"/>
      <c r="CI43" s="727"/>
      <c r="CJ43" s="727"/>
      <c r="CK43" s="727"/>
      <c r="CL43" s="727"/>
      <c r="CM43" s="727"/>
      <c r="CN43" s="727"/>
      <c r="CO43" s="727"/>
      <c r="CP43" s="727"/>
      <c r="CQ43" s="727"/>
      <c r="CR43" s="727"/>
      <c r="CS43" s="727"/>
      <c r="CT43" s="727"/>
    </row>
    <row r="44">
      <c r="A44" s="684" t="s">
        <v>822</v>
      </c>
      <c r="B44" s="471"/>
      <c r="C44" s="471"/>
      <c r="D44" s="475"/>
      <c r="E44" s="711"/>
      <c r="F44" s="311" t="s">
        <v>1158</v>
      </c>
      <c r="G44" s="479" t="s">
        <v>747</v>
      </c>
      <c r="H44" s="712" t="s">
        <v>419</v>
      </c>
      <c r="I44" s="479" t="s">
        <v>71</v>
      </c>
      <c r="J44" s="728" t="s">
        <v>439</v>
      </c>
      <c r="K44" s="480">
        <v>82444.95</v>
      </c>
      <c r="L44" s="481">
        <f t="shared" si="1"/>
        <v>0</v>
      </c>
      <c r="M44" s="481">
        <v>82444.95</v>
      </c>
      <c r="N44" s="482"/>
      <c r="O44" s="482"/>
      <c r="P44" s="482"/>
      <c r="Q44" s="481">
        <f t="shared" si="2"/>
        <v>82444.95</v>
      </c>
      <c r="R44" s="482"/>
      <c r="S44" s="481">
        <f t="shared" si="3"/>
        <v>82444.95</v>
      </c>
      <c r="T44" s="714" t="s">
        <v>1253</v>
      </c>
      <c r="U44" s="691"/>
      <c r="V44" s="691"/>
      <c r="W44" s="691"/>
      <c r="X44" s="691"/>
      <c r="Y44" s="691"/>
      <c r="Z44" s="691"/>
      <c r="AA44" s="691"/>
      <c r="AB44" s="691"/>
      <c r="AC44" s="691"/>
      <c r="AD44" s="691"/>
      <c r="AE44" s="691"/>
      <c r="AF44" s="691"/>
      <c r="AG44" s="691"/>
      <c r="AH44" s="691"/>
      <c r="AI44" s="691"/>
      <c r="AJ44" s="691"/>
      <c r="AK44" s="691"/>
      <c r="AL44" s="691"/>
      <c r="AM44" s="691"/>
      <c r="AN44" s="691"/>
      <c r="AO44" s="691"/>
      <c r="AP44" s="691"/>
      <c r="AQ44" s="691"/>
      <c r="AR44" s="691"/>
      <c r="AS44" s="691"/>
      <c r="AT44" s="691"/>
      <c r="AU44" s="691"/>
      <c r="AV44" s="691"/>
      <c r="AW44" s="691"/>
      <c r="AX44" s="691"/>
      <c r="AY44" s="691"/>
      <c r="AZ44" s="691"/>
      <c r="BA44" s="691"/>
      <c r="BB44" s="691"/>
      <c r="BC44" s="691"/>
      <c r="BD44" s="691"/>
      <c r="BE44" s="691"/>
      <c r="BF44" s="691"/>
      <c r="BG44" s="691"/>
      <c r="BH44" s="691"/>
      <c r="BI44" s="691"/>
      <c r="BJ44" s="691"/>
      <c r="BK44" s="691"/>
      <c r="BL44" s="691"/>
      <c r="BM44" s="691"/>
      <c r="BN44" s="691"/>
      <c r="BO44" s="691"/>
      <c r="BP44" s="691"/>
      <c r="BQ44" s="691"/>
      <c r="BR44" s="691"/>
      <c r="BS44" s="691"/>
      <c r="BT44" s="691"/>
      <c r="BU44" s="691"/>
      <c r="BV44" s="691"/>
      <c r="BW44" s="691"/>
      <c r="BX44" s="691"/>
      <c r="BY44" s="691"/>
      <c r="BZ44" s="691"/>
      <c r="CA44" s="691"/>
      <c r="CB44" s="691"/>
      <c r="CC44" s="691"/>
      <c r="CD44" s="691"/>
      <c r="CE44" s="691"/>
      <c r="CF44" s="691"/>
      <c r="CG44" s="691"/>
      <c r="CH44" s="691"/>
      <c r="CI44" s="691"/>
      <c r="CJ44" s="691"/>
      <c r="CK44" s="691"/>
      <c r="CL44" s="691"/>
      <c r="CM44" s="691"/>
      <c r="CN44" s="691"/>
      <c r="CO44" s="691"/>
      <c r="CP44" s="691"/>
      <c r="CQ44" s="691"/>
      <c r="CR44" s="691"/>
      <c r="CS44" s="691"/>
      <c r="CT44" s="691"/>
    </row>
    <row r="45">
      <c r="A45" s="613" t="s">
        <v>822</v>
      </c>
      <c r="B45" s="614"/>
      <c r="C45" s="615" t="s">
        <v>993</v>
      </c>
      <c r="D45" s="616"/>
      <c r="E45" s="617"/>
      <c r="F45" s="311" t="s">
        <v>1166</v>
      </c>
      <c r="G45" s="618" t="s">
        <v>747</v>
      </c>
      <c r="H45" s="708" t="s">
        <v>419</v>
      </c>
      <c r="I45" s="618" t="s">
        <v>71</v>
      </c>
      <c r="J45" s="729" t="s">
        <v>431</v>
      </c>
      <c r="K45" s="620">
        <v>898905.46</v>
      </c>
      <c r="L45" s="623">
        <f t="shared" si="1"/>
        <v>0</v>
      </c>
      <c r="M45" s="623">
        <v>898905.46</v>
      </c>
      <c r="N45" s="625"/>
      <c r="O45" s="625"/>
      <c r="P45" s="625"/>
      <c r="Q45" s="623">
        <f t="shared" si="2"/>
        <v>898905.46</v>
      </c>
      <c r="R45" s="625"/>
      <c r="S45" s="623">
        <f t="shared" si="3"/>
        <v>898905.46</v>
      </c>
      <c r="T45" s="710" t="s">
        <v>1254</v>
      </c>
      <c r="U45" s="628"/>
      <c r="V45" s="628"/>
      <c r="W45" s="628"/>
      <c r="X45" s="628"/>
      <c r="Y45" s="628"/>
      <c r="Z45" s="628"/>
      <c r="AA45" s="628"/>
      <c r="AB45" s="628"/>
      <c r="AC45" s="628"/>
      <c r="AD45" s="628"/>
      <c r="AE45" s="628"/>
      <c r="AF45" s="628"/>
      <c r="AG45" s="628"/>
      <c r="AH45" s="628"/>
      <c r="AI45" s="628"/>
      <c r="AJ45" s="628"/>
      <c r="AK45" s="628"/>
      <c r="AL45" s="628"/>
      <c r="AM45" s="628"/>
      <c r="AN45" s="628"/>
      <c r="AO45" s="628"/>
      <c r="AP45" s="628"/>
      <c r="AQ45" s="628"/>
      <c r="AR45" s="628"/>
      <c r="AS45" s="628"/>
      <c r="AT45" s="628"/>
      <c r="AU45" s="628"/>
      <c r="AV45" s="628"/>
      <c r="AW45" s="628"/>
      <c r="AX45" s="628"/>
      <c r="AY45" s="628"/>
      <c r="AZ45" s="628"/>
      <c r="BA45" s="628"/>
      <c r="BB45" s="628"/>
      <c r="BC45" s="628"/>
      <c r="BD45" s="628"/>
      <c r="BE45" s="628"/>
      <c r="BF45" s="628"/>
      <c r="BG45" s="628"/>
      <c r="BH45" s="628"/>
      <c r="BI45" s="628"/>
      <c r="BJ45" s="628"/>
      <c r="BK45" s="628"/>
      <c r="BL45" s="628"/>
      <c r="BM45" s="628"/>
      <c r="BN45" s="628"/>
      <c r="BO45" s="628"/>
      <c r="BP45" s="628"/>
      <c r="BQ45" s="628"/>
      <c r="BR45" s="628"/>
      <c r="BS45" s="628"/>
      <c r="BT45" s="628"/>
      <c r="BU45" s="628"/>
      <c r="BV45" s="628"/>
      <c r="BW45" s="628"/>
      <c r="BX45" s="628"/>
      <c r="BY45" s="628"/>
      <c r="BZ45" s="628"/>
      <c r="CA45" s="628"/>
      <c r="CB45" s="628"/>
      <c r="CC45" s="628"/>
      <c r="CD45" s="628"/>
      <c r="CE45" s="628"/>
      <c r="CF45" s="628"/>
      <c r="CG45" s="628"/>
      <c r="CH45" s="628"/>
      <c r="CI45" s="628"/>
      <c r="CJ45" s="628"/>
      <c r="CK45" s="628"/>
      <c r="CL45" s="628"/>
      <c r="CM45" s="628"/>
      <c r="CN45" s="628"/>
      <c r="CO45" s="628"/>
      <c r="CP45" s="628"/>
      <c r="CQ45" s="628"/>
      <c r="CR45" s="628"/>
      <c r="CS45" s="628"/>
      <c r="CT45" s="628"/>
    </row>
    <row r="46">
      <c r="A46" s="305" t="s">
        <v>822</v>
      </c>
      <c r="B46" s="306"/>
      <c r="C46" s="306"/>
      <c r="D46" s="307"/>
      <c r="E46" s="321"/>
      <c r="F46" s="311" t="s">
        <v>695</v>
      </c>
      <c r="G46" s="312" t="s">
        <v>697</v>
      </c>
      <c r="H46" s="411" t="s">
        <v>419</v>
      </c>
      <c r="I46" s="312" t="s">
        <v>71</v>
      </c>
      <c r="J46" s="372" t="s">
        <v>459</v>
      </c>
      <c r="K46" s="314">
        <v>1203179.41</v>
      </c>
      <c r="L46" s="317">
        <f t="shared" si="1"/>
        <v>0</v>
      </c>
      <c r="M46" s="317">
        <v>1203179.41</v>
      </c>
      <c r="N46" s="318"/>
      <c r="O46" s="318"/>
      <c r="P46" s="318"/>
      <c r="Q46" s="317">
        <f t="shared" si="2"/>
        <v>1203179.41</v>
      </c>
      <c r="R46" s="318"/>
      <c r="S46" s="317">
        <f t="shared" si="3"/>
        <v>1203179.41</v>
      </c>
      <c r="T46" s="416" t="s">
        <v>1119</v>
      </c>
      <c r="U46" s="359"/>
      <c r="V46" s="359"/>
      <c r="W46" s="359"/>
      <c r="X46" s="359"/>
      <c r="Y46" s="359"/>
      <c r="Z46" s="359"/>
      <c r="AA46" s="359"/>
      <c r="AB46" s="359"/>
      <c r="AC46" s="359"/>
      <c r="AD46" s="359"/>
      <c r="AE46" s="359"/>
      <c r="AF46" s="359"/>
      <c r="AG46" s="359"/>
      <c r="AH46" s="359"/>
      <c r="AI46" s="359"/>
      <c r="AJ46" s="359"/>
      <c r="AK46" s="359"/>
      <c r="AL46" s="359"/>
      <c r="AM46" s="359"/>
      <c r="AN46" s="359"/>
      <c r="AO46" s="359"/>
      <c r="AP46" s="359"/>
      <c r="AQ46" s="359"/>
      <c r="AR46" s="359"/>
      <c r="AS46" s="359"/>
      <c r="AT46" s="359"/>
      <c r="AU46" s="359"/>
      <c r="AV46" s="359"/>
      <c r="AW46" s="359"/>
      <c r="AX46" s="359"/>
      <c r="AY46" s="359"/>
      <c r="AZ46" s="359"/>
      <c r="BA46" s="359"/>
      <c r="BB46" s="359"/>
      <c r="BC46" s="359"/>
      <c r="BD46" s="359"/>
      <c r="BE46" s="359"/>
      <c r="BF46" s="359"/>
      <c r="BG46" s="359"/>
      <c r="BH46" s="359"/>
      <c r="BI46" s="359"/>
      <c r="BJ46" s="359"/>
      <c r="BK46" s="359"/>
      <c r="BL46" s="359"/>
      <c r="BM46" s="359"/>
      <c r="BN46" s="359"/>
      <c r="BO46" s="359"/>
      <c r="BP46" s="359"/>
      <c r="BQ46" s="359"/>
      <c r="BR46" s="359"/>
      <c r="BS46" s="359"/>
      <c r="BT46" s="359"/>
      <c r="BU46" s="359"/>
      <c r="BV46" s="359"/>
      <c r="BW46" s="359"/>
      <c r="BX46" s="359"/>
      <c r="BY46" s="359"/>
      <c r="BZ46" s="359"/>
      <c r="CA46" s="359"/>
      <c r="CB46" s="359"/>
      <c r="CC46" s="359"/>
      <c r="CD46" s="359"/>
      <c r="CE46" s="359"/>
      <c r="CF46" s="359"/>
      <c r="CG46" s="359"/>
      <c r="CH46" s="359"/>
      <c r="CI46" s="359"/>
      <c r="CJ46" s="359"/>
      <c r="CK46" s="359"/>
      <c r="CL46" s="359"/>
      <c r="CM46" s="359"/>
      <c r="CN46" s="359"/>
      <c r="CO46" s="359"/>
      <c r="CP46" s="359"/>
      <c r="CQ46" s="359"/>
      <c r="CR46" s="359"/>
      <c r="CS46" s="359"/>
      <c r="CT46" s="359"/>
    </row>
    <row r="47">
      <c r="A47" s="305" t="s">
        <v>683</v>
      </c>
      <c r="B47" s="306"/>
      <c r="C47" s="345"/>
      <c r="D47" s="630">
        <v>46280.0</v>
      </c>
      <c r="E47" s="429" t="s">
        <v>721</v>
      </c>
      <c r="F47" s="311" t="s">
        <v>695</v>
      </c>
      <c r="G47" s="312" t="s">
        <v>697</v>
      </c>
      <c r="H47" s="312" t="s">
        <v>293</v>
      </c>
      <c r="I47" s="312" t="s">
        <v>71</v>
      </c>
      <c r="J47" s="372" t="s">
        <v>1013</v>
      </c>
      <c r="K47" s="314">
        <v>1214412.76</v>
      </c>
      <c r="L47" s="317">
        <f t="shared" si="1"/>
        <v>0</v>
      </c>
      <c r="M47" s="317">
        <f t="shared" ref="M47:M48" si="9">K47</f>
        <v>1214412.76</v>
      </c>
      <c r="N47" s="318"/>
      <c r="O47" s="318"/>
      <c r="P47" s="318"/>
      <c r="Q47" s="317">
        <f t="shared" si="2"/>
        <v>1214412.76</v>
      </c>
      <c r="R47" s="318"/>
      <c r="S47" s="317">
        <f t="shared" si="3"/>
        <v>1214412.76</v>
      </c>
      <c r="T47" s="318"/>
      <c r="U47" s="359"/>
      <c r="V47" s="359"/>
      <c r="W47" s="359"/>
      <c r="X47" s="359"/>
      <c r="Y47" s="359"/>
      <c r="Z47" s="359"/>
      <c r="AA47" s="359"/>
      <c r="AB47" s="359"/>
      <c r="AC47" s="359"/>
      <c r="AD47" s="359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  <c r="AO47" s="359"/>
      <c r="AP47" s="359"/>
      <c r="AQ47" s="359"/>
      <c r="AR47" s="359"/>
      <c r="AS47" s="359"/>
      <c r="AT47" s="359"/>
      <c r="AU47" s="359"/>
      <c r="AV47" s="359"/>
      <c r="AW47" s="359"/>
      <c r="AX47" s="359"/>
      <c r="AY47" s="359"/>
      <c r="AZ47" s="359"/>
      <c r="BA47" s="359"/>
      <c r="BB47" s="359"/>
      <c r="BC47" s="359"/>
      <c r="BD47" s="359"/>
      <c r="BE47" s="359"/>
      <c r="BF47" s="359"/>
      <c r="BG47" s="359"/>
      <c r="BH47" s="359"/>
      <c r="BI47" s="359"/>
      <c r="BJ47" s="359"/>
      <c r="BK47" s="359"/>
      <c r="BL47" s="359"/>
      <c r="BM47" s="359"/>
      <c r="BN47" s="359"/>
      <c r="BO47" s="359"/>
      <c r="BP47" s="359"/>
      <c r="BQ47" s="359"/>
      <c r="BR47" s="359"/>
      <c r="BS47" s="359"/>
      <c r="BT47" s="359"/>
      <c r="BU47" s="359"/>
      <c r="BV47" s="359"/>
      <c r="BW47" s="359"/>
      <c r="BX47" s="359"/>
      <c r="BY47" s="359"/>
      <c r="BZ47" s="359"/>
      <c r="CA47" s="359"/>
      <c r="CB47" s="359"/>
      <c r="CC47" s="359"/>
      <c r="CD47" s="359"/>
      <c r="CE47" s="359"/>
      <c r="CF47" s="359"/>
      <c r="CG47" s="359"/>
      <c r="CH47" s="359"/>
      <c r="CI47" s="359"/>
      <c r="CJ47" s="359"/>
      <c r="CK47" s="359"/>
      <c r="CL47" s="359"/>
      <c r="CM47" s="359"/>
      <c r="CN47" s="359"/>
      <c r="CO47" s="359"/>
      <c r="CP47" s="359"/>
      <c r="CQ47" s="359"/>
      <c r="CR47" s="359"/>
      <c r="CS47" s="359"/>
      <c r="CT47" s="359"/>
    </row>
    <row r="48">
      <c r="A48" s="305" t="s">
        <v>683</v>
      </c>
      <c r="B48" s="306"/>
      <c r="C48" s="345"/>
      <c r="D48" s="630">
        <v>46280.0</v>
      </c>
      <c r="E48" s="429" t="s">
        <v>721</v>
      </c>
      <c r="F48" s="311" t="s">
        <v>695</v>
      </c>
      <c r="G48" s="312" t="s">
        <v>747</v>
      </c>
      <c r="H48" s="312" t="s">
        <v>293</v>
      </c>
      <c r="I48" s="312" t="s">
        <v>71</v>
      </c>
      <c r="J48" s="372" t="s">
        <v>1017</v>
      </c>
      <c r="K48" s="314">
        <v>2335307.0</v>
      </c>
      <c r="L48" s="317">
        <f t="shared" si="1"/>
        <v>0</v>
      </c>
      <c r="M48" s="317">
        <f t="shared" si="9"/>
        <v>2335307</v>
      </c>
      <c r="N48" s="317">
        <v>2218541.65</v>
      </c>
      <c r="O48" s="318"/>
      <c r="P48" s="317">
        <v>116765.35</v>
      </c>
      <c r="Q48" s="317">
        <f t="shared" si="2"/>
        <v>0</v>
      </c>
      <c r="R48" s="318"/>
      <c r="S48" s="317">
        <f t="shared" si="3"/>
        <v>0</v>
      </c>
      <c r="T48" s="318"/>
      <c r="U48" s="359"/>
      <c r="V48" s="359"/>
      <c r="W48" s="359"/>
      <c r="X48" s="359"/>
      <c r="Y48" s="359"/>
      <c r="Z48" s="359"/>
      <c r="AA48" s="359"/>
      <c r="AB48" s="359"/>
      <c r="AC48" s="359"/>
      <c r="AD48" s="359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  <c r="AO48" s="359"/>
      <c r="AP48" s="359"/>
      <c r="AQ48" s="359"/>
      <c r="AR48" s="359"/>
      <c r="AS48" s="359"/>
      <c r="AT48" s="359"/>
      <c r="AU48" s="359"/>
      <c r="AV48" s="359"/>
      <c r="AW48" s="359"/>
      <c r="AX48" s="359"/>
      <c r="AY48" s="359"/>
      <c r="AZ48" s="359"/>
      <c r="BA48" s="359"/>
      <c r="BB48" s="359"/>
      <c r="BC48" s="359"/>
      <c r="BD48" s="359"/>
      <c r="BE48" s="359"/>
      <c r="BF48" s="359"/>
      <c r="BG48" s="359"/>
      <c r="BH48" s="359"/>
      <c r="BI48" s="359"/>
      <c r="BJ48" s="359"/>
      <c r="BK48" s="359"/>
      <c r="BL48" s="359"/>
      <c r="BM48" s="359"/>
      <c r="BN48" s="359"/>
      <c r="BO48" s="359"/>
      <c r="BP48" s="359"/>
      <c r="BQ48" s="359"/>
      <c r="BR48" s="359"/>
      <c r="BS48" s="359"/>
      <c r="BT48" s="359"/>
      <c r="BU48" s="359"/>
      <c r="BV48" s="359"/>
      <c r="BW48" s="359"/>
      <c r="BX48" s="359"/>
      <c r="BY48" s="359"/>
      <c r="BZ48" s="359"/>
      <c r="CA48" s="359"/>
      <c r="CB48" s="359"/>
      <c r="CC48" s="359"/>
      <c r="CD48" s="359"/>
      <c r="CE48" s="359"/>
      <c r="CF48" s="359"/>
      <c r="CG48" s="359"/>
      <c r="CH48" s="359"/>
      <c r="CI48" s="359"/>
      <c r="CJ48" s="359"/>
      <c r="CK48" s="359"/>
      <c r="CL48" s="359"/>
      <c r="CM48" s="359"/>
      <c r="CN48" s="359"/>
      <c r="CO48" s="359"/>
      <c r="CP48" s="359"/>
      <c r="CQ48" s="359"/>
      <c r="CR48" s="359"/>
      <c r="CS48" s="359"/>
      <c r="CT48" s="359"/>
    </row>
    <row r="49">
      <c r="A49" s="730" t="s">
        <v>260</v>
      </c>
      <c r="B49" s="367"/>
      <c r="C49" s="731" t="s">
        <v>1021</v>
      </c>
      <c r="D49" s="307"/>
      <c r="E49" s="732">
        <v>23.0</v>
      </c>
      <c r="F49" s="733" t="s">
        <v>695</v>
      </c>
      <c r="G49" s="434" t="s">
        <v>697</v>
      </c>
      <c r="H49" s="434" t="s">
        <v>1241</v>
      </c>
      <c r="I49" s="434" t="s">
        <v>228</v>
      </c>
      <c r="J49" s="734" t="s">
        <v>1023</v>
      </c>
      <c r="K49" s="435">
        <v>1992450.0</v>
      </c>
      <c r="L49" s="317">
        <f t="shared" si="1"/>
        <v>896602.5</v>
      </c>
      <c r="M49" s="317">
        <v>1095847.5</v>
      </c>
      <c r="N49" s="318"/>
      <c r="O49" s="317">
        <v>100000.0</v>
      </c>
      <c r="P49" s="318"/>
      <c r="Q49" s="317">
        <v>995847.5</v>
      </c>
      <c r="R49" s="317">
        <v>995847.5</v>
      </c>
      <c r="S49" s="317">
        <f t="shared" si="3"/>
        <v>0</v>
      </c>
      <c r="T49" s="735" t="s">
        <v>1255</v>
      </c>
      <c r="U49" s="736"/>
      <c r="V49" s="736"/>
      <c r="W49" s="736"/>
      <c r="X49" s="736"/>
      <c r="Y49" s="736"/>
      <c r="Z49" s="736"/>
      <c r="AA49" s="736"/>
      <c r="AB49" s="736"/>
      <c r="AC49" s="736"/>
      <c r="AD49" s="736"/>
      <c r="AE49" s="736"/>
      <c r="AF49" s="736"/>
      <c r="AG49" s="736"/>
      <c r="AH49" s="736"/>
      <c r="AI49" s="736"/>
      <c r="AJ49" s="736"/>
      <c r="AK49" s="736"/>
      <c r="AL49" s="736"/>
      <c r="AM49" s="736"/>
      <c r="AN49" s="736"/>
      <c r="AO49" s="736"/>
      <c r="AP49" s="736"/>
      <c r="AQ49" s="736"/>
      <c r="AR49" s="736"/>
      <c r="AS49" s="736"/>
      <c r="AT49" s="736"/>
      <c r="AU49" s="736"/>
      <c r="AV49" s="736"/>
      <c r="AW49" s="736"/>
      <c r="AX49" s="736"/>
      <c r="AY49" s="736"/>
      <c r="AZ49" s="736"/>
      <c r="BA49" s="736"/>
      <c r="BB49" s="736"/>
      <c r="BC49" s="736"/>
      <c r="BD49" s="736"/>
      <c r="BE49" s="736"/>
      <c r="BF49" s="736"/>
      <c r="BG49" s="736"/>
      <c r="BH49" s="736"/>
      <c r="BI49" s="736"/>
      <c r="BJ49" s="736"/>
      <c r="BK49" s="736"/>
      <c r="BL49" s="736"/>
      <c r="BM49" s="736"/>
      <c r="BN49" s="736"/>
      <c r="BO49" s="736"/>
      <c r="BP49" s="736"/>
      <c r="BQ49" s="736"/>
      <c r="BR49" s="736"/>
      <c r="BS49" s="736"/>
      <c r="BT49" s="736"/>
      <c r="BU49" s="736"/>
      <c r="BV49" s="736"/>
      <c r="BW49" s="736"/>
      <c r="BX49" s="736"/>
      <c r="BY49" s="736"/>
      <c r="BZ49" s="736"/>
      <c r="CA49" s="736"/>
      <c r="CB49" s="736"/>
      <c r="CC49" s="736"/>
      <c r="CD49" s="736"/>
      <c r="CE49" s="736"/>
      <c r="CF49" s="736"/>
      <c r="CG49" s="736"/>
      <c r="CH49" s="736"/>
      <c r="CI49" s="736"/>
      <c r="CJ49" s="736"/>
      <c r="CK49" s="736"/>
      <c r="CL49" s="736"/>
      <c r="CM49" s="736"/>
      <c r="CN49" s="736"/>
      <c r="CO49" s="736"/>
      <c r="CP49" s="736"/>
      <c r="CQ49" s="736"/>
      <c r="CR49" s="736"/>
      <c r="CS49" s="736"/>
      <c r="CT49" s="736"/>
    </row>
    <row r="50">
      <c r="A50" s="737"/>
      <c r="B50" s="367"/>
      <c r="C50" s="731" t="s">
        <v>1021</v>
      </c>
      <c r="D50" s="307"/>
      <c r="E50" s="732">
        <v>24.0</v>
      </c>
      <c r="F50" s="733" t="s">
        <v>695</v>
      </c>
      <c r="G50" s="434" t="s">
        <v>697</v>
      </c>
      <c r="H50" s="434" t="s">
        <v>1241</v>
      </c>
      <c r="I50" s="434" t="s">
        <v>228</v>
      </c>
      <c r="J50" s="734" t="s">
        <v>1023</v>
      </c>
      <c r="K50" s="435">
        <v>2034955.9</v>
      </c>
      <c r="L50" s="317">
        <f t="shared" si="1"/>
        <v>9962.25</v>
      </c>
      <c r="M50" s="317">
        <v>2024993.65</v>
      </c>
      <c r="N50" s="318"/>
      <c r="O50" s="318"/>
      <c r="P50" s="318"/>
      <c r="Q50" s="317">
        <v>2024993.65</v>
      </c>
      <c r="R50" s="318"/>
      <c r="S50" s="317">
        <f t="shared" si="3"/>
        <v>2024993.65</v>
      </c>
      <c r="T50" s="735" t="s">
        <v>1256</v>
      </c>
      <c r="U50" s="736"/>
      <c r="V50" s="736"/>
      <c r="W50" s="736"/>
      <c r="X50" s="736"/>
      <c r="Y50" s="736"/>
      <c r="Z50" s="736"/>
      <c r="AA50" s="736"/>
      <c r="AB50" s="736"/>
      <c r="AC50" s="736"/>
      <c r="AD50" s="736"/>
      <c r="AE50" s="736"/>
      <c r="AF50" s="736"/>
      <c r="AG50" s="736"/>
      <c r="AH50" s="736"/>
      <c r="AI50" s="736"/>
      <c r="AJ50" s="736"/>
      <c r="AK50" s="736"/>
      <c r="AL50" s="736"/>
      <c r="AM50" s="736"/>
      <c r="AN50" s="736"/>
      <c r="AO50" s="736"/>
      <c r="AP50" s="736"/>
      <c r="AQ50" s="736"/>
      <c r="AR50" s="736"/>
      <c r="AS50" s="736"/>
      <c r="AT50" s="736"/>
      <c r="AU50" s="736"/>
      <c r="AV50" s="736"/>
      <c r="AW50" s="736"/>
      <c r="AX50" s="736"/>
      <c r="AY50" s="736"/>
      <c r="AZ50" s="736"/>
      <c r="BA50" s="736"/>
      <c r="BB50" s="736"/>
      <c r="BC50" s="736"/>
      <c r="BD50" s="736"/>
      <c r="BE50" s="736"/>
      <c r="BF50" s="736"/>
      <c r="BG50" s="736"/>
      <c r="BH50" s="736"/>
      <c r="BI50" s="736"/>
      <c r="BJ50" s="736"/>
      <c r="BK50" s="736"/>
      <c r="BL50" s="736"/>
      <c r="BM50" s="736"/>
      <c r="BN50" s="736"/>
      <c r="BO50" s="736"/>
      <c r="BP50" s="736"/>
      <c r="BQ50" s="736"/>
      <c r="BR50" s="736"/>
      <c r="BS50" s="736"/>
      <c r="BT50" s="736"/>
      <c r="BU50" s="736"/>
      <c r="BV50" s="736"/>
      <c r="BW50" s="736"/>
      <c r="BX50" s="736"/>
      <c r="BY50" s="736"/>
      <c r="BZ50" s="736"/>
      <c r="CA50" s="736"/>
      <c r="CB50" s="736"/>
      <c r="CC50" s="736"/>
      <c r="CD50" s="736"/>
      <c r="CE50" s="736"/>
      <c r="CF50" s="736"/>
      <c r="CG50" s="736"/>
      <c r="CH50" s="736"/>
      <c r="CI50" s="736"/>
      <c r="CJ50" s="736"/>
      <c r="CK50" s="736"/>
      <c r="CL50" s="736"/>
      <c r="CM50" s="736"/>
      <c r="CN50" s="736"/>
      <c r="CO50" s="736"/>
      <c r="CP50" s="736"/>
      <c r="CQ50" s="736"/>
      <c r="CR50" s="736"/>
      <c r="CS50" s="736"/>
      <c r="CT50" s="736"/>
    </row>
    <row r="51">
      <c r="A51" s="738" t="s">
        <v>260</v>
      </c>
      <c r="B51" s="367"/>
      <c r="C51" s="731" t="s">
        <v>1027</v>
      </c>
      <c r="D51" s="307"/>
      <c r="E51" s="739">
        <v>46029.0</v>
      </c>
      <c r="F51" s="733" t="s">
        <v>695</v>
      </c>
      <c r="G51" s="434" t="s">
        <v>697</v>
      </c>
      <c r="H51" s="434" t="s">
        <v>1028</v>
      </c>
      <c r="I51" s="434" t="s">
        <v>228</v>
      </c>
      <c r="J51" s="734" t="s">
        <v>1029</v>
      </c>
      <c r="K51" s="435">
        <v>1271495.0</v>
      </c>
      <c r="L51" s="317">
        <f t="shared" si="1"/>
        <v>83995</v>
      </c>
      <c r="M51" s="317">
        <v>1187500.0</v>
      </c>
      <c r="N51" s="318"/>
      <c r="O51" s="318"/>
      <c r="P51" s="318"/>
      <c r="Q51" s="317">
        <f t="shared" ref="Q51:Q52" si="10">M51-N51-P51</f>
        <v>1187500</v>
      </c>
      <c r="R51" s="318"/>
      <c r="S51" s="317">
        <f t="shared" si="3"/>
        <v>1187500</v>
      </c>
      <c r="T51" s="735" t="s">
        <v>1257</v>
      </c>
      <c r="U51" s="736"/>
      <c r="V51" s="736"/>
      <c r="W51" s="736"/>
      <c r="X51" s="736"/>
      <c r="Y51" s="736"/>
      <c r="Z51" s="736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736"/>
      <c r="AL51" s="736"/>
      <c r="AM51" s="736"/>
      <c r="AN51" s="736"/>
      <c r="AO51" s="736"/>
      <c r="AP51" s="736"/>
      <c r="AQ51" s="736"/>
      <c r="AR51" s="736"/>
      <c r="AS51" s="736"/>
      <c r="AT51" s="736"/>
      <c r="AU51" s="736"/>
      <c r="AV51" s="736"/>
      <c r="AW51" s="736"/>
      <c r="AX51" s="736"/>
      <c r="AY51" s="736"/>
      <c r="AZ51" s="736"/>
      <c r="BA51" s="736"/>
      <c r="BB51" s="736"/>
      <c r="BC51" s="736"/>
      <c r="BD51" s="736"/>
      <c r="BE51" s="736"/>
      <c r="BF51" s="736"/>
      <c r="BG51" s="736"/>
      <c r="BH51" s="736"/>
      <c r="BI51" s="736"/>
      <c r="BJ51" s="736"/>
      <c r="BK51" s="736"/>
      <c r="BL51" s="736"/>
      <c r="BM51" s="736"/>
      <c r="BN51" s="736"/>
      <c r="BO51" s="736"/>
      <c r="BP51" s="736"/>
      <c r="BQ51" s="736"/>
      <c r="BR51" s="736"/>
      <c r="BS51" s="736"/>
      <c r="BT51" s="736"/>
      <c r="BU51" s="736"/>
      <c r="BV51" s="736"/>
      <c r="BW51" s="736"/>
      <c r="BX51" s="736"/>
      <c r="BY51" s="736"/>
      <c r="BZ51" s="736"/>
      <c r="CA51" s="736"/>
      <c r="CB51" s="736"/>
      <c r="CC51" s="736"/>
      <c r="CD51" s="736"/>
      <c r="CE51" s="736"/>
      <c r="CF51" s="736"/>
      <c r="CG51" s="736"/>
      <c r="CH51" s="736"/>
      <c r="CI51" s="736"/>
      <c r="CJ51" s="736"/>
      <c r="CK51" s="736"/>
      <c r="CL51" s="736"/>
      <c r="CM51" s="736"/>
      <c r="CN51" s="736"/>
      <c r="CO51" s="736"/>
      <c r="CP51" s="736"/>
      <c r="CQ51" s="736"/>
      <c r="CR51" s="736"/>
      <c r="CS51" s="736"/>
      <c r="CT51" s="736"/>
    </row>
    <row r="52">
      <c r="A52" s="738" t="s">
        <v>260</v>
      </c>
      <c r="B52" s="367"/>
      <c r="C52" s="731" t="s">
        <v>1258</v>
      </c>
      <c r="D52" s="307"/>
      <c r="E52" s="739">
        <v>46060.0</v>
      </c>
      <c r="F52" s="733" t="s">
        <v>695</v>
      </c>
      <c r="G52" s="434" t="s">
        <v>697</v>
      </c>
      <c r="H52" s="434" t="s">
        <v>1028</v>
      </c>
      <c r="I52" s="434" t="s">
        <v>228</v>
      </c>
      <c r="J52" s="734" t="s">
        <v>1029</v>
      </c>
      <c r="K52" s="435">
        <f>M52</f>
        <v>15669406.13</v>
      </c>
      <c r="L52" s="317">
        <f t="shared" si="1"/>
        <v>0</v>
      </c>
      <c r="M52" s="317">
        <v>1.566940613E7</v>
      </c>
      <c r="N52" s="318"/>
      <c r="O52" s="317">
        <v>315214.2</v>
      </c>
      <c r="P52" s="318"/>
      <c r="Q52" s="317">
        <f t="shared" si="10"/>
        <v>15669406.13</v>
      </c>
      <c r="R52" s="318"/>
      <c r="S52" s="317">
        <f t="shared" si="3"/>
        <v>15669406.13</v>
      </c>
      <c r="T52" s="735" t="s">
        <v>1259</v>
      </c>
      <c r="U52" s="736"/>
      <c r="V52" s="736"/>
      <c r="W52" s="736"/>
      <c r="X52" s="736"/>
      <c r="Y52" s="736"/>
      <c r="Z52" s="736"/>
      <c r="AA52" s="736"/>
      <c r="AB52" s="736"/>
      <c r="AC52" s="736"/>
      <c r="AD52" s="736"/>
      <c r="AE52" s="736"/>
      <c r="AF52" s="736"/>
      <c r="AG52" s="736"/>
      <c r="AH52" s="736"/>
      <c r="AI52" s="736"/>
      <c r="AJ52" s="736"/>
      <c r="AK52" s="736"/>
      <c r="AL52" s="736"/>
      <c r="AM52" s="736"/>
      <c r="AN52" s="736"/>
      <c r="AO52" s="736"/>
      <c r="AP52" s="736"/>
      <c r="AQ52" s="736"/>
      <c r="AR52" s="736"/>
      <c r="AS52" s="736"/>
      <c r="AT52" s="736"/>
      <c r="AU52" s="736"/>
      <c r="AV52" s="736"/>
      <c r="AW52" s="736"/>
      <c r="AX52" s="736"/>
      <c r="AY52" s="736"/>
      <c r="AZ52" s="736"/>
      <c r="BA52" s="736"/>
      <c r="BB52" s="736"/>
      <c r="BC52" s="736"/>
      <c r="BD52" s="736"/>
      <c r="BE52" s="736"/>
      <c r="BF52" s="736"/>
      <c r="BG52" s="736"/>
      <c r="BH52" s="736"/>
      <c r="BI52" s="736"/>
      <c r="BJ52" s="736"/>
      <c r="BK52" s="736"/>
      <c r="BL52" s="736"/>
      <c r="BM52" s="736"/>
      <c r="BN52" s="736"/>
      <c r="BO52" s="736"/>
      <c r="BP52" s="736"/>
      <c r="BQ52" s="736"/>
      <c r="BR52" s="736"/>
      <c r="BS52" s="736"/>
      <c r="BT52" s="736"/>
      <c r="BU52" s="736"/>
      <c r="BV52" s="736"/>
      <c r="BW52" s="736"/>
      <c r="BX52" s="736"/>
      <c r="BY52" s="736"/>
      <c r="BZ52" s="736"/>
      <c r="CA52" s="736"/>
      <c r="CB52" s="736"/>
      <c r="CC52" s="736"/>
      <c r="CD52" s="736"/>
      <c r="CE52" s="736"/>
      <c r="CF52" s="736"/>
      <c r="CG52" s="736"/>
      <c r="CH52" s="736"/>
      <c r="CI52" s="736"/>
      <c r="CJ52" s="736"/>
      <c r="CK52" s="736"/>
      <c r="CL52" s="736"/>
      <c r="CM52" s="736"/>
      <c r="CN52" s="736"/>
      <c r="CO52" s="736"/>
      <c r="CP52" s="736"/>
      <c r="CQ52" s="736"/>
      <c r="CR52" s="736"/>
      <c r="CS52" s="736"/>
      <c r="CT52" s="736"/>
    </row>
    <row r="53">
      <c r="A53" s="327" t="s">
        <v>1260</v>
      </c>
      <c r="B53" s="306"/>
      <c r="C53" s="731" t="s">
        <v>1027</v>
      </c>
      <c r="D53" s="307"/>
      <c r="E53" s="740">
        <v>46061.0</v>
      </c>
      <c r="F53" s="311" t="s">
        <v>695</v>
      </c>
      <c r="G53" s="434" t="s">
        <v>697</v>
      </c>
      <c r="H53" s="434" t="s">
        <v>1028</v>
      </c>
      <c r="I53" s="434" t="s">
        <v>228</v>
      </c>
      <c r="J53" s="734" t="s">
        <v>1029</v>
      </c>
      <c r="K53" s="314">
        <v>1271495.0</v>
      </c>
      <c r="L53" s="317">
        <f t="shared" si="1"/>
        <v>62500</v>
      </c>
      <c r="M53" s="317">
        <v>1208995.0</v>
      </c>
      <c r="N53" s="318"/>
      <c r="O53" s="318"/>
      <c r="P53" s="318"/>
      <c r="Q53" s="318"/>
      <c r="R53" s="318"/>
      <c r="S53" s="318"/>
      <c r="T53" s="741" t="s">
        <v>1261</v>
      </c>
      <c r="U53" s="359"/>
      <c r="V53" s="359"/>
      <c r="W53" s="359"/>
      <c r="X53" s="359"/>
      <c r="Y53" s="359"/>
      <c r="Z53" s="359"/>
      <c r="AA53" s="359"/>
      <c r="AB53" s="359"/>
      <c r="AC53" s="359"/>
      <c r="AD53" s="359"/>
      <c r="AE53" s="359"/>
      <c r="AF53" s="359"/>
      <c r="AG53" s="359"/>
      <c r="AH53" s="359"/>
      <c r="AI53" s="359"/>
      <c r="AJ53" s="359"/>
      <c r="AK53" s="359"/>
      <c r="AL53" s="359"/>
      <c r="AM53" s="359"/>
      <c r="AN53" s="359"/>
      <c r="AO53" s="359"/>
      <c r="AP53" s="359"/>
      <c r="AQ53" s="359"/>
      <c r="AR53" s="359"/>
      <c r="AS53" s="359"/>
      <c r="AT53" s="359"/>
      <c r="AU53" s="359"/>
      <c r="AV53" s="359"/>
      <c r="AW53" s="359"/>
      <c r="AX53" s="359"/>
      <c r="AY53" s="359"/>
      <c r="AZ53" s="359"/>
      <c r="BA53" s="359"/>
      <c r="BB53" s="359"/>
      <c r="BC53" s="359"/>
      <c r="BD53" s="359"/>
      <c r="BE53" s="359"/>
      <c r="BF53" s="359"/>
      <c r="BG53" s="359"/>
      <c r="BH53" s="359"/>
      <c r="BI53" s="359"/>
      <c r="BJ53" s="359"/>
      <c r="BK53" s="359"/>
      <c r="BL53" s="359"/>
      <c r="BM53" s="359"/>
      <c r="BN53" s="359"/>
      <c r="BO53" s="359"/>
      <c r="BP53" s="359"/>
      <c r="BQ53" s="359"/>
      <c r="BR53" s="359"/>
      <c r="BS53" s="359"/>
      <c r="BT53" s="359"/>
      <c r="BU53" s="359"/>
      <c r="BV53" s="359"/>
      <c r="BW53" s="359"/>
      <c r="BX53" s="359"/>
      <c r="BY53" s="359"/>
      <c r="BZ53" s="359"/>
      <c r="CA53" s="359"/>
      <c r="CB53" s="359"/>
      <c r="CC53" s="359"/>
      <c r="CD53" s="359"/>
      <c r="CE53" s="359"/>
      <c r="CF53" s="359"/>
      <c r="CG53" s="359"/>
      <c r="CH53" s="359"/>
      <c r="CI53" s="359"/>
      <c r="CJ53" s="359"/>
      <c r="CK53" s="359"/>
      <c r="CL53" s="359"/>
      <c r="CM53" s="359"/>
      <c r="CN53" s="359"/>
      <c r="CO53" s="359"/>
      <c r="CP53" s="359"/>
      <c r="CQ53" s="359"/>
      <c r="CR53" s="359"/>
      <c r="CS53" s="359"/>
      <c r="CT53" s="359"/>
    </row>
    <row r="54">
      <c r="A54" s="576"/>
      <c r="B54" s="306"/>
      <c r="C54" s="731" t="s">
        <v>1258</v>
      </c>
      <c r="D54" s="307"/>
      <c r="E54" s="740">
        <v>46030.0</v>
      </c>
      <c r="F54" s="311" t="s">
        <v>695</v>
      </c>
      <c r="G54" s="434" t="s">
        <v>697</v>
      </c>
      <c r="H54" s="434" t="s">
        <v>1028</v>
      </c>
      <c r="I54" s="434" t="s">
        <v>228</v>
      </c>
      <c r="J54" s="734" t="s">
        <v>1029</v>
      </c>
      <c r="K54" s="314">
        <v>1250000.0</v>
      </c>
      <c r="L54" s="317">
        <f t="shared" si="1"/>
        <v>62500</v>
      </c>
      <c r="M54" s="317">
        <v>1187500.0</v>
      </c>
      <c r="N54" s="318"/>
      <c r="O54" s="318"/>
      <c r="P54" s="318"/>
      <c r="Q54" s="318"/>
      <c r="R54" s="318"/>
      <c r="S54" s="318"/>
      <c r="T54" s="741" t="s">
        <v>1261</v>
      </c>
      <c r="U54" s="359"/>
      <c r="V54" s="359"/>
      <c r="W54" s="359"/>
      <c r="X54" s="359"/>
      <c r="Y54" s="359"/>
      <c r="Z54" s="359"/>
      <c r="AA54" s="359"/>
      <c r="AB54" s="359"/>
      <c r="AC54" s="359"/>
      <c r="AD54" s="359"/>
      <c r="AE54" s="359"/>
      <c r="AF54" s="359"/>
      <c r="AG54" s="359"/>
      <c r="AH54" s="359"/>
      <c r="AI54" s="359"/>
      <c r="AJ54" s="359"/>
      <c r="AK54" s="359"/>
      <c r="AL54" s="359"/>
      <c r="AM54" s="359"/>
      <c r="AN54" s="359"/>
      <c r="AO54" s="359"/>
      <c r="AP54" s="359"/>
      <c r="AQ54" s="359"/>
      <c r="AR54" s="359"/>
      <c r="AS54" s="359"/>
      <c r="AT54" s="359"/>
      <c r="AU54" s="359"/>
      <c r="AV54" s="359"/>
      <c r="AW54" s="359"/>
      <c r="AX54" s="359"/>
      <c r="AY54" s="359"/>
      <c r="AZ54" s="359"/>
      <c r="BA54" s="359"/>
      <c r="BB54" s="359"/>
      <c r="BC54" s="359"/>
      <c r="BD54" s="359"/>
      <c r="BE54" s="359"/>
      <c r="BF54" s="359"/>
      <c r="BG54" s="359"/>
      <c r="BH54" s="359"/>
      <c r="BI54" s="359"/>
      <c r="BJ54" s="359"/>
      <c r="BK54" s="359"/>
      <c r="BL54" s="359"/>
      <c r="BM54" s="359"/>
      <c r="BN54" s="359"/>
      <c r="BO54" s="359"/>
      <c r="BP54" s="359"/>
      <c r="BQ54" s="359"/>
      <c r="BR54" s="359"/>
      <c r="BS54" s="359"/>
      <c r="BT54" s="359"/>
      <c r="BU54" s="359"/>
      <c r="BV54" s="359"/>
      <c r="BW54" s="359"/>
      <c r="BX54" s="359"/>
      <c r="BY54" s="359"/>
      <c r="BZ54" s="359"/>
      <c r="CA54" s="359"/>
      <c r="CB54" s="359"/>
      <c r="CC54" s="359"/>
      <c r="CD54" s="359"/>
      <c r="CE54" s="359"/>
      <c r="CF54" s="359"/>
      <c r="CG54" s="359"/>
      <c r="CH54" s="359"/>
      <c r="CI54" s="359"/>
      <c r="CJ54" s="359"/>
      <c r="CK54" s="359"/>
      <c r="CL54" s="359"/>
      <c r="CM54" s="359"/>
      <c r="CN54" s="359"/>
      <c r="CO54" s="359"/>
      <c r="CP54" s="359"/>
      <c r="CQ54" s="359"/>
      <c r="CR54" s="359"/>
      <c r="CS54" s="359"/>
      <c r="CT54" s="359"/>
    </row>
    <row r="55" ht="14.25" customHeight="1">
      <c r="A55" s="327" t="s">
        <v>644</v>
      </c>
      <c r="B55" s="306"/>
      <c r="C55" s="306"/>
      <c r="D55" s="307"/>
      <c r="E55" s="321"/>
      <c r="F55" s="311" t="s">
        <v>695</v>
      </c>
      <c r="G55" s="434" t="s">
        <v>1073</v>
      </c>
      <c r="H55" s="742" t="s">
        <v>1074</v>
      </c>
      <c r="I55" s="312" t="s">
        <v>228</v>
      </c>
      <c r="J55" s="372" t="s">
        <v>1077</v>
      </c>
      <c r="K55" s="314">
        <v>735000.0</v>
      </c>
      <c r="L55" s="317">
        <v>0.0</v>
      </c>
      <c r="M55" s="317">
        <f>K55</f>
        <v>735000</v>
      </c>
      <c r="N55" s="318"/>
      <c r="O55" s="318"/>
      <c r="P55" s="318"/>
      <c r="Q55" s="317">
        <f t="shared" ref="Q55:Q74" si="11">M55-N55-P55</f>
        <v>735000</v>
      </c>
      <c r="R55" s="317">
        <f t="shared" ref="R55:R56" si="12">Q55</f>
        <v>735000</v>
      </c>
      <c r="S55" s="317">
        <f t="shared" ref="S55:S74" si="13">Q55-R55</f>
        <v>0</v>
      </c>
      <c r="T55" s="359"/>
      <c r="U55" s="359"/>
      <c r="V55" s="359"/>
      <c r="W55" s="359"/>
      <c r="X55" s="359"/>
      <c r="Y55" s="359"/>
      <c r="Z55" s="359"/>
      <c r="AA55" s="359"/>
      <c r="AB55" s="359"/>
      <c r="AC55" s="359"/>
      <c r="AD55" s="359"/>
      <c r="AE55" s="359"/>
      <c r="AF55" s="359"/>
      <c r="AG55" s="359"/>
      <c r="AH55" s="359"/>
      <c r="AI55" s="359"/>
      <c r="AJ55" s="359"/>
      <c r="AK55" s="359"/>
      <c r="AL55" s="359"/>
      <c r="AM55" s="359"/>
      <c r="AN55" s="359"/>
      <c r="AO55" s="359"/>
      <c r="AP55" s="359"/>
      <c r="AQ55" s="359"/>
      <c r="AR55" s="359"/>
      <c r="AS55" s="359"/>
      <c r="AT55" s="359"/>
      <c r="AU55" s="359"/>
      <c r="AV55" s="359"/>
      <c r="AW55" s="359"/>
      <c r="AX55" s="359"/>
      <c r="AY55" s="359"/>
      <c r="AZ55" s="359"/>
      <c r="BA55" s="359"/>
      <c r="BB55" s="359"/>
      <c r="BC55" s="359"/>
      <c r="BD55" s="359"/>
      <c r="BE55" s="359"/>
      <c r="BF55" s="359"/>
      <c r="BG55" s="359"/>
      <c r="BH55" s="359"/>
      <c r="BI55" s="359"/>
      <c r="BJ55" s="359"/>
      <c r="BK55" s="359"/>
      <c r="BL55" s="359"/>
      <c r="BM55" s="359"/>
      <c r="BN55" s="359"/>
      <c r="BO55" s="359"/>
      <c r="BP55" s="359"/>
      <c r="BQ55" s="359"/>
      <c r="BR55" s="359"/>
      <c r="BS55" s="359"/>
      <c r="BT55" s="359"/>
      <c r="BU55" s="359"/>
      <c r="BV55" s="359"/>
      <c r="BW55" s="359"/>
      <c r="BX55" s="359"/>
      <c r="BY55" s="359"/>
      <c r="BZ55" s="359"/>
      <c r="CA55" s="359"/>
      <c r="CB55" s="359"/>
      <c r="CC55" s="359"/>
      <c r="CD55" s="359"/>
      <c r="CE55" s="359"/>
      <c r="CF55" s="359"/>
      <c r="CG55" s="359"/>
      <c r="CH55" s="359"/>
      <c r="CI55" s="359"/>
      <c r="CJ55" s="359"/>
      <c r="CK55" s="359"/>
      <c r="CL55" s="359"/>
      <c r="CM55" s="359"/>
      <c r="CN55" s="359"/>
      <c r="CO55" s="359"/>
      <c r="CP55" s="359"/>
      <c r="CQ55" s="359"/>
      <c r="CR55" s="359"/>
      <c r="CS55" s="359"/>
      <c r="CT55" s="359"/>
    </row>
    <row r="56">
      <c r="A56" s="327" t="s">
        <v>822</v>
      </c>
      <c r="B56" s="306"/>
      <c r="C56" s="306"/>
      <c r="D56" s="307"/>
      <c r="E56" s="321"/>
      <c r="F56" s="311" t="s">
        <v>695</v>
      </c>
      <c r="G56" s="434" t="s">
        <v>1073</v>
      </c>
      <c r="H56" s="742" t="s">
        <v>1074</v>
      </c>
      <c r="I56" s="312" t="s">
        <v>228</v>
      </c>
      <c r="J56" s="372" t="s">
        <v>1077</v>
      </c>
      <c r="K56" s="314">
        <v>735000.0</v>
      </c>
      <c r="L56" s="317">
        <f>K56-M56</f>
        <v>0</v>
      </c>
      <c r="M56" s="317">
        <v>735000.0</v>
      </c>
      <c r="N56" s="317">
        <v>0.0</v>
      </c>
      <c r="O56" s="317">
        <v>0.0</v>
      </c>
      <c r="P56" s="317">
        <v>0.0</v>
      </c>
      <c r="Q56" s="317">
        <f t="shared" si="11"/>
        <v>735000</v>
      </c>
      <c r="R56" s="317">
        <f t="shared" si="12"/>
        <v>735000</v>
      </c>
      <c r="S56" s="317">
        <f t="shared" si="13"/>
        <v>0</v>
      </c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359"/>
      <c r="AN56" s="359"/>
      <c r="AO56" s="359"/>
      <c r="AP56" s="359"/>
      <c r="AQ56" s="359"/>
      <c r="AR56" s="359"/>
      <c r="AS56" s="359"/>
      <c r="AT56" s="359"/>
      <c r="AU56" s="359"/>
      <c r="AV56" s="359"/>
      <c r="AW56" s="359"/>
      <c r="AX56" s="359"/>
      <c r="AY56" s="359"/>
      <c r="AZ56" s="359"/>
      <c r="BA56" s="359"/>
      <c r="BB56" s="359"/>
      <c r="BC56" s="359"/>
      <c r="BD56" s="359"/>
      <c r="BE56" s="359"/>
      <c r="BF56" s="359"/>
      <c r="BG56" s="359"/>
      <c r="BH56" s="359"/>
      <c r="BI56" s="359"/>
      <c r="BJ56" s="359"/>
      <c r="BK56" s="359"/>
      <c r="BL56" s="359"/>
      <c r="BM56" s="359"/>
      <c r="BN56" s="359"/>
      <c r="BO56" s="359"/>
      <c r="BP56" s="359"/>
      <c r="BQ56" s="359"/>
      <c r="BR56" s="359"/>
      <c r="BS56" s="359"/>
      <c r="BT56" s="359"/>
      <c r="BU56" s="359"/>
      <c r="BV56" s="359"/>
      <c r="BW56" s="359"/>
      <c r="BX56" s="359"/>
      <c r="BY56" s="359"/>
      <c r="BZ56" s="359"/>
      <c r="CA56" s="359"/>
      <c r="CB56" s="359"/>
      <c r="CC56" s="359"/>
      <c r="CD56" s="359"/>
      <c r="CE56" s="359"/>
      <c r="CF56" s="359"/>
      <c r="CG56" s="359"/>
      <c r="CH56" s="359"/>
      <c r="CI56" s="359"/>
      <c r="CJ56" s="359"/>
      <c r="CK56" s="359"/>
      <c r="CL56" s="359"/>
      <c r="CM56" s="359"/>
      <c r="CN56" s="359"/>
      <c r="CO56" s="359"/>
      <c r="CP56" s="359"/>
      <c r="CQ56" s="359"/>
      <c r="CR56" s="359"/>
      <c r="CS56" s="359"/>
      <c r="CT56" s="359"/>
    </row>
    <row r="57">
      <c r="A57" s="327" t="s">
        <v>822</v>
      </c>
      <c r="B57" s="367"/>
      <c r="C57" s="306"/>
      <c r="D57" s="307"/>
      <c r="E57" s="743"/>
      <c r="F57" s="744" t="s">
        <v>695</v>
      </c>
      <c r="G57" s="434" t="s">
        <v>697</v>
      </c>
      <c r="H57" s="745" t="s">
        <v>1235</v>
      </c>
      <c r="I57" s="434" t="s">
        <v>228</v>
      </c>
      <c r="J57" s="734" t="s">
        <v>1243</v>
      </c>
      <c r="K57" s="314">
        <v>4176240.0</v>
      </c>
      <c r="L57" s="317">
        <v>0.0</v>
      </c>
      <c r="M57" s="317">
        <v>4176240.0</v>
      </c>
      <c r="N57" s="345"/>
      <c r="O57" s="345"/>
      <c r="P57" s="345"/>
      <c r="Q57" s="317">
        <f t="shared" si="11"/>
        <v>4176240</v>
      </c>
      <c r="R57" s="317">
        <v>4176240.0</v>
      </c>
      <c r="S57" s="317">
        <f t="shared" si="13"/>
        <v>0</v>
      </c>
      <c r="T57" s="735" t="s">
        <v>1262</v>
      </c>
      <c r="U57" s="736"/>
      <c r="V57" s="736"/>
      <c r="W57" s="736"/>
      <c r="X57" s="736"/>
      <c r="Y57" s="736"/>
      <c r="Z57" s="736"/>
      <c r="AA57" s="736"/>
      <c r="AB57" s="736"/>
      <c r="AC57" s="736"/>
      <c r="AD57" s="736"/>
      <c r="AE57" s="736"/>
      <c r="AF57" s="736"/>
      <c r="AG57" s="736"/>
      <c r="AH57" s="736"/>
      <c r="AI57" s="736"/>
      <c r="AJ57" s="736"/>
      <c r="AK57" s="736"/>
      <c r="AL57" s="736"/>
      <c r="AM57" s="736"/>
      <c r="AN57" s="736"/>
      <c r="AO57" s="736"/>
      <c r="AP57" s="736"/>
      <c r="AQ57" s="736"/>
      <c r="AR57" s="736"/>
      <c r="AS57" s="736"/>
      <c r="AT57" s="736"/>
      <c r="AU57" s="736"/>
      <c r="AV57" s="736"/>
      <c r="AW57" s="736"/>
      <c r="AX57" s="736"/>
      <c r="AY57" s="736"/>
      <c r="AZ57" s="736"/>
      <c r="BA57" s="736"/>
      <c r="BB57" s="736"/>
      <c r="BC57" s="736"/>
      <c r="BD57" s="736"/>
      <c r="BE57" s="736"/>
      <c r="BF57" s="736"/>
      <c r="BG57" s="736"/>
      <c r="BH57" s="736"/>
      <c r="BI57" s="736"/>
      <c r="BJ57" s="736"/>
      <c r="BK57" s="736"/>
      <c r="BL57" s="736"/>
      <c r="BM57" s="736"/>
      <c r="BN57" s="736"/>
      <c r="BO57" s="736"/>
      <c r="BP57" s="736"/>
      <c r="BQ57" s="736"/>
      <c r="BR57" s="736"/>
      <c r="BS57" s="736"/>
      <c r="BT57" s="736"/>
      <c r="BU57" s="736"/>
      <c r="BV57" s="736"/>
      <c r="BW57" s="736"/>
      <c r="BX57" s="736"/>
      <c r="BY57" s="736"/>
      <c r="BZ57" s="736"/>
      <c r="CA57" s="736"/>
      <c r="CB57" s="736"/>
      <c r="CC57" s="736"/>
      <c r="CD57" s="736"/>
      <c r="CE57" s="736"/>
      <c r="CF57" s="736"/>
      <c r="CG57" s="736"/>
      <c r="CH57" s="736"/>
      <c r="CI57" s="736"/>
      <c r="CJ57" s="736"/>
      <c r="CK57" s="736"/>
      <c r="CL57" s="736"/>
      <c r="CM57" s="736"/>
      <c r="CN57" s="736"/>
      <c r="CO57" s="736"/>
      <c r="CP57" s="736"/>
      <c r="CQ57" s="736"/>
      <c r="CR57" s="736"/>
      <c r="CS57" s="736"/>
      <c r="CT57" s="736"/>
    </row>
    <row r="58">
      <c r="A58" s="431" t="s">
        <v>836</v>
      </c>
      <c r="B58" s="306"/>
      <c r="C58" s="306"/>
      <c r="D58" s="307"/>
      <c r="E58" s="321"/>
      <c r="F58" s="311" t="s">
        <v>695</v>
      </c>
      <c r="G58" s="434" t="s">
        <v>1073</v>
      </c>
      <c r="H58" s="349" t="s">
        <v>1237</v>
      </c>
      <c r="I58" s="434" t="s">
        <v>228</v>
      </c>
      <c r="J58" s="372" t="s">
        <v>1263</v>
      </c>
      <c r="K58" s="314">
        <v>9313181.89</v>
      </c>
      <c r="L58" s="317">
        <f t="shared" ref="L58:L74" si="14">K58-M58</f>
        <v>0</v>
      </c>
      <c r="M58" s="317">
        <f>K58</f>
        <v>9313181.89</v>
      </c>
      <c r="N58" s="318"/>
      <c r="O58" s="318"/>
      <c r="P58" s="318"/>
      <c r="Q58" s="317">
        <f t="shared" si="11"/>
        <v>9313181.89</v>
      </c>
      <c r="R58" s="317">
        <v>9313181.89</v>
      </c>
      <c r="S58" s="317">
        <f t="shared" si="13"/>
        <v>0</v>
      </c>
      <c r="T58" s="318"/>
      <c r="U58" s="359"/>
      <c r="V58" s="359"/>
      <c r="W58" s="359"/>
      <c r="X58" s="359"/>
      <c r="Y58" s="359"/>
      <c r="Z58" s="359"/>
      <c r="AA58" s="359"/>
      <c r="AB58" s="359"/>
      <c r="AC58" s="359"/>
      <c r="AD58" s="359"/>
      <c r="AE58" s="359"/>
      <c r="AF58" s="359"/>
      <c r="AG58" s="359"/>
      <c r="AH58" s="359"/>
      <c r="AI58" s="359"/>
      <c r="AJ58" s="359"/>
      <c r="AK58" s="359"/>
      <c r="AL58" s="359"/>
      <c r="AM58" s="359"/>
      <c r="AN58" s="359"/>
      <c r="AO58" s="359"/>
      <c r="AP58" s="359"/>
      <c r="AQ58" s="359"/>
      <c r="AR58" s="359"/>
      <c r="AS58" s="359"/>
      <c r="AT58" s="359"/>
      <c r="AU58" s="359"/>
      <c r="AV58" s="359"/>
      <c r="AW58" s="359"/>
      <c r="AX58" s="359"/>
      <c r="AY58" s="359"/>
      <c r="AZ58" s="359"/>
      <c r="BA58" s="359"/>
      <c r="BB58" s="359"/>
      <c r="BC58" s="359"/>
      <c r="BD58" s="359"/>
      <c r="BE58" s="359"/>
      <c r="BF58" s="359"/>
      <c r="BG58" s="359"/>
      <c r="BH58" s="359"/>
      <c r="BI58" s="359"/>
      <c r="BJ58" s="359"/>
      <c r="BK58" s="359"/>
      <c r="BL58" s="359"/>
      <c r="BM58" s="359"/>
      <c r="BN58" s="359"/>
      <c r="BO58" s="359"/>
      <c r="BP58" s="359"/>
      <c r="BQ58" s="359"/>
      <c r="BR58" s="359"/>
      <c r="BS58" s="359"/>
      <c r="BT58" s="359"/>
      <c r="BU58" s="359"/>
      <c r="BV58" s="359"/>
      <c r="BW58" s="359"/>
      <c r="BX58" s="359"/>
      <c r="BY58" s="359"/>
      <c r="BZ58" s="359"/>
      <c r="CA58" s="359"/>
      <c r="CB58" s="359"/>
      <c r="CC58" s="359"/>
      <c r="CD58" s="359"/>
      <c r="CE58" s="359"/>
      <c r="CF58" s="359"/>
      <c r="CG58" s="359"/>
      <c r="CH58" s="359"/>
      <c r="CI58" s="359"/>
      <c r="CJ58" s="359"/>
      <c r="CK58" s="359"/>
      <c r="CL58" s="359"/>
      <c r="CM58" s="359"/>
      <c r="CN58" s="359"/>
      <c r="CO58" s="359"/>
      <c r="CP58" s="359"/>
      <c r="CQ58" s="359"/>
      <c r="CR58" s="359"/>
      <c r="CS58" s="359"/>
      <c r="CT58" s="359"/>
    </row>
    <row r="59">
      <c r="A59" s="305" t="s">
        <v>822</v>
      </c>
      <c r="B59" s="306"/>
      <c r="C59" s="306"/>
      <c r="D59" s="307"/>
      <c r="E59" s="321"/>
      <c r="F59" s="311" t="s">
        <v>695</v>
      </c>
      <c r="G59" s="312" t="s">
        <v>697</v>
      </c>
      <c r="H59" s="411" t="s">
        <v>237</v>
      </c>
      <c r="I59" s="312" t="s">
        <v>161</v>
      </c>
      <c r="J59" s="372" t="s">
        <v>655</v>
      </c>
      <c r="K59" s="314">
        <v>1102215.14</v>
      </c>
      <c r="L59" s="317">
        <f t="shared" si="14"/>
        <v>0</v>
      </c>
      <c r="M59" s="317">
        <v>1102215.14</v>
      </c>
      <c r="N59" s="318"/>
      <c r="O59" s="318"/>
      <c r="P59" s="318"/>
      <c r="Q59" s="317">
        <f t="shared" si="11"/>
        <v>1102215.14</v>
      </c>
      <c r="R59" s="318"/>
      <c r="S59" s="317">
        <f t="shared" si="13"/>
        <v>1102215.14</v>
      </c>
      <c r="T59" s="318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59"/>
      <c r="AF59" s="359"/>
      <c r="AG59" s="359"/>
      <c r="AH59" s="359"/>
      <c r="AI59" s="359"/>
      <c r="AJ59" s="359"/>
      <c r="AK59" s="359"/>
      <c r="AL59" s="359"/>
      <c r="AM59" s="359"/>
      <c r="AN59" s="359"/>
      <c r="AO59" s="359"/>
      <c r="AP59" s="359"/>
      <c r="AQ59" s="359"/>
      <c r="AR59" s="359"/>
      <c r="AS59" s="359"/>
      <c r="AT59" s="359"/>
      <c r="AU59" s="359"/>
      <c r="AV59" s="359"/>
      <c r="AW59" s="359"/>
      <c r="AX59" s="359"/>
      <c r="AY59" s="359"/>
      <c r="AZ59" s="359"/>
      <c r="BA59" s="359"/>
      <c r="BB59" s="359"/>
      <c r="BC59" s="359"/>
      <c r="BD59" s="359"/>
      <c r="BE59" s="359"/>
      <c r="BF59" s="359"/>
      <c r="BG59" s="359"/>
      <c r="BH59" s="359"/>
      <c r="BI59" s="359"/>
      <c r="BJ59" s="359"/>
      <c r="BK59" s="359"/>
      <c r="BL59" s="359"/>
      <c r="BM59" s="359"/>
      <c r="BN59" s="359"/>
      <c r="BO59" s="359"/>
      <c r="BP59" s="359"/>
      <c r="BQ59" s="359"/>
      <c r="BR59" s="359"/>
      <c r="BS59" s="359"/>
      <c r="BT59" s="359"/>
      <c r="BU59" s="359"/>
      <c r="BV59" s="359"/>
      <c r="BW59" s="359"/>
      <c r="BX59" s="359"/>
      <c r="BY59" s="359"/>
      <c r="BZ59" s="359"/>
      <c r="CA59" s="359"/>
      <c r="CB59" s="359"/>
      <c r="CC59" s="359"/>
      <c r="CD59" s="359"/>
      <c r="CE59" s="359"/>
      <c r="CF59" s="359"/>
      <c r="CG59" s="359"/>
      <c r="CH59" s="359"/>
      <c r="CI59" s="359"/>
      <c r="CJ59" s="359"/>
      <c r="CK59" s="359"/>
      <c r="CL59" s="359"/>
      <c r="CM59" s="359"/>
      <c r="CN59" s="359"/>
      <c r="CO59" s="359"/>
      <c r="CP59" s="359"/>
      <c r="CQ59" s="359"/>
      <c r="CR59" s="359"/>
      <c r="CS59" s="359"/>
      <c r="CT59" s="359"/>
    </row>
    <row r="60">
      <c r="A60" s="305" t="s">
        <v>822</v>
      </c>
      <c r="B60" s="306"/>
      <c r="C60" s="306"/>
      <c r="D60" s="307"/>
      <c r="E60" s="321"/>
      <c r="F60" s="311" t="s">
        <v>695</v>
      </c>
      <c r="G60" s="312" t="s">
        <v>697</v>
      </c>
      <c r="H60" s="411" t="s">
        <v>237</v>
      </c>
      <c r="I60" s="312" t="s">
        <v>161</v>
      </c>
      <c r="J60" s="746" t="s">
        <v>613</v>
      </c>
      <c r="K60" s="314">
        <v>1487004.38</v>
      </c>
      <c r="L60" s="317">
        <f t="shared" si="14"/>
        <v>0</v>
      </c>
      <c r="M60" s="317">
        <f t="shared" ref="M60:M61" si="15">K60</f>
        <v>1487004.38</v>
      </c>
      <c r="N60" s="318"/>
      <c r="O60" s="318"/>
      <c r="P60" s="318"/>
      <c r="Q60" s="317">
        <f t="shared" si="11"/>
        <v>1487004.38</v>
      </c>
      <c r="R60" s="318"/>
      <c r="S60" s="317">
        <f t="shared" si="13"/>
        <v>1487004.38</v>
      </c>
      <c r="T60" s="318"/>
      <c r="U60" s="359"/>
      <c r="V60" s="359"/>
      <c r="W60" s="359"/>
      <c r="X60" s="359"/>
      <c r="Y60" s="359"/>
      <c r="Z60" s="359"/>
      <c r="AA60" s="359"/>
      <c r="AB60" s="359"/>
      <c r="AC60" s="359"/>
      <c r="AD60" s="359"/>
      <c r="AE60" s="359"/>
      <c r="AF60" s="359"/>
      <c r="AG60" s="359"/>
      <c r="AH60" s="359"/>
      <c r="AI60" s="359"/>
      <c r="AJ60" s="359"/>
      <c r="AK60" s="359"/>
      <c r="AL60" s="359"/>
      <c r="AM60" s="359"/>
      <c r="AN60" s="359"/>
      <c r="AO60" s="359"/>
      <c r="AP60" s="359"/>
      <c r="AQ60" s="359"/>
      <c r="AR60" s="359"/>
      <c r="AS60" s="359"/>
      <c r="AT60" s="359"/>
      <c r="AU60" s="359"/>
      <c r="AV60" s="359"/>
      <c r="AW60" s="359"/>
      <c r="AX60" s="359"/>
      <c r="AY60" s="359"/>
      <c r="AZ60" s="359"/>
      <c r="BA60" s="359"/>
      <c r="BB60" s="359"/>
      <c r="BC60" s="359"/>
      <c r="BD60" s="359"/>
      <c r="BE60" s="359"/>
      <c r="BF60" s="359"/>
      <c r="BG60" s="359"/>
      <c r="BH60" s="359"/>
      <c r="BI60" s="359"/>
      <c r="BJ60" s="359"/>
      <c r="BK60" s="359"/>
      <c r="BL60" s="359"/>
      <c r="BM60" s="359"/>
      <c r="BN60" s="359"/>
      <c r="BO60" s="359"/>
      <c r="BP60" s="359"/>
      <c r="BQ60" s="359"/>
      <c r="BR60" s="359"/>
      <c r="BS60" s="359"/>
      <c r="BT60" s="359"/>
      <c r="BU60" s="359"/>
      <c r="BV60" s="359"/>
      <c r="BW60" s="359"/>
      <c r="BX60" s="359"/>
      <c r="BY60" s="359"/>
      <c r="BZ60" s="359"/>
      <c r="CA60" s="359"/>
      <c r="CB60" s="359"/>
      <c r="CC60" s="359"/>
      <c r="CD60" s="359"/>
      <c r="CE60" s="359"/>
      <c r="CF60" s="359"/>
      <c r="CG60" s="359"/>
      <c r="CH60" s="359"/>
      <c r="CI60" s="359"/>
      <c r="CJ60" s="359"/>
      <c r="CK60" s="359"/>
      <c r="CL60" s="359"/>
      <c r="CM60" s="359"/>
      <c r="CN60" s="359"/>
      <c r="CO60" s="359"/>
      <c r="CP60" s="359"/>
      <c r="CQ60" s="359"/>
      <c r="CR60" s="359"/>
      <c r="CS60" s="359"/>
      <c r="CT60" s="359"/>
    </row>
    <row r="61">
      <c r="A61" s="305" t="s">
        <v>822</v>
      </c>
      <c r="B61" s="306"/>
      <c r="C61" s="306"/>
      <c r="D61" s="307"/>
      <c r="E61" s="321"/>
      <c r="F61" s="311" t="s">
        <v>695</v>
      </c>
      <c r="G61" s="312" t="s">
        <v>747</v>
      </c>
      <c r="H61" s="411" t="s">
        <v>237</v>
      </c>
      <c r="I61" s="312" t="s">
        <v>161</v>
      </c>
      <c r="J61" s="372" t="s">
        <v>646</v>
      </c>
      <c r="K61" s="314">
        <v>21471.0</v>
      </c>
      <c r="L61" s="317">
        <f t="shared" si="14"/>
        <v>0</v>
      </c>
      <c r="M61" s="317">
        <f t="shared" si="15"/>
        <v>21471</v>
      </c>
      <c r="N61" s="318"/>
      <c r="O61" s="318"/>
      <c r="P61" s="318"/>
      <c r="Q61" s="317">
        <f t="shared" si="11"/>
        <v>21471</v>
      </c>
      <c r="R61" s="318"/>
      <c r="S61" s="317">
        <f t="shared" si="13"/>
        <v>21471</v>
      </c>
      <c r="T61" s="318"/>
      <c r="U61" s="359"/>
      <c r="V61" s="359"/>
      <c r="W61" s="359"/>
      <c r="X61" s="359"/>
      <c r="Y61" s="359"/>
      <c r="Z61" s="359"/>
      <c r="AA61" s="359"/>
      <c r="AB61" s="359"/>
      <c r="AC61" s="359"/>
      <c r="AD61" s="359"/>
      <c r="AE61" s="359"/>
      <c r="AF61" s="359"/>
      <c r="AG61" s="359"/>
      <c r="AH61" s="359"/>
      <c r="AI61" s="359"/>
      <c r="AJ61" s="359"/>
      <c r="AK61" s="359"/>
      <c r="AL61" s="359"/>
      <c r="AM61" s="359"/>
      <c r="AN61" s="359"/>
      <c r="AO61" s="359"/>
      <c r="AP61" s="359"/>
      <c r="AQ61" s="359"/>
      <c r="AR61" s="359"/>
      <c r="AS61" s="359"/>
      <c r="AT61" s="359"/>
      <c r="AU61" s="359"/>
      <c r="AV61" s="359"/>
      <c r="AW61" s="359"/>
      <c r="AX61" s="359"/>
      <c r="AY61" s="359"/>
      <c r="AZ61" s="359"/>
      <c r="BA61" s="359"/>
      <c r="BB61" s="359"/>
      <c r="BC61" s="359"/>
      <c r="BD61" s="359"/>
      <c r="BE61" s="359"/>
      <c r="BF61" s="359"/>
      <c r="BG61" s="359"/>
      <c r="BH61" s="359"/>
      <c r="BI61" s="359"/>
      <c r="BJ61" s="359"/>
      <c r="BK61" s="359"/>
      <c r="BL61" s="359"/>
      <c r="BM61" s="359"/>
      <c r="BN61" s="359"/>
      <c r="BO61" s="359"/>
      <c r="BP61" s="359"/>
      <c r="BQ61" s="359"/>
      <c r="BR61" s="359"/>
      <c r="BS61" s="359"/>
      <c r="BT61" s="359"/>
      <c r="BU61" s="359"/>
      <c r="BV61" s="359"/>
      <c r="BW61" s="359"/>
      <c r="BX61" s="359"/>
      <c r="BY61" s="359"/>
      <c r="BZ61" s="359"/>
      <c r="CA61" s="359"/>
      <c r="CB61" s="359"/>
      <c r="CC61" s="359"/>
      <c r="CD61" s="359"/>
      <c r="CE61" s="359"/>
      <c r="CF61" s="359"/>
      <c r="CG61" s="359"/>
      <c r="CH61" s="359"/>
      <c r="CI61" s="359"/>
      <c r="CJ61" s="359"/>
      <c r="CK61" s="359"/>
      <c r="CL61" s="359"/>
      <c r="CM61" s="359"/>
      <c r="CN61" s="359"/>
      <c r="CO61" s="359"/>
      <c r="CP61" s="359"/>
      <c r="CQ61" s="359"/>
      <c r="CR61" s="359"/>
      <c r="CS61" s="359"/>
      <c r="CT61" s="359"/>
    </row>
    <row r="62">
      <c r="A62" s="305" t="s">
        <v>822</v>
      </c>
      <c r="B62" s="306"/>
      <c r="C62" s="306"/>
      <c r="D62" s="307"/>
      <c r="E62" s="321"/>
      <c r="F62" s="311" t="s">
        <v>695</v>
      </c>
      <c r="G62" s="312" t="s">
        <v>697</v>
      </c>
      <c r="H62" s="411" t="s">
        <v>237</v>
      </c>
      <c r="I62" s="312" t="s">
        <v>161</v>
      </c>
      <c r="J62" s="747" t="s">
        <v>596</v>
      </c>
      <c r="K62" s="314">
        <v>1357433.24</v>
      </c>
      <c r="L62" s="317">
        <f t="shared" si="14"/>
        <v>0</v>
      </c>
      <c r="M62" s="317">
        <v>1357433.24</v>
      </c>
      <c r="N62" s="318"/>
      <c r="O62" s="318"/>
      <c r="P62" s="318"/>
      <c r="Q62" s="317">
        <f t="shared" si="11"/>
        <v>1357433.24</v>
      </c>
      <c r="R62" s="318"/>
      <c r="S62" s="317">
        <f t="shared" si="13"/>
        <v>1357433.24</v>
      </c>
      <c r="T62" s="318"/>
      <c r="U62" s="359"/>
      <c r="V62" s="359"/>
      <c r="W62" s="359"/>
      <c r="X62" s="359"/>
      <c r="Y62" s="359"/>
      <c r="Z62" s="359"/>
      <c r="AA62" s="359"/>
      <c r="AB62" s="359"/>
      <c r="AC62" s="359"/>
      <c r="AD62" s="359"/>
      <c r="AE62" s="359"/>
      <c r="AF62" s="359"/>
      <c r="AG62" s="359"/>
      <c r="AH62" s="359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359"/>
      <c r="AT62" s="359"/>
      <c r="AU62" s="359"/>
      <c r="AV62" s="359"/>
      <c r="AW62" s="359"/>
      <c r="AX62" s="359"/>
      <c r="AY62" s="359"/>
      <c r="AZ62" s="359"/>
      <c r="BA62" s="359"/>
      <c r="BB62" s="359"/>
      <c r="BC62" s="359"/>
      <c r="BD62" s="359"/>
      <c r="BE62" s="359"/>
      <c r="BF62" s="359"/>
      <c r="BG62" s="359"/>
      <c r="BH62" s="359"/>
      <c r="BI62" s="359"/>
      <c r="BJ62" s="359"/>
      <c r="BK62" s="359"/>
      <c r="BL62" s="359"/>
      <c r="BM62" s="359"/>
      <c r="BN62" s="359"/>
      <c r="BO62" s="359"/>
      <c r="BP62" s="359"/>
      <c r="BQ62" s="359"/>
      <c r="BR62" s="359"/>
      <c r="BS62" s="359"/>
      <c r="BT62" s="359"/>
      <c r="BU62" s="359"/>
      <c r="BV62" s="359"/>
      <c r="BW62" s="359"/>
      <c r="BX62" s="359"/>
      <c r="BY62" s="359"/>
      <c r="BZ62" s="359"/>
      <c r="CA62" s="359"/>
      <c r="CB62" s="359"/>
      <c r="CC62" s="359"/>
      <c r="CD62" s="359"/>
      <c r="CE62" s="359"/>
      <c r="CF62" s="359"/>
      <c r="CG62" s="359"/>
      <c r="CH62" s="359"/>
      <c r="CI62" s="359"/>
      <c r="CJ62" s="359"/>
      <c r="CK62" s="359"/>
      <c r="CL62" s="359"/>
      <c r="CM62" s="359"/>
      <c r="CN62" s="359"/>
      <c r="CO62" s="359"/>
      <c r="CP62" s="359"/>
      <c r="CQ62" s="359"/>
      <c r="CR62" s="359"/>
      <c r="CS62" s="359"/>
      <c r="CT62" s="359"/>
    </row>
    <row r="63">
      <c r="A63" s="305" t="s">
        <v>822</v>
      </c>
      <c r="B63" s="306"/>
      <c r="C63" s="306"/>
      <c r="D63" s="307"/>
      <c r="E63" s="321"/>
      <c r="F63" s="311" t="s">
        <v>695</v>
      </c>
      <c r="G63" s="312" t="s">
        <v>697</v>
      </c>
      <c r="H63" s="411" t="s">
        <v>237</v>
      </c>
      <c r="I63" s="312" t="s">
        <v>161</v>
      </c>
      <c r="J63" s="748" t="s">
        <v>638</v>
      </c>
      <c r="K63" s="314">
        <v>1752431.37</v>
      </c>
      <c r="L63" s="317">
        <f t="shared" si="14"/>
        <v>0</v>
      </c>
      <c r="M63" s="317">
        <v>1752431.37</v>
      </c>
      <c r="N63" s="318"/>
      <c r="O63" s="318"/>
      <c r="P63" s="318"/>
      <c r="Q63" s="317">
        <f t="shared" si="11"/>
        <v>1752431.37</v>
      </c>
      <c r="R63" s="318"/>
      <c r="S63" s="317">
        <f t="shared" si="13"/>
        <v>1752431.37</v>
      </c>
      <c r="T63" s="318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59"/>
      <c r="AR63" s="359"/>
      <c r="AS63" s="359"/>
      <c r="AT63" s="359"/>
      <c r="AU63" s="359"/>
      <c r="AV63" s="359"/>
      <c r="AW63" s="359"/>
      <c r="AX63" s="359"/>
      <c r="AY63" s="359"/>
      <c r="AZ63" s="359"/>
      <c r="BA63" s="359"/>
      <c r="BB63" s="359"/>
      <c r="BC63" s="359"/>
      <c r="BD63" s="359"/>
      <c r="BE63" s="359"/>
      <c r="BF63" s="359"/>
      <c r="BG63" s="359"/>
      <c r="BH63" s="359"/>
      <c r="BI63" s="359"/>
      <c r="BJ63" s="359"/>
      <c r="BK63" s="359"/>
      <c r="BL63" s="359"/>
      <c r="BM63" s="359"/>
      <c r="BN63" s="359"/>
      <c r="BO63" s="359"/>
      <c r="BP63" s="359"/>
      <c r="BQ63" s="359"/>
      <c r="BR63" s="359"/>
      <c r="BS63" s="359"/>
      <c r="BT63" s="359"/>
      <c r="BU63" s="359"/>
      <c r="BV63" s="359"/>
      <c r="BW63" s="359"/>
      <c r="BX63" s="359"/>
      <c r="BY63" s="359"/>
      <c r="BZ63" s="359"/>
      <c r="CA63" s="359"/>
      <c r="CB63" s="359"/>
      <c r="CC63" s="359"/>
      <c r="CD63" s="359"/>
      <c r="CE63" s="359"/>
      <c r="CF63" s="359"/>
      <c r="CG63" s="359"/>
      <c r="CH63" s="359"/>
      <c r="CI63" s="359"/>
      <c r="CJ63" s="359"/>
      <c r="CK63" s="359"/>
      <c r="CL63" s="359"/>
      <c r="CM63" s="359"/>
      <c r="CN63" s="359"/>
      <c r="CO63" s="359"/>
      <c r="CP63" s="359"/>
      <c r="CQ63" s="359"/>
      <c r="CR63" s="359"/>
      <c r="CS63" s="359"/>
      <c r="CT63" s="359"/>
    </row>
    <row r="64">
      <c r="A64" s="305" t="s">
        <v>822</v>
      </c>
      <c r="B64" s="306"/>
      <c r="C64" s="306"/>
      <c r="D64" s="307"/>
      <c r="E64" s="321"/>
      <c r="F64" s="311" t="s">
        <v>695</v>
      </c>
      <c r="G64" s="312" t="s">
        <v>697</v>
      </c>
      <c r="H64" s="411" t="s">
        <v>237</v>
      </c>
      <c r="I64" s="312" t="s">
        <v>161</v>
      </c>
      <c r="J64" s="749" t="s">
        <v>744</v>
      </c>
      <c r="K64" s="314">
        <v>1116030.19</v>
      </c>
      <c r="L64" s="317">
        <f t="shared" si="14"/>
        <v>0</v>
      </c>
      <c r="M64" s="314">
        <v>1116030.19</v>
      </c>
      <c r="N64" s="318"/>
      <c r="O64" s="318"/>
      <c r="P64" s="318"/>
      <c r="Q64" s="317">
        <f t="shared" si="11"/>
        <v>1116030.19</v>
      </c>
      <c r="R64" s="318"/>
      <c r="S64" s="317">
        <f t="shared" si="13"/>
        <v>1116030.19</v>
      </c>
      <c r="T64" s="318"/>
      <c r="U64" s="359"/>
      <c r="V64" s="359"/>
      <c r="W64" s="359"/>
      <c r="X64" s="359"/>
      <c r="Y64" s="359"/>
      <c r="Z64" s="359"/>
      <c r="AA64" s="359"/>
      <c r="AB64" s="359"/>
      <c r="AC64" s="359"/>
      <c r="AD64" s="359"/>
      <c r="AE64" s="359"/>
      <c r="AF64" s="359"/>
      <c r="AG64" s="359"/>
      <c r="AH64" s="359"/>
      <c r="AI64" s="359"/>
      <c r="AJ64" s="359"/>
      <c r="AK64" s="359"/>
      <c r="AL64" s="359"/>
      <c r="AM64" s="359"/>
      <c r="AN64" s="359"/>
      <c r="AO64" s="359"/>
      <c r="AP64" s="359"/>
      <c r="AQ64" s="359"/>
      <c r="AR64" s="359"/>
      <c r="AS64" s="359"/>
      <c r="AT64" s="359"/>
      <c r="AU64" s="359"/>
      <c r="AV64" s="359"/>
      <c r="AW64" s="359"/>
      <c r="AX64" s="359"/>
      <c r="AY64" s="359"/>
      <c r="AZ64" s="359"/>
      <c r="BA64" s="359"/>
      <c r="BB64" s="359"/>
      <c r="BC64" s="359"/>
      <c r="BD64" s="359"/>
      <c r="BE64" s="359"/>
      <c r="BF64" s="359"/>
      <c r="BG64" s="359"/>
      <c r="BH64" s="359"/>
      <c r="BI64" s="359"/>
      <c r="BJ64" s="359"/>
      <c r="BK64" s="359"/>
      <c r="BL64" s="359"/>
      <c r="BM64" s="359"/>
      <c r="BN64" s="359"/>
      <c r="BO64" s="359"/>
      <c r="BP64" s="359"/>
      <c r="BQ64" s="359"/>
      <c r="BR64" s="359"/>
      <c r="BS64" s="359"/>
      <c r="BT64" s="359"/>
      <c r="BU64" s="359"/>
      <c r="BV64" s="359"/>
      <c r="BW64" s="359"/>
      <c r="BX64" s="359"/>
      <c r="BY64" s="359"/>
      <c r="BZ64" s="359"/>
      <c r="CA64" s="359"/>
      <c r="CB64" s="359"/>
      <c r="CC64" s="359"/>
      <c r="CD64" s="359"/>
      <c r="CE64" s="359"/>
      <c r="CF64" s="359"/>
      <c r="CG64" s="359"/>
      <c r="CH64" s="359"/>
      <c r="CI64" s="359"/>
      <c r="CJ64" s="359"/>
      <c r="CK64" s="359"/>
      <c r="CL64" s="359"/>
      <c r="CM64" s="359"/>
      <c r="CN64" s="359"/>
      <c r="CO64" s="359"/>
      <c r="CP64" s="359"/>
      <c r="CQ64" s="359"/>
      <c r="CR64" s="359"/>
      <c r="CS64" s="359"/>
      <c r="CT64" s="359"/>
    </row>
    <row r="65">
      <c r="A65" s="684" t="s">
        <v>822</v>
      </c>
      <c r="B65" s="471"/>
      <c r="C65" s="471"/>
      <c r="D65" s="475"/>
      <c r="E65" s="477" t="s">
        <v>1264</v>
      </c>
      <c r="F65" s="311" t="s">
        <v>1158</v>
      </c>
      <c r="G65" s="479" t="s">
        <v>747</v>
      </c>
      <c r="H65" s="712" t="s">
        <v>237</v>
      </c>
      <c r="I65" s="479" t="s">
        <v>161</v>
      </c>
      <c r="J65" s="750" t="s">
        <v>725</v>
      </c>
      <c r="K65" s="480">
        <v>2746544.9</v>
      </c>
      <c r="L65" s="481">
        <f t="shared" si="14"/>
        <v>0</v>
      </c>
      <c r="M65" s="480">
        <v>2746544.9</v>
      </c>
      <c r="N65" s="482"/>
      <c r="O65" s="482"/>
      <c r="P65" s="482"/>
      <c r="Q65" s="481">
        <f t="shared" si="11"/>
        <v>2746544.9</v>
      </c>
      <c r="R65" s="482"/>
      <c r="S65" s="481">
        <f t="shared" si="13"/>
        <v>2746544.9</v>
      </c>
      <c r="T65" s="482"/>
      <c r="U65" s="691"/>
      <c r="V65" s="691"/>
      <c r="W65" s="691"/>
      <c r="X65" s="691"/>
      <c r="Y65" s="691"/>
      <c r="Z65" s="691"/>
      <c r="AA65" s="691"/>
      <c r="AB65" s="691"/>
      <c r="AC65" s="691"/>
      <c r="AD65" s="691"/>
      <c r="AE65" s="691"/>
      <c r="AF65" s="691"/>
      <c r="AG65" s="691"/>
      <c r="AH65" s="691"/>
      <c r="AI65" s="691"/>
      <c r="AJ65" s="691"/>
      <c r="AK65" s="691"/>
      <c r="AL65" s="691"/>
      <c r="AM65" s="691"/>
      <c r="AN65" s="691"/>
      <c r="AO65" s="691"/>
      <c r="AP65" s="691"/>
      <c r="AQ65" s="691"/>
      <c r="AR65" s="691"/>
      <c r="AS65" s="691"/>
      <c r="AT65" s="691"/>
      <c r="AU65" s="691"/>
      <c r="AV65" s="691"/>
      <c r="AW65" s="691"/>
      <c r="AX65" s="691"/>
      <c r="AY65" s="691"/>
      <c r="AZ65" s="691"/>
      <c r="BA65" s="691"/>
      <c r="BB65" s="691"/>
      <c r="BC65" s="691"/>
      <c r="BD65" s="691"/>
      <c r="BE65" s="691"/>
      <c r="BF65" s="691"/>
      <c r="BG65" s="691"/>
      <c r="BH65" s="691"/>
      <c r="BI65" s="691"/>
      <c r="BJ65" s="691"/>
      <c r="BK65" s="691"/>
      <c r="BL65" s="691"/>
      <c r="BM65" s="691"/>
      <c r="BN65" s="691"/>
      <c r="BO65" s="691"/>
      <c r="BP65" s="691"/>
      <c r="BQ65" s="691"/>
      <c r="BR65" s="691"/>
      <c r="BS65" s="691"/>
      <c r="BT65" s="691"/>
      <c r="BU65" s="691"/>
      <c r="BV65" s="691"/>
      <c r="BW65" s="691"/>
      <c r="BX65" s="691"/>
      <c r="BY65" s="691"/>
      <c r="BZ65" s="691"/>
      <c r="CA65" s="691"/>
      <c r="CB65" s="691"/>
      <c r="CC65" s="691"/>
      <c r="CD65" s="691"/>
      <c r="CE65" s="691"/>
      <c r="CF65" s="691"/>
      <c r="CG65" s="691"/>
      <c r="CH65" s="691"/>
      <c r="CI65" s="691"/>
      <c r="CJ65" s="691"/>
      <c r="CK65" s="691"/>
      <c r="CL65" s="691"/>
      <c r="CM65" s="691"/>
      <c r="CN65" s="691"/>
      <c r="CO65" s="691"/>
      <c r="CP65" s="691"/>
      <c r="CQ65" s="691"/>
      <c r="CR65" s="691"/>
      <c r="CS65" s="691"/>
      <c r="CT65" s="691"/>
    </row>
    <row r="66" ht="15.0" customHeight="1">
      <c r="A66" s="305" t="s">
        <v>822</v>
      </c>
      <c r="B66" s="306"/>
      <c r="C66" s="306"/>
      <c r="D66" s="307"/>
      <c r="E66" s="321"/>
      <c r="F66" s="311" t="s">
        <v>695</v>
      </c>
      <c r="G66" s="312" t="s">
        <v>747</v>
      </c>
      <c r="H66" s="411" t="s">
        <v>237</v>
      </c>
      <c r="I66" s="312" t="s">
        <v>161</v>
      </c>
      <c r="J66" s="747" t="s">
        <v>624</v>
      </c>
      <c r="K66" s="314">
        <v>741438.2</v>
      </c>
      <c r="L66" s="317">
        <f t="shared" si="14"/>
        <v>0</v>
      </c>
      <c r="M66" s="317">
        <f>K66</f>
        <v>741438.2</v>
      </c>
      <c r="N66" s="318"/>
      <c r="O66" s="318"/>
      <c r="P66" s="318"/>
      <c r="Q66" s="317">
        <f t="shared" si="11"/>
        <v>741438.2</v>
      </c>
      <c r="R66" s="318"/>
      <c r="S66" s="317">
        <f t="shared" si="13"/>
        <v>741438.2</v>
      </c>
      <c r="T66" s="318"/>
      <c r="U66" s="359"/>
      <c r="V66" s="359"/>
      <c r="W66" s="359"/>
      <c r="X66" s="359"/>
      <c r="Y66" s="359"/>
      <c r="Z66" s="359"/>
      <c r="AA66" s="359"/>
      <c r="AB66" s="359"/>
      <c r="AC66" s="359"/>
      <c r="AD66" s="359"/>
      <c r="AE66" s="359"/>
      <c r="AF66" s="359"/>
      <c r="AG66" s="359"/>
      <c r="AH66" s="359"/>
      <c r="AI66" s="359"/>
      <c r="AJ66" s="359"/>
      <c r="AK66" s="359"/>
      <c r="AL66" s="359"/>
      <c r="AM66" s="359"/>
      <c r="AN66" s="359"/>
      <c r="AO66" s="359"/>
      <c r="AP66" s="359"/>
      <c r="AQ66" s="359"/>
      <c r="AR66" s="359"/>
      <c r="AS66" s="359"/>
      <c r="AT66" s="359"/>
      <c r="AU66" s="359"/>
      <c r="AV66" s="359"/>
      <c r="AW66" s="359"/>
      <c r="AX66" s="359"/>
      <c r="AY66" s="359"/>
      <c r="AZ66" s="359"/>
      <c r="BA66" s="359"/>
      <c r="BB66" s="359"/>
      <c r="BC66" s="359"/>
      <c r="BD66" s="359"/>
      <c r="BE66" s="359"/>
      <c r="BF66" s="359"/>
      <c r="BG66" s="359"/>
      <c r="BH66" s="359"/>
      <c r="BI66" s="359"/>
      <c r="BJ66" s="359"/>
      <c r="BK66" s="359"/>
      <c r="BL66" s="359"/>
      <c r="BM66" s="359"/>
      <c r="BN66" s="359"/>
      <c r="BO66" s="359"/>
      <c r="BP66" s="359"/>
      <c r="BQ66" s="359"/>
      <c r="BR66" s="359"/>
      <c r="BS66" s="359"/>
      <c r="BT66" s="359"/>
      <c r="BU66" s="359"/>
      <c r="BV66" s="359"/>
      <c r="BW66" s="359"/>
      <c r="BX66" s="359"/>
      <c r="BY66" s="359"/>
      <c r="BZ66" s="359"/>
      <c r="CA66" s="359"/>
      <c r="CB66" s="359"/>
      <c r="CC66" s="359"/>
      <c r="CD66" s="359"/>
      <c r="CE66" s="359"/>
      <c r="CF66" s="359"/>
      <c r="CG66" s="359"/>
      <c r="CH66" s="359"/>
      <c r="CI66" s="359"/>
      <c r="CJ66" s="359"/>
      <c r="CK66" s="359"/>
      <c r="CL66" s="359"/>
      <c r="CM66" s="359"/>
      <c r="CN66" s="359"/>
      <c r="CO66" s="359"/>
      <c r="CP66" s="359"/>
      <c r="CQ66" s="359"/>
      <c r="CR66" s="359"/>
      <c r="CS66" s="359"/>
      <c r="CT66" s="359"/>
    </row>
    <row r="67" ht="15.0" customHeight="1">
      <c r="A67" s="613" t="s">
        <v>822</v>
      </c>
      <c r="B67" s="614"/>
      <c r="C67" s="614"/>
      <c r="D67" s="616"/>
      <c r="E67" s="751"/>
      <c r="F67" s="311" t="s">
        <v>1166</v>
      </c>
      <c r="G67" s="618" t="s">
        <v>747</v>
      </c>
      <c r="H67" s="708" t="s">
        <v>237</v>
      </c>
      <c r="I67" s="618" t="s">
        <v>161</v>
      </c>
      <c r="J67" s="709" t="s">
        <v>610</v>
      </c>
      <c r="K67" s="620">
        <v>44821.8</v>
      </c>
      <c r="L67" s="623">
        <f t="shared" si="14"/>
        <v>0</v>
      </c>
      <c r="M67" s="623">
        <v>44821.8</v>
      </c>
      <c r="N67" s="625"/>
      <c r="O67" s="625"/>
      <c r="P67" s="625"/>
      <c r="Q67" s="623">
        <f t="shared" si="11"/>
        <v>44821.8</v>
      </c>
      <c r="R67" s="625"/>
      <c r="S67" s="623">
        <f t="shared" si="13"/>
        <v>44821.8</v>
      </c>
      <c r="T67" s="625"/>
      <c r="U67" s="628"/>
      <c r="V67" s="628"/>
      <c r="W67" s="628"/>
      <c r="X67" s="628"/>
      <c r="Y67" s="628"/>
      <c r="Z67" s="628"/>
      <c r="AA67" s="628"/>
      <c r="AB67" s="628"/>
      <c r="AC67" s="628"/>
      <c r="AD67" s="628"/>
      <c r="AE67" s="628"/>
      <c r="AF67" s="628"/>
      <c r="AG67" s="628"/>
      <c r="AH67" s="628"/>
      <c r="AI67" s="628"/>
      <c r="AJ67" s="628"/>
      <c r="AK67" s="628"/>
      <c r="AL67" s="628"/>
      <c r="AM67" s="628"/>
      <c r="AN67" s="628"/>
      <c r="AO67" s="628"/>
      <c r="AP67" s="628"/>
      <c r="AQ67" s="628"/>
      <c r="AR67" s="628"/>
      <c r="AS67" s="628"/>
      <c r="AT67" s="628"/>
      <c r="AU67" s="628"/>
      <c r="AV67" s="628"/>
      <c r="AW67" s="628"/>
      <c r="AX67" s="628"/>
      <c r="AY67" s="628"/>
      <c r="AZ67" s="628"/>
      <c r="BA67" s="628"/>
      <c r="BB67" s="628"/>
      <c r="BC67" s="628"/>
      <c r="BD67" s="628"/>
      <c r="BE67" s="628"/>
      <c r="BF67" s="628"/>
      <c r="BG67" s="628"/>
      <c r="BH67" s="628"/>
      <c r="BI67" s="628"/>
      <c r="BJ67" s="628"/>
      <c r="BK67" s="628"/>
      <c r="BL67" s="628"/>
      <c r="BM67" s="628"/>
      <c r="BN67" s="628"/>
      <c r="BO67" s="628"/>
      <c r="BP67" s="628"/>
      <c r="BQ67" s="628"/>
      <c r="BR67" s="628"/>
      <c r="BS67" s="628"/>
      <c r="BT67" s="628"/>
      <c r="BU67" s="628"/>
      <c r="BV67" s="628"/>
      <c r="BW67" s="628"/>
      <c r="BX67" s="628"/>
      <c r="BY67" s="628"/>
      <c r="BZ67" s="628"/>
      <c r="CA67" s="628"/>
      <c r="CB67" s="628"/>
      <c r="CC67" s="628"/>
      <c r="CD67" s="628"/>
      <c r="CE67" s="628"/>
      <c r="CF67" s="628"/>
      <c r="CG67" s="628"/>
      <c r="CH67" s="628"/>
      <c r="CI67" s="628"/>
      <c r="CJ67" s="628"/>
      <c r="CK67" s="628"/>
      <c r="CL67" s="628"/>
      <c r="CM67" s="628"/>
      <c r="CN67" s="628"/>
      <c r="CO67" s="628"/>
      <c r="CP67" s="628"/>
      <c r="CQ67" s="628"/>
      <c r="CR67" s="628"/>
      <c r="CS67" s="628"/>
      <c r="CT67" s="628"/>
    </row>
    <row r="68" ht="15.0" customHeight="1">
      <c r="A68" s="327" t="s">
        <v>683</v>
      </c>
      <c r="B68" s="306"/>
      <c r="C68" s="320" t="s">
        <v>1151</v>
      </c>
      <c r="D68" s="324">
        <v>46287.0</v>
      </c>
      <c r="E68" s="752" t="s">
        <v>721</v>
      </c>
      <c r="F68" s="311" t="s">
        <v>695</v>
      </c>
      <c r="G68" s="312" t="s">
        <v>697</v>
      </c>
      <c r="H68" s="312" t="s">
        <v>252</v>
      </c>
      <c r="I68" s="312" t="s">
        <v>102</v>
      </c>
      <c r="J68" s="372" t="s">
        <v>1153</v>
      </c>
      <c r="K68" s="314">
        <v>1267972.08</v>
      </c>
      <c r="L68" s="317">
        <f t="shared" si="14"/>
        <v>0</v>
      </c>
      <c r="M68" s="317">
        <f t="shared" ref="M68:M70" si="16">K68</f>
        <v>1267972.08</v>
      </c>
      <c r="N68" s="318"/>
      <c r="O68" s="318"/>
      <c r="P68" s="318"/>
      <c r="Q68" s="317">
        <f t="shared" si="11"/>
        <v>1267972.08</v>
      </c>
      <c r="R68" s="318"/>
      <c r="S68" s="317">
        <f t="shared" si="13"/>
        <v>1267972.08</v>
      </c>
      <c r="T68" s="318"/>
      <c r="U68" s="359"/>
      <c r="V68" s="359"/>
      <c r="W68" s="359"/>
      <c r="X68" s="359"/>
      <c r="Y68" s="359"/>
      <c r="Z68" s="359"/>
      <c r="AA68" s="359"/>
      <c r="AB68" s="359"/>
      <c r="AC68" s="359"/>
      <c r="AD68" s="359"/>
      <c r="AE68" s="359"/>
      <c r="AF68" s="359"/>
      <c r="AG68" s="359"/>
      <c r="AH68" s="359"/>
      <c r="AI68" s="359"/>
      <c r="AJ68" s="359"/>
      <c r="AK68" s="359"/>
      <c r="AL68" s="359"/>
      <c r="AM68" s="359"/>
      <c r="AN68" s="359"/>
      <c r="AO68" s="359"/>
      <c r="AP68" s="359"/>
      <c r="AQ68" s="359"/>
      <c r="AR68" s="359"/>
      <c r="AS68" s="359"/>
      <c r="AT68" s="359"/>
      <c r="AU68" s="359"/>
      <c r="AV68" s="359"/>
      <c r="AW68" s="359"/>
      <c r="AX68" s="359"/>
      <c r="AY68" s="359"/>
      <c r="AZ68" s="359"/>
      <c r="BA68" s="359"/>
      <c r="BB68" s="359"/>
      <c r="BC68" s="359"/>
      <c r="BD68" s="359"/>
      <c r="BE68" s="359"/>
      <c r="BF68" s="359"/>
      <c r="BG68" s="359"/>
      <c r="BH68" s="359"/>
      <c r="BI68" s="359"/>
      <c r="BJ68" s="359"/>
      <c r="BK68" s="359"/>
      <c r="BL68" s="359"/>
      <c r="BM68" s="359"/>
      <c r="BN68" s="359"/>
      <c r="BO68" s="359"/>
      <c r="BP68" s="359"/>
      <c r="BQ68" s="359"/>
      <c r="BR68" s="359"/>
      <c r="BS68" s="359"/>
      <c r="BT68" s="359"/>
      <c r="BU68" s="359"/>
      <c r="BV68" s="359"/>
      <c r="BW68" s="359"/>
      <c r="BX68" s="359"/>
      <c r="BY68" s="359"/>
      <c r="BZ68" s="359"/>
      <c r="CA68" s="359"/>
      <c r="CB68" s="359"/>
      <c r="CC68" s="359"/>
      <c r="CD68" s="359"/>
      <c r="CE68" s="359"/>
      <c r="CF68" s="359"/>
      <c r="CG68" s="359"/>
      <c r="CH68" s="359"/>
      <c r="CI68" s="359"/>
      <c r="CJ68" s="359"/>
      <c r="CK68" s="359"/>
      <c r="CL68" s="359"/>
      <c r="CM68" s="359"/>
      <c r="CN68" s="359"/>
      <c r="CO68" s="359"/>
      <c r="CP68" s="359"/>
      <c r="CQ68" s="359"/>
      <c r="CR68" s="359"/>
      <c r="CS68" s="359"/>
      <c r="CT68" s="359"/>
    </row>
    <row r="69">
      <c r="A69" s="327" t="s">
        <v>683</v>
      </c>
      <c r="B69" s="306"/>
      <c r="C69" s="483"/>
      <c r="D69" s="324">
        <v>46287.0</v>
      </c>
      <c r="E69" s="752" t="s">
        <v>721</v>
      </c>
      <c r="F69" s="311" t="s">
        <v>695</v>
      </c>
      <c r="G69" s="312" t="s">
        <v>697</v>
      </c>
      <c r="H69" s="312" t="s">
        <v>1136</v>
      </c>
      <c r="I69" s="312" t="s">
        <v>161</v>
      </c>
      <c r="J69" s="372" t="s">
        <v>1137</v>
      </c>
      <c r="K69" s="314">
        <v>1374996.76</v>
      </c>
      <c r="L69" s="317">
        <f t="shared" si="14"/>
        <v>0</v>
      </c>
      <c r="M69" s="317">
        <f t="shared" si="16"/>
        <v>1374996.76</v>
      </c>
      <c r="N69" s="318"/>
      <c r="O69" s="318"/>
      <c r="P69" s="318"/>
      <c r="Q69" s="317">
        <f t="shared" si="11"/>
        <v>1374996.76</v>
      </c>
      <c r="R69" s="318"/>
      <c r="S69" s="317">
        <f t="shared" si="13"/>
        <v>1374996.76</v>
      </c>
      <c r="T69" s="318"/>
      <c r="U69" s="359"/>
      <c r="V69" s="359"/>
      <c r="W69" s="359"/>
      <c r="X69" s="359"/>
      <c r="Y69" s="359"/>
      <c r="Z69" s="359"/>
      <c r="AA69" s="359"/>
      <c r="AB69" s="359"/>
      <c r="AC69" s="359"/>
      <c r="AD69" s="359"/>
      <c r="AE69" s="359"/>
      <c r="AF69" s="359"/>
      <c r="AG69" s="359"/>
      <c r="AH69" s="359"/>
      <c r="AI69" s="359"/>
      <c r="AJ69" s="359"/>
      <c r="AK69" s="359"/>
      <c r="AL69" s="359"/>
      <c r="AM69" s="359"/>
      <c r="AN69" s="359"/>
      <c r="AO69" s="359"/>
      <c r="AP69" s="359"/>
      <c r="AQ69" s="359"/>
      <c r="AR69" s="359"/>
      <c r="AS69" s="359"/>
      <c r="AT69" s="359"/>
      <c r="AU69" s="359"/>
      <c r="AV69" s="359"/>
      <c r="AW69" s="359"/>
      <c r="AX69" s="359"/>
      <c r="AY69" s="359"/>
      <c r="AZ69" s="359"/>
      <c r="BA69" s="359"/>
      <c r="BB69" s="359"/>
      <c r="BC69" s="359"/>
      <c r="BD69" s="359"/>
      <c r="BE69" s="359"/>
      <c r="BF69" s="359"/>
      <c r="BG69" s="359"/>
      <c r="BH69" s="359"/>
      <c r="BI69" s="359"/>
      <c r="BJ69" s="359"/>
      <c r="BK69" s="359"/>
      <c r="BL69" s="359"/>
      <c r="BM69" s="359"/>
      <c r="BN69" s="359"/>
      <c r="BO69" s="359"/>
      <c r="BP69" s="359"/>
      <c r="BQ69" s="359"/>
      <c r="BR69" s="359"/>
      <c r="BS69" s="359"/>
      <c r="BT69" s="359"/>
      <c r="BU69" s="359"/>
      <c r="BV69" s="359"/>
      <c r="BW69" s="359"/>
      <c r="BX69" s="359"/>
      <c r="BY69" s="359"/>
      <c r="BZ69" s="359"/>
      <c r="CA69" s="359"/>
      <c r="CB69" s="359"/>
      <c r="CC69" s="359"/>
      <c r="CD69" s="359"/>
      <c r="CE69" s="359"/>
      <c r="CF69" s="359"/>
      <c r="CG69" s="359"/>
      <c r="CH69" s="359"/>
      <c r="CI69" s="359"/>
      <c r="CJ69" s="359"/>
      <c r="CK69" s="359"/>
      <c r="CL69" s="359"/>
      <c r="CM69" s="359"/>
      <c r="CN69" s="359"/>
      <c r="CO69" s="359"/>
      <c r="CP69" s="359"/>
      <c r="CQ69" s="359"/>
      <c r="CR69" s="359"/>
      <c r="CS69" s="359"/>
      <c r="CT69" s="359"/>
    </row>
    <row r="70">
      <c r="A70" s="327" t="s">
        <v>683</v>
      </c>
      <c r="B70" s="306"/>
      <c r="C70" s="306"/>
      <c r="D70" s="324">
        <v>46287.0</v>
      </c>
      <c r="E70" s="752" t="s">
        <v>1264</v>
      </c>
      <c r="F70" s="311" t="s">
        <v>695</v>
      </c>
      <c r="G70" s="312" t="s">
        <v>747</v>
      </c>
      <c r="H70" s="332" t="s">
        <v>1136</v>
      </c>
      <c r="I70" s="312" t="s">
        <v>161</v>
      </c>
      <c r="J70" s="746" t="s">
        <v>1139</v>
      </c>
      <c r="K70" s="314">
        <v>860422.68</v>
      </c>
      <c r="L70" s="317">
        <f t="shared" si="14"/>
        <v>0</v>
      </c>
      <c r="M70" s="317">
        <f t="shared" si="16"/>
        <v>860422.68</v>
      </c>
      <c r="N70" s="318"/>
      <c r="O70" s="318"/>
      <c r="P70" s="318"/>
      <c r="Q70" s="317">
        <f t="shared" si="11"/>
        <v>860422.68</v>
      </c>
      <c r="R70" s="318"/>
      <c r="S70" s="317">
        <f t="shared" si="13"/>
        <v>860422.68</v>
      </c>
      <c r="T70" s="318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59"/>
      <c r="AI70" s="359"/>
      <c r="AJ70" s="359"/>
      <c r="AK70" s="359"/>
      <c r="AL70" s="359"/>
      <c r="AM70" s="359"/>
      <c r="AN70" s="359"/>
      <c r="AO70" s="359"/>
      <c r="AP70" s="359"/>
      <c r="AQ70" s="359"/>
      <c r="AR70" s="359"/>
      <c r="AS70" s="359"/>
      <c r="AT70" s="359"/>
      <c r="AU70" s="359"/>
      <c r="AV70" s="359"/>
      <c r="AW70" s="359"/>
      <c r="AX70" s="359"/>
      <c r="AY70" s="359"/>
      <c r="AZ70" s="359"/>
      <c r="BA70" s="359"/>
      <c r="BB70" s="359"/>
      <c r="BC70" s="359"/>
      <c r="BD70" s="359"/>
      <c r="BE70" s="359"/>
      <c r="BF70" s="359"/>
      <c r="BG70" s="359"/>
      <c r="BH70" s="359"/>
      <c r="BI70" s="359"/>
      <c r="BJ70" s="359"/>
      <c r="BK70" s="359"/>
      <c r="BL70" s="359"/>
      <c r="BM70" s="359"/>
      <c r="BN70" s="359"/>
      <c r="BO70" s="359"/>
      <c r="BP70" s="359"/>
      <c r="BQ70" s="359"/>
      <c r="BR70" s="359"/>
      <c r="BS70" s="359"/>
      <c r="BT70" s="359"/>
      <c r="BU70" s="359"/>
      <c r="BV70" s="359"/>
      <c r="BW70" s="359"/>
      <c r="BX70" s="359"/>
      <c r="BY70" s="359"/>
      <c r="BZ70" s="359"/>
      <c r="CA70" s="359"/>
      <c r="CB70" s="359"/>
      <c r="CC70" s="359"/>
      <c r="CD70" s="359"/>
      <c r="CE70" s="359"/>
      <c r="CF70" s="359"/>
      <c r="CG70" s="359"/>
      <c r="CH70" s="359"/>
      <c r="CI70" s="359"/>
      <c r="CJ70" s="359"/>
      <c r="CK70" s="359"/>
      <c r="CL70" s="359"/>
      <c r="CM70" s="359"/>
      <c r="CN70" s="359"/>
      <c r="CO70" s="359"/>
      <c r="CP70" s="359"/>
      <c r="CQ70" s="359"/>
      <c r="CR70" s="359"/>
      <c r="CS70" s="359"/>
      <c r="CT70" s="359"/>
    </row>
    <row r="71">
      <c r="A71" s="576"/>
      <c r="B71" s="306"/>
      <c r="C71" s="306"/>
      <c r="D71" s="324">
        <v>46287.0</v>
      </c>
      <c r="E71" s="752" t="s">
        <v>721</v>
      </c>
      <c r="F71" s="311" t="s">
        <v>695</v>
      </c>
      <c r="G71" s="312" t="s">
        <v>697</v>
      </c>
      <c r="H71" s="312" t="s">
        <v>1136</v>
      </c>
      <c r="I71" s="312" t="s">
        <v>161</v>
      </c>
      <c r="J71" s="753" t="s">
        <v>1180</v>
      </c>
      <c r="K71" s="314">
        <v>739304.76</v>
      </c>
      <c r="L71" s="317">
        <f t="shared" si="14"/>
        <v>0</v>
      </c>
      <c r="M71" s="317">
        <v>739304.76</v>
      </c>
      <c r="N71" s="318"/>
      <c r="O71" s="318"/>
      <c r="P71" s="318"/>
      <c r="Q71" s="317">
        <f t="shared" si="11"/>
        <v>739304.76</v>
      </c>
      <c r="R71" s="318"/>
      <c r="S71" s="317">
        <f t="shared" si="13"/>
        <v>739304.76</v>
      </c>
      <c r="T71" s="318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59"/>
      <c r="AM71" s="359"/>
      <c r="AN71" s="359"/>
      <c r="AO71" s="359"/>
      <c r="AP71" s="359"/>
      <c r="AQ71" s="359"/>
      <c r="AR71" s="359"/>
      <c r="AS71" s="359"/>
      <c r="AT71" s="359"/>
      <c r="AU71" s="359"/>
      <c r="AV71" s="359"/>
      <c r="AW71" s="359"/>
      <c r="AX71" s="359"/>
      <c r="AY71" s="359"/>
      <c r="AZ71" s="359"/>
      <c r="BA71" s="359"/>
      <c r="BB71" s="359"/>
      <c r="BC71" s="359"/>
      <c r="BD71" s="359"/>
      <c r="BE71" s="359"/>
      <c r="BF71" s="359"/>
      <c r="BG71" s="359"/>
      <c r="BH71" s="359"/>
      <c r="BI71" s="359"/>
      <c r="BJ71" s="359"/>
      <c r="BK71" s="359"/>
      <c r="BL71" s="359"/>
      <c r="BM71" s="359"/>
      <c r="BN71" s="359"/>
      <c r="BO71" s="359"/>
      <c r="BP71" s="359"/>
      <c r="BQ71" s="359"/>
      <c r="BR71" s="359"/>
      <c r="BS71" s="359"/>
      <c r="BT71" s="359"/>
      <c r="BU71" s="359"/>
      <c r="BV71" s="359"/>
      <c r="BW71" s="359"/>
      <c r="BX71" s="359"/>
      <c r="BY71" s="359"/>
      <c r="BZ71" s="359"/>
      <c r="CA71" s="359"/>
      <c r="CB71" s="359"/>
      <c r="CC71" s="359"/>
      <c r="CD71" s="359"/>
      <c r="CE71" s="359"/>
      <c r="CF71" s="359"/>
      <c r="CG71" s="359"/>
      <c r="CH71" s="359"/>
      <c r="CI71" s="359"/>
      <c r="CJ71" s="359"/>
      <c r="CK71" s="359"/>
      <c r="CL71" s="359"/>
      <c r="CM71" s="359"/>
      <c r="CN71" s="359"/>
      <c r="CO71" s="359"/>
      <c r="CP71" s="359"/>
      <c r="CQ71" s="359"/>
      <c r="CR71" s="359"/>
      <c r="CS71" s="359"/>
      <c r="CT71" s="359"/>
    </row>
    <row r="72">
      <c r="A72" s="305" t="s">
        <v>822</v>
      </c>
      <c r="B72" s="306"/>
      <c r="C72" s="306"/>
      <c r="D72" s="307"/>
      <c r="E72" s="754"/>
      <c r="F72" s="311" t="s">
        <v>695</v>
      </c>
      <c r="G72" s="312" t="s">
        <v>697</v>
      </c>
      <c r="H72" s="411" t="s">
        <v>148</v>
      </c>
      <c r="I72" s="312" t="s">
        <v>71</v>
      </c>
      <c r="J72" s="755" t="s">
        <v>788</v>
      </c>
      <c r="K72" s="314">
        <v>2178113.72</v>
      </c>
      <c r="L72" s="317">
        <f t="shared" si="14"/>
        <v>0</v>
      </c>
      <c r="M72" s="317">
        <f t="shared" ref="M72:M73" si="17">K72</f>
        <v>2178113.72</v>
      </c>
      <c r="N72" s="318"/>
      <c r="O72" s="318"/>
      <c r="P72" s="318"/>
      <c r="Q72" s="317">
        <f t="shared" si="11"/>
        <v>2178113.72</v>
      </c>
      <c r="R72" s="318"/>
      <c r="S72" s="317">
        <f t="shared" si="13"/>
        <v>2178113.72</v>
      </c>
      <c r="T72" s="318"/>
      <c r="U72" s="359"/>
      <c r="V72" s="359"/>
      <c r="W72" s="359"/>
      <c r="X72" s="359"/>
      <c r="Y72" s="359"/>
      <c r="Z72" s="359"/>
      <c r="AA72" s="359"/>
      <c r="AB72" s="359"/>
      <c r="AC72" s="359"/>
      <c r="AD72" s="359"/>
      <c r="AE72" s="359"/>
      <c r="AF72" s="359"/>
      <c r="AG72" s="359"/>
      <c r="AH72" s="359"/>
      <c r="AI72" s="359"/>
      <c r="AJ72" s="359"/>
      <c r="AK72" s="359"/>
      <c r="AL72" s="359"/>
      <c r="AM72" s="359"/>
      <c r="AN72" s="359"/>
      <c r="AO72" s="359"/>
      <c r="AP72" s="359"/>
      <c r="AQ72" s="359"/>
      <c r="AR72" s="359"/>
      <c r="AS72" s="359"/>
      <c r="AT72" s="359"/>
      <c r="AU72" s="359"/>
      <c r="AV72" s="359"/>
      <c r="AW72" s="359"/>
      <c r="AX72" s="359"/>
      <c r="AY72" s="359"/>
      <c r="AZ72" s="359"/>
      <c r="BA72" s="359"/>
      <c r="BB72" s="359"/>
      <c r="BC72" s="359"/>
      <c r="BD72" s="359"/>
      <c r="BE72" s="359"/>
      <c r="BF72" s="359"/>
      <c r="BG72" s="359"/>
      <c r="BH72" s="359"/>
      <c r="BI72" s="359"/>
      <c r="BJ72" s="359"/>
      <c r="BK72" s="359"/>
      <c r="BL72" s="359"/>
      <c r="BM72" s="359"/>
      <c r="BN72" s="359"/>
      <c r="BO72" s="359"/>
      <c r="BP72" s="359"/>
      <c r="BQ72" s="359"/>
      <c r="BR72" s="359"/>
      <c r="BS72" s="359"/>
      <c r="BT72" s="359"/>
      <c r="BU72" s="359"/>
      <c r="BV72" s="359"/>
      <c r="BW72" s="359"/>
      <c r="BX72" s="359"/>
      <c r="BY72" s="359"/>
      <c r="BZ72" s="359"/>
      <c r="CA72" s="359"/>
      <c r="CB72" s="359"/>
      <c r="CC72" s="359"/>
      <c r="CD72" s="359"/>
      <c r="CE72" s="359"/>
      <c r="CF72" s="359"/>
      <c r="CG72" s="359"/>
      <c r="CH72" s="359"/>
      <c r="CI72" s="359"/>
      <c r="CJ72" s="359"/>
      <c r="CK72" s="359"/>
      <c r="CL72" s="359"/>
      <c r="CM72" s="359"/>
      <c r="CN72" s="359"/>
      <c r="CO72" s="359"/>
      <c r="CP72" s="359"/>
      <c r="CQ72" s="359"/>
      <c r="CR72" s="359"/>
      <c r="CS72" s="359"/>
      <c r="CT72" s="359"/>
    </row>
    <row r="73">
      <c r="A73" s="327" t="s">
        <v>761</v>
      </c>
      <c r="B73" s="306"/>
      <c r="C73" s="306"/>
      <c r="D73" s="324">
        <v>46052.0</v>
      </c>
      <c r="E73" s="752" t="s">
        <v>764</v>
      </c>
      <c r="F73" s="311" t="s">
        <v>695</v>
      </c>
      <c r="G73" s="312" t="s">
        <v>697</v>
      </c>
      <c r="H73" s="312" t="s">
        <v>775</v>
      </c>
      <c r="I73" s="312" t="s">
        <v>71</v>
      </c>
      <c r="J73" s="372" t="s">
        <v>783</v>
      </c>
      <c r="K73" s="314">
        <v>3753888.24</v>
      </c>
      <c r="L73" s="317">
        <f t="shared" si="14"/>
        <v>0</v>
      </c>
      <c r="M73" s="317">
        <f t="shared" si="17"/>
        <v>3753888.24</v>
      </c>
      <c r="N73" s="318"/>
      <c r="O73" s="318"/>
      <c r="P73" s="318"/>
      <c r="Q73" s="317">
        <f t="shared" si="11"/>
        <v>3753888.24</v>
      </c>
      <c r="R73" s="318"/>
      <c r="S73" s="317">
        <f t="shared" si="13"/>
        <v>3753888.24</v>
      </c>
      <c r="T73" s="318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59"/>
      <c r="AM73" s="359"/>
      <c r="AN73" s="359"/>
      <c r="AO73" s="359"/>
      <c r="AP73" s="359"/>
      <c r="AQ73" s="359"/>
      <c r="AR73" s="359"/>
      <c r="AS73" s="359"/>
      <c r="AT73" s="359"/>
      <c r="AU73" s="359"/>
      <c r="AV73" s="359"/>
      <c r="AW73" s="359"/>
      <c r="AX73" s="359"/>
      <c r="AY73" s="359"/>
      <c r="AZ73" s="359"/>
      <c r="BA73" s="359"/>
      <c r="BB73" s="359"/>
      <c r="BC73" s="359"/>
      <c r="BD73" s="359"/>
      <c r="BE73" s="359"/>
      <c r="BF73" s="359"/>
      <c r="BG73" s="359"/>
      <c r="BH73" s="359"/>
      <c r="BI73" s="359"/>
      <c r="BJ73" s="359"/>
      <c r="BK73" s="359"/>
      <c r="BL73" s="359"/>
      <c r="BM73" s="359"/>
      <c r="BN73" s="359"/>
      <c r="BO73" s="359"/>
      <c r="BP73" s="359"/>
      <c r="BQ73" s="359"/>
      <c r="BR73" s="359"/>
      <c r="BS73" s="359"/>
      <c r="BT73" s="359"/>
      <c r="BU73" s="359"/>
      <c r="BV73" s="359"/>
      <c r="BW73" s="359"/>
      <c r="BX73" s="359"/>
      <c r="BY73" s="359"/>
      <c r="BZ73" s="359"/>
      <c r="CA73" s="359"/>
      <c r="CB73" s="359"/>
      <c r="CC73" s="359"/>
      <c r="CD73" s="359"/>
      <c r="CE73" s="359"/>
      <c r="CF73" s="359"/>
      <c r="CG73" s="359"/>
      <c r="CH73" s="359"/>
      <c r="CI73" s="359"/>
      <c r="CJ73" s="359"/>
      <c r="CK73" s="359"/>
      <c r="CL73" s="359"/>
      <c r="CM73" s="359"/>
      <c r="CN73" s="359"/>
      <c r="CO73" s="359"/>
      <c r="CP73" s="359"/>
      <c r="CQ73" s="359"/>
      <c r="CR73" s="359"/>
      <c r="CS73" s="359"/>
      <c r="CT73" s="359"/>
    </row>
    <row r="74">
      <c r="A74" s="756" t="s">
        <v>761</v>
      </c>
      <c r="B74" s="471"/>
      <c r="C74" s="473"/>
      <c r="D74" s="757">
        <v>46052.0</v>
      </c>
      <c r="E74" s="758" t="s">
        <v>764</v>
      </c>
      <c r="F74" s="311" t="s">
        <v>1155</v>
      </c>
      <c r="G74" s="759" t="s">
        <v>747</v>
      </c>
      <c r="H74" s="759" t="s">
        <v>775</v>
      </c>
      <c r="I74" s="759" t="s">
        <v>71</v>
      </c>
      <c r="J74" s="760" t="s">
        <v>1265</v>
      </c>
      <c r="K74" s="761">
        <v>342000.0</v>
      </c>
      <c r="L74" s="762">
        <f t="shared" si="14"/>
        <v>342000</v>
      </c>
      <c r="M74" s="482"/>
      <c r="N74" s="482"/>
      <c r="O74" s="482"/>
      <c r="P74" s="482"/>
      <c r="Q74" s="762">
        <f t="shared" si="11"/>
        <v>0</v>
      </c>
      <c r="R74" s="482"/>
      <c r="S74" s="762">
        <f t="shared" si="13"/>
        <v>0</v>
      </c>
      <c r="T74" s="482"/>
      <c r="U74" s="691"/>
      <c r="V74" s="691"/>
      <c r="W74" s="691"/>
      <c r="X74" s="691"/>
      <c r="Y74" s="691"/>
      <c r="Z74" s="691"/>
      <c r="AA74" s="691"/>
      <c r="AB74" s="691"/>
      <c r="AC74" s="691"/>
      <c r="AD74" s="691"/>
      <c r="AE74" s="691"/>
      <c r="AF74" s="691"/>
      <c r="AG74" s="691"/>
      <c r="AH74" s="691"/>
      <c r="AI74" s="691"/>
      <c r="AJ74" s="691"/>
      <c r="AK74" s="691"/>
      <c r="AL74" s="691"/>
      <c r="AM74" s="691"/>
      <c r="AN74" s="691"/>
      <c r="AO74" s="691"/>
      <c r="AP74" s="691"/>
      <c r="AQ74" s="691"/>
      <c r="AR74" s="691"/>
      <c r="AS74" s="691"/>
      <c r="AT74" s="691"/>
      <c r="AU74" s="691"/>
      <c r="AV74" s="691"/>
      <c r="AW74" s="691"/>
      <c r="AX74" s="691"/>
      <c r="AY74" s="691"/>
      <c r="AZ74" s="691"/>
      <c r="BA74" s="691"/>
      <c r="BB74" s="691"/>
      <c r="BC74" s="691"/>
      <c r="BD74" s="691"/>
      <c r="BE74" s="691"/>
      <c r="BF74" s="691"/>
      <c r="BG74" s="691"/>
      <c r="BH74" s="691"/>
      <c r="BI74" s="691"/>
      <c r="BJ74" s="691"/>
      <c r="BK74" s="691"/>
      <c r="BL74" s="691"/>
      <c r="BM74" s="691"/>
      <c r="BN74" s="691"/>
      <c r="BO74" s="691"/>
      <c r="BP74" s="691"/>
      <c r="BQ74" s="691"/>
      <c r="BR74" s="691"/>
      <c r="BS74" s="691"/>
      <c r="BT74" s="691"/>
      <c r="BU74" s="691"/>
      <c r="BV74" s="691"/>
      <c r="BW74" s="691"/>
      <c r="BX74" s="691"/>
      <c r="BY74" s="691"/>
      <c r="BZ74" s="691"/>
      <c r="CA74" s="691"/>
      <c r="CB74" s="691"/>
      <c r="CC74" s="691"/>
      <c r="CD74" s="691"/>
      <c r="CE74" s="691"/>
      <c r="CF74" s="691"/>
      <c r="CG74" s="691"/>
      <c r="CH74" s="691"/>
      <c r="CI74" s="691"/>
      <c r="CJ74" s="691"/>
      <c r="CK74" s="691"/>
      <c r="CL74" s="691"/>
      <c r="CM74" s="691"/>
      <c r="CN74" s="691"/>
      <c r="CO74" s="691"/>
      <c r="CP74" s="691"/>
      <c r="CQ74" s="691"/>
      <c r="CR74" s="691"/>
      <c r="CS74" s="691"/>
      <c r="CT74" s="691"/>
    </row>
    <row r="75">
      <c r="A75" s="493" t="s">
        <v>1141</v>
      </c>
      <c r="B75" s="495" t="s">
        <v>1143</v>
      </c>
      <c r="C75" s="497"/>
      <c r="D75" s="498"/>
      <c r="E75" s="499"/>
      <c r="F75" s="499"/>
      <c r="G75" s="500"/>
      <c r="H75" s="500"/>
      <c r="I75" s="500"/>
      <c r="J75" s="499"/>
      <c r="K75" s="501"/>
      <c r="L75" s="501"/>
      <c r="M75" s="502"/>
      <c r="N75" s="501"/>
      <c r="O75" s="501"/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1"/>
      <c r="AA75" s="501"/>
      <c r="AB75" s="501"/>
      <c r="AC75" s="501"/>
      <c r="AD75" s="501"/>
      <c r="AE75" s="501"/>
      <c r="AF75" s="501"/>
      <c r="AG75" s="501"/>
      <c r="AH75" s="501"/>
      <c r="AI75" s="501"/>
      <c r="AJ75" s="501"/>
      <c r="AK75" s="501"/>
      <c r="AL75" s="501"/>
      <c r="AM75" s="501"/>
      <c r="AN75" s="501"/>
      <c r="AO75" s="501"/>
      <c r="AP75" s="501"/>
      <c r="AQ75" s="501"/>
      <c r="AR75" s="501"/>
      <c r="AS75" s="501"/>
      <c r="AT75" s="501"/>
      <c r="AU75" s="501"/>
      <c r="AV75" s="501"/>
      <c r="AW75" s="501"/>
      <c r="AX75" s="501"/>
      <c r="AY75" s="501"/>
      <c r="AZ75" s="501"/>
      <c r="BA75" s="501"/>
      <c r="BB75" s="501"/>
      <c r="BC75" s="501"/>
      <c r="BD75" s="501"/>
      <c r="BE75" s="501"/>
      <c r="BF75" s="501"/>
      <c r="BG75" s="501"/>
      <c r="BH75" s="501"/>
      <c r="BI75" s="501"/>
      <c r="BJ75" s="501"/>
      <c r="BK75" s="501"/>
      <c r="BL75" s="501"/>
      <c r="BM75" s="501"/>
      <c r="BN75" s="501"/>
      <c r="BO75" s="501"/>
      <c r="BP75" s="501"/>
      <c r="BQ75" s="501"/>
      <c r="BR75" s="501"/>
      <c r="BS75" s="501"/>
      <c r="BT75" s="501"/>
      <c r="BU75" s="501"/>
      <c r="BV75" s="501"/>
      <c r="BW75" s="501"/>
      <c r="BX75" s="501"/>
      <c r="BY75" s="501"/>
      <c r="BZ75" s="501"/>
      <c r="CA75" s="501"/>
      <c r="CB75" s="501"/>
      <c r="CC75" s="501"/>
      <c r="CD75" s="501"/>
      <c r="CE75" s="501"/>
      <c r="CF75" s="501"/>
      <c r="CG75" s="501"/>
      <c r="CH75" s="501"/>
      <c r="CI75" s="501"/>
      <c r="CJ75" s="501"/>
      <c r="CK75" s="501"/>
      <c r="CL75" s="501"/>
      <c r="CM75" s="501"/>
      <c r="CN75" s="501"/>
      <c r="CO75" s="501"/>
      <c r="CP75" s="501"/>
      <c r="CQ75" s="501"/>
      <c r="CR75" s="501"/>
      <c r="CS75" s="501"/>
      <c r="CT75" s="501"/>
    </row>
    <row r="76">
      <c r="D76" s="498"/>
      <c r="E76" s="499"/>
      <c r="F76" s="499"/>
      <c r="G76" s="504" t="s">
        <v>1144</v>
      </c>
      <c r="H76" s="11"/>
      <c r="I76" s="11"/>
      <c r="J76" s="14"/>
      <c r="K76" s="501"/>
      <c r="L76" s="501"/>
      <c r="M76" s="501"/>
      <c r="N76" s="501"/>
      <c r="O76" s="501"/>
      <c r="P76" s="501"/>
      <c r="Q76" s="501"/>
      <c r="R76" s="501"/>
      <c r="S76" s="501"/>
      <c r="T76" s="501"/>
      <c r="U76" s="501"/>
      <c r="V76" s="501"/>
      <c r="W76" s="501"/>
      <c r="X76" s="501"/>
      <c r="Y76" s="501"/>
      <c r="Z76" s="501"/>
      <c r="AA76" s="501"/>
      <c r="AB76" s="501"/>
      <c r="AC76" s="501"/>
      <c r="AD76" s="501"/>
      <c r="AE76" s="501"/>
      <c r="AF76" s="501"/>
      <c r="AG76" s="501"/>
      <c r="AH76" s="501"/>
      <c r="AI76" s="501"/>
      <c r="AJ76" s="501"/>
      <c r="AK76" s="501"/>
      <c r="AL76" s="501"/>
      <c r="AM76" s="501"/>
      <c r="AN76" s="501"/>
      <c r="AO76" s="501"/>
      <c r="AP76" s="501"/>
      <c r="AQ76" s="501"/>
      <c r="AR76" s="501"/>
      <c r="AS76" s="501"/>
      <c r="AT76" s="501"/>
      <c r="AU76" s="501"/>
      <c r="AV76" s="501"/>
      <c r="AW76" s="501"/>
      <c r="AX76" s="501"/>
      <c r="AY76" s="501"/>
      <c r="AZ76" s="501"/>
      <c r="BA76" s="501"/>
      <c r="BB76" s="501"/>
      <c r="BC76" s="501"/>
      <c r="BD76" s="501"/>
      <c r="BE76" s="501"/>
      <c r="BF76" s="501"/>
      <c r="BG76" s="501"/>
      <c r="BH76" s="501"/>
      <c r="BI76" s="501"/>
      <c r="BJ76" s="501"/>
      <c r="BK76" s="501"/>
      <c r="BL76" s="501"/>
      <c r="BM76" s="501"/>
      <c r="BN76" s="501"/>
      <c r="BO76" s="501"/>
      <c r="BP76" s="501"/>
      <c r="BQ76" s="501"/>
      <c r="BR76" s="501"/>
      <c r="BS76" s="501"/>
      <c r="BT76" s="501"/>
      <c r="BU76" s="501"/>
      <c r="BV76" s="501"/>
      <c r="BW76" s="501"/>
      <c r="BX76" s="501"/>
      <c r="BY76" s="501"/>
      <c r="BZ76" s="501"/>
      <c r="CA76" s="501"/>
      <c r="CB76" s="501"/>
      <c r="CC76" s="501"/>
      <c r="CD76" s="501"/>
      <c r="CE76" s="501"/>
      <c r="CF76" s="501"/>
      <c r="CG76" s="501"/>
      <c r="CH76" s="501"/>
      <c r="CI76" s="501"/>
      <c r="CJ76" s="501"/>
      <c r="CK76" s="501"/>
      <c r="CL76" s="501"/>
      <c r="CM76" s="501"/>
      <c r="CN76" s="501"/>
      <c r="CO76" s="501"/>
      <c r="CP76" s="501"/>
      <c r="CQ76" s="501"/>
      <c r="CR76" s="501"/>
      <c r="CS76" s="501"/>
      <c r="CT76" s="501"/>
    </row>
    <row r="77">
      <c r="D77" s="498"/>
      <c r="E77" s="499"/>
      <c r="F77" s="499"/>
      <c r="G77" s="763" t="s">
        <v>1145</v>
      </c>
      <c r="H77" s="106"/>
      <c r="I77" s="106"/>
      <c r="J77" s="106"/>
      <c r="K77" s="508">
        <f>SUM(K4:K76)</f>
        <v>132861429.6</v>
      </c>
      <c r="L77" s="508">
        <f t="shared" ref="L77:N77" si="18">SUM(L4:L75)</f>
        <v>6209214.46</v>
      </c>
      <c r="M77" s="508">
        <f t="shared" si="18"/>
        <v>126652215.2</v>
      </c>
      <c r="N77" s="508">
        <f t="shared" si="18"/>
        <v>14593009.66</v>
      </c>
      <c r="O77" s="510"/>
      <c r="P77" s="508">
        <f t="shared" ref="P77:S77" si="19">SUM(P4:P75)</f>
        <v>965258.77</v>
      </c>
      <c r="Q77" s="508">
        <f t="shared" si="19"/>
        <v>108597451.7</v>
      </c>
      <c r="R77" s="508">
        <f t="shared" si="19"/>
        <v>16105397.39</v>
      </c>
      <c r="S77" s="508">
        <f t="shared" si="19"/>
        <v>92492054.35</v>
      </c>
      <c r="T77" s="501"/>
      <c r="U77" s="501"/>
      <c r="V77" s="501"/>
      <c r="W77" s="501"/>
      <c r="X77" s="501"/>
      <c r="Y77" s="501"/>
      <c r="Z77" s="501"/>
      <c r="AA77" s="501"/>
      <c r="AB77" s="501"/>
      <c r="AC77" s="501"/>
      <c r="AD77" s="501"/>
      <c r="AE77" s="501"/>
      <c r="AF77" s="501"/>
      <c r="AG77" s="501"/>
      <c r="AH77" s="501"/>
      <c r="AI77" s="501"/>
      <c r="AJ77" s="501"/>
      <c r="AK77" s="501"/>
      <c r="AL77" s="501"/>
      <c r="AM77" s="501"/>
      <c r="AN77" s="501"/>
      <c r="AO77" s="501"/>
      <c r="AP77" s="501"/>
      <c r="AQ77" s="501"/>
      <c r="AR77" s="501"/>
      <c r="AS77" s="501"/>
      <c r="AT77" s="501"/>
      <c r="AU77" s="501"/>
      <c r="AV77" s="501"/>
      <c r="AW77" s="501"/>
      <c r="AX77" s="501"/>
      <c r="AY77" s="501"/>
      <c r="AZ77" s="501"/>
      <c r="BA77" s="501"/>
      <c r="BB77" s="501"/>
      <c r="BC77" s="501"/>
      <c r="BD77" s="501"/>
      <c r="BE77" s="501"/>
      <c r="BF77" s="501"/>
      <c r="BG77" s="501"/>
      <c r="BH77" s="501"/>
      <c r="BI77" s="501"/>
      <c r="BJ77" s="501"/>
      <c r="BK77" s="501"/>
      <c r="BL77" s="501"/>
      <c r="BM77" s="501"/>
      <c r="BN77" s="501"/>
      <c r="BO77" s="501"/>
      <c r="BP77" s="501"/>
      <c r="BQ77" s="501"/>
      <c r="BR77" s="501"/>
      <c r="BS77" s="501"/>
      <c r="BT77" s="501"/>
      <c r="BU77" s="501"/>
      <c r="BV77" s="501"/>
      <c r="BW77" s="501"/>
      <c r="BX77" s="501"/>
      <c r="BY77" s="501"/>
      <c r="BZ77" s="501"/>
      <c r="CA77" s="501"/>
      <c r="CB77" s="501"/>
      <c r="CC77" s="501"/>
      <c r="CD77" s="501"/>
      <c r="CE77" s="501"/>
      <c r="CF77" s="501"/>
      <c r="CG77" s="501"/>
      <c r="CH77" s="501"/>
      <c r="CI77" s="501"/>
      <c r="CJ77" s="501"/>
      <c r="CK77" s="501"/>
      <c r="CL77" s="501"/>
      <c r="CM77" s="501"/>
      <c r="CN77" s="501"/>
      <c r="CO77" s="501"/>
      <c r="CP77" s="501"/>
      <c r="CQ77" s="501"/>
      <c r="CR77" s="501"/>
      <c r="CS77" s="501"/>
      <c r="CT77" s="501"/>
    </row>
    <row r="78">
      <c r="D78" s="498"/>
      <c r="E78" s="499"/>
      <c r="F78" s="499"/>
      <c r="G78" s="513" t="s">
        <v>1146</v>
      </c>
      <c r="H78" s="11"/>
      <c r="I78" s="11"/>
      <c r="J78" s="11"/>
      <c r="K78" s="521">
        <f t="shared" ref="K78:N78" si="20">SUMIF($G$4:$G$75,"*земляные работы*",K4:K75)</f>
        <v>0</v>
      </c>
      <c r="L78" s="521">
        <f t="shared" si="20"/>
        <v>0</v>
      </c>
      <c r="M78" s="521">
        <f t="shared" si="20"/>
        <v>0</v>
      </c>
      <c r="N78" s="521">
        <f t="shared" si="20"/>
        <v>0</v>
      </c>
      <c r="O78" s="523"/>
      <c r="P78" s="521">
        <f t="shared" ref="P78:S78" si="21">SUMIF($G$4:$G$75,"*земляные работы*",P4:P75)</f>
        <v>0</v>
      </c>
      <c r="Q78" s="521">
        <f t="shared" si="21"/>
        <v>0</v>
      </c>
      <c r="R78" s="521">
        <f t="shared" si="21"/>
        <v>0</v>
      </c>
      <c r="S78" s="521">
        <f t="shared" si="21"/>
        <v>0</v>
      </c>
      <c r="T78" s="501"/>
      <c r="U78" s="501"/>
      <c r="V78" s="501"/>
      <c r="W78" s="501"/>
      <c r="X78" s="501"/>
      <c r="Y78" s="501"/>
      <c r="Z78" s="501"/>
      <c r="AA78" s="501"/>
      <c r="AB78" s="501"/>
      <c r="AC78" s="501"/>
      <c r="AD78" s="501"/>
      <c r="AE78" s="501"/>
      <c r="AF78" s="501"/>
      <c r="AG78" s="501"/>
      <c r="AH78" s="501"/>
      <c r="AI78" s="501"/>
      <c r="AJ78" s="501"/>
      <c r="AK78" s="501"/>
      <c r="AL78" s="501"/>
      <c r="AM78" s="501"/>
      <c r="AN78" s="501"/>
      <c r="AO78" s="501"/>
      <c r="AP78" s="501"/>
      <c r="AQ78" s="501"/>
      <c r="AR78" s="501"/>
      <c r="AS78" s="501"/>
      <c r="AT78" s="501"/>
      <c r="AU78" s="501"/>
      <c r="AV78" s="501"/>
      <c r="AW78" s="501"/>
      <c r="AX78" s="501"/>
      <c r="AY78" s="501"/>
      <c r="AZ78" s="501"/>
      <c r="BA78" s="501"/>
      <c r="BB78" s="501"/>
      <c r="BC78" s="501"/>
      <c r="BD78" s="501"/>
      <c r="BE78" s="501"/>
      <c r="BF78" s="501"/>
      <c r="BG78" s="501"/>
      <c r="BH78" s="501"/>
      <c r="BI78" s="501"/>
      <c r="BJ78" s="501"/>
      <c r="BK78" s="501"/>
      <c r="BL78" s="501"/>
      <c r="BM78" s="501"/>
      <c r="BN78" s="501"/>
      <c r="BO78" s="501"/>
      <c r="BP78" s="501"/>
      <c r="BQ78" s="501"/>
      <c r="BR78" s="501"/>
      <c r="BS78" s="501"/>
      <c r="BT78" s="501"/>
      <c r="BU78" s="501"/>
      <c r="BV78" s="501"/>
      <c r="BW78" s="501"/>
      <c r="BX78" s="501"/>
      <c r="BY78" s="501"/>
      <c r="BZ78" s="501"/>
      <c r="CA78" s="501"/>
      <c r="CB78" s="501"/>
      <c r="CC78" s="501"/>
      <c r="CD78" s="501"/>
      <c r="CE78" s="501"/>
      <c r="CF78" s="501"/>
      <c r="CG78" s="501"/>
      <c r="CH78" s="501"/>
      <c r="CI78" s="501"/>
      <c r="CJ78" s="501"/>
      <c r="CK78" s="501"/>
      <c r="CL78" s="501"/>
      <c r="CM78" s="501"/>
      <c r="CN78" s="501"/>
      <c r="CO78" s="501"/>
      <c r="CP78" s="501"/>
      <c r="CQ78" s="501"/>
      <c r="CR78" s="501"/>
      <c r="CS78" s="501"/>
      <c r="CT78" s="501"/>
    </row>
    <row r="79">
      <c r="D79" s="498"/>
      <c r="E79" s="499"/>
      <c r="F79" s="499"/>
      <c r="G79" s="764" t="s">
        <v>1147</v>
      </c>
      <c r="H79" s="11"/>
      <c r="I79" s="11"/>
      <c r="J79" s="11"/>
      <c r="K79" s="532">
        <f t="shared" ref="K79:N79" si="22">SUMIF($G$4:$G$75,"*подготовительные работы*",K4:K75)</f>
        <v>33331344.79</v>
      </c>
      <c r="L79" s="532">
        <f t="shared" si="22"/>
        <v>533834.42</v>
      </c>
      <c r="M79" s="532">
        <f t="shared" si="22"/>
        <v>32797510.37</v>
      </c>
      <c r="N79" s="532">
        <f t="shared" si="22"/>
        <v>14593009.66</v>
      </c>
      <c r="O79" s="536"/>
      <c r="P79" s="532">
        <f t="shared" ref="P79:S79" si="23">SUMIF($G$4:$G$75,"*подготовительные работы*",P4:P75)</f>
        <v>965258.77</v>
      </c>
      <c r="Q79" s="532">
        <f t="shared" si="23"/>
        <v>17239241.94</v>
      </c>
      <c r="R79" s="532">
        <f t="shared" si="23"/>
        <v>0</v>
      </c>
      <c r="S79" s="532">
        <f t="shared" si="23"/>
        <v>17239241.94</v>
      </c>
      <c r="T79" s="501"/>
      <c r="U79" s="501"/>
      <c r="V79" s="501"/>
      <c r="W79" s="501"/>
      <c r="X79" s="501"/>
      <c r="Y79" s="501"/>
      <c r="Z79" s="501"/>
      <c r="AA79" s="501"/>
      <c r="AB79" s="501"/>
      <c r="AC79" s="501"/>
      <c r="AD79" s="501"/>
      <c r="AE79" s="501"/>
      <c r="AF79" s="501"/>
      <c r="AG79" s="501"/>
      <c r="AH79" s="501"/>
      <c r="AI79" s="501"/>
      <c r="AJ79" s="501"/>
      <c r="AK79" s="501"/>
      <c r="AL79" s="501"/>
      <c r="AM79" s="501"/>
      <c r="AN79" s="501"/>
      <c r="AO79" s="501"/>
      <c r="AP79" s="501"/>
      <c r="AQ79" s="501"/>
      <c r="AR79" s="501"/>
      <c r="AS79" s="501"/>
      <c r="AT79" s="501"/>
      <c r="AU79" s="501"/>
      <c r="AV79" s="501"/>
      <c r="AW79" s="501"/>
      <c r="AX79" s="501"/>
      <c r="AY79" s="501"/>
      <c r="AZ79" s="501"/>
      <c r="BA79" s="501"/>
      <c r="BB79" s="501"/>
      <c r="BC79" s="501"/>
      <c r="BD79" s="501"/>
      <c r="BE79" s="501"/>
      <c r="BF79" s="501"/>
      <c r="BG79" s="501"/>
      <c r="BH79" s="501"/>
      <c r="BI79" s="501"/>
      <c r="BJ79" s="501"/>
      <c r="BK79" s="501"/>
      <c r="BL79" s="501"/>
      <c r="BM79" s="501"/>
      <c r="BN79" s="501"/>
      <c r="BO79" s="501"/>
      <c r="BP79" s="501"/>
      <c r="BQ79" s="501"/>
      <c r="BR79" s="501"/>
      <c r="BS79" s="501"/>
      <c r="BT79" s="501"/>
      <c r="BU79" s="501"/>
      <c r="BV79" s="501"/>
      <c r="BW79" s="501"/>
      <c r="BX79" s="501"/>
      <c r="BY79" s="501"/>
      <c r="BZ79" s="501"/>
      <c r="CA79" s="501"/>
      <c r="CB79" s="501"/>
      <c r="CC79" s="501"/>
      <c r="CD79" s="501"/>
      <c r="CE79" s="501"/>
      <c r="CF79" s="501"/>
      <c r="CG79" s="501"/>
      <c r="CH79" s="501"/>
      <c r="CI79" s="501"/>
      <c r="CJ79" s="501"/>
      <c r="CK79" s="501"/>
      <c r="CL79" s="501"/>
      <c r="CM79" s="501"/>
      <c r="CN79" s="501"/>
      <c r="CO79" s="501"/>
      <c r="CP79" s="501"/>
      <c r="CQ79" s="501"/>
      <c r="CR79" s="501"/>
      <c r="CS79" s="501"/>
      <c r="CT79" s="501"/>
    </row>
    <row r="80">
      <c r="D80" s="498"/>
      <c r="E80" s="499"/>
      <c r="F80" s="499"/>
      <c r="G80" s="573" t="s">
        <v>1149</v>
      </c>
      <c r="H80" s="11"/>
      <c r="I80" s="11"/>
      <c r="J80" s="11"/>
      <c r="K80" s="521">
        <f t="shared" ref="K80:N80" si="24">SUMIF($G$4:$G$75,"*эксплуатация*",K4:K75)</f>
        <v>99477377.68</v>
      </c>
      <c r="L80" s="521">
        <f t="shared" si="24"/>
        <v>5675380.04</v>
      </c>
      <c r="M80" s="521">
        <f t="shared" si="24"/>
        <v>93801997.64</v>
      </c>
      <c r="N80" s="521">
        <f t="shared" si="24"/>
        <v>0</v>
      </c>
      <c r="O80" s="523"/>
      <c r="P80" s="521">
        <f t="shared" ref="P80:S80" si="25">SUMIF($G$4:$G$75,"*эксплуатация*",P4:P75)</f>
        <v>0</v>
      </c>
      <c r="Q80" s="521">
        <f t="shared" si="25"/>
        <v>91305502.64</v>
      </c>
      <c r="R80" s="521">
        <f t="shared" si="25"/>
        <v>16105397.39</v>
      </c>
      <c r="S80" s="521">
        <f t="shared" si="25"/>
        <v>75200105.25</v>
      </c>
      <c r="T80" s="501"/>
      <c r="U80" s="501"/>
      <c r="V80" s="501"/>
      <c r="W80" s="501"/>
      <c r="X80" s="501"/>
      <c r="Y80" s="501"/>
      <c r="Z80" s="501"/>
      <c r="AA80" s="501"/>
      <c r="AB80" s="501"/>
      <c r="AC80" s="501"/>
      <c r="AD80" s="501"/>
      <c r="AE80" s="501"/>
      <c r="AF80" s="501"/>
      <c r="AG80" s="501"/>
      <c r="AH80" s="501"/>
      <c r="AI80" s="501"/>
      <c r="AJ80" s="501"/>
      <c r="AK80" s="501"/>
      <c r="AL80" s="501"/>
      <c r="AM80" s="501"/>
      <c r="AN80" s="501"/>
      <c r="AO80" s="501"/>
      <c r="AP80" s="501"/>
      <c r="AQ80" s="501"/>
      <c r="AR80" s="501"/>
      <c r="AS80" s="501"/>
      <c r="AT80" s="501"/>
      <c r="AU80" s="501"/>
      <c r="AV80" s="501"/>
      <c r="AW80" s="501"/>
      <c r="AX80" s="501"/>
      <c r="AY80" s="501"/>
      <c r="AZ80" s="501"/>
      <c r="BA80" s="501"/>
      <c r="BB80" s="501"/>
      <c r="BC80" s="501"/>
      <c r="BD80" s="501"/>
      <c r="BE80" s="501"/>
      <c r="BF80" s="501"/>
      <c r="BG80" s="501"/>
      <c r="BH80" s="501"/>
      <c r="BI80" s="501"/>
      <c r="BJ80" s="501"/>
      <c r="BK80" s="501"/>
      <c r="BL80" s="501"/>
      <c r="BM80" s="501"/>
      <c r="BN80" s="501"/>
      <c r="BO80" s="501"/>
      <c r="BP80" s="501"/>
      <c r="BQ80" s="501"/>
      <c r="BR80" s="501"/>
      <c r="BS80" s="501"/>
      <c r="BT80" s="501"/>
      <c r="BU80" s="501"/>
      <c r="BV80" s="501"/>
      <c r="BW80" s="501"/>
      <c r="BX80" s="501"/>
      <c r="BY80" s="501"/>
      <c r="BZ80" s="501"/>
      <c r="CA80" s="501"/>
      <c r="CB80" s="501"/>
      <c r="CC80" s="501"/>
      <c r="CD80" s="501"/>
      <c r="CE80" s="501"/>
      <c r="CF80" s="501"/>
      <c r="CG80" s="501"/>
      <c r="CH80" s="501"/>
      <c r="CI80" s="501"/>
      <c r="CJ80" s="501"/>
      <c r="CK80" s="501"/>
      <c r="CL80" s="501"/>
      <c r="CM80" s="501"/>
      <c r="CN80" s="501"/>
      <c r="CO80" s="501"/>
      <c r="CP80" s="501"/>
      <c r="CQ80" s="501"/>
      <c r="CR80" s="501"/>
      <c r="CS80" s="501"/>
      <c r="CT80" s="501"/>
    </row>
    <row r="81">
      <c r="D81" s="498"/>
      <c r="E81" s="499"/>
      <c r="F81" s="499"/>
      <c r="G81" s="764" t="s">
        <v>1150</v>
      </c>
      <c r="H81" s="11"/>
      <c r="I81" s="11"/>
      <c r="J81" s="11"/>
      <c r="K81" s="532">
        <f t="shared" ref="K81:N81" si="26">SUMIF($G$4:$G$75,"*водопонижение*",K4:K75)</f>
        <v>0</v>
      </c>
      <c r="L81" s="532">
        <f t="shared" si="26"/>
        <v>0</v>
      </c>
      <c r="M81" s="532">
        <f t="shared" si="26"/>
        <v>0</v>
      </c>
      <c r="N81" s="532">
        <f t="shared" si="26"/>
        <v>0</v>
      </c>
      <c r="O81" s="536"/>
      <c r="P81" s="532">
        <f t="shared" ref="P81:S81" si="27">SUMIF($G$4:$G$75,"*водопонижение*",P4:P75)</f>
        <v>0</v>
      </c>
      <c r="Q81" s="532">
        <f t="shared" si="27"/>
        <v>0</v>
      </c>
      <c r="R81" s="532">
        <f t="shared" si="27"/>
        <v>0</v>
      </c>
      <c r="S81" s="532">
        <f t="shared" si="27"/>
        <v>0</v>
      </c>
      <c r="T81" s="501"/>
      <c r="U81" s="501"/>
      <c r="V81" s="501"/>
      <c r="W81" s="501"/>
      <c r="X81" s="501"/>
      <c r="Y81" s="501"/>
      <c r="Z81" s="501"/>
      <c r="AA81" s="501"/>
      <c r="AB81" s="501"/>
      <c r="AC81" s="501"/>
      <c r="AD81" s="501"/>
      <c r="AE81" s="501"/>
      <c r="AF81" s="501"/>
      <c r="AG81" s="501"/>
      <c r="AH81" s="501"/>
      <c r="AI81" s="501"/>
      <c r="AJ81" s="501"/>
      <c r="AK81" s="501"/>
      <c r="AL81" s="501"/>
      <c r="AM81" s="501"/>
      <c r="AN81" s="501"/>
      <c r="AO81" s="501"/>
      <c r="AP81" s="501"/>
      <c r="AQ81" s="501"/>
      <c r="AR81" s="501"/>
      <c r="AS81" s="501"/>
      <c r="AT81" s="501"/>
      <c r="AU81" s="501"/>
      <c r="AV81" s="501"/>
      <c r="AW81" s="501"/>
      <c r="AX81" s="501"/>
      <c r="AY81" s="501"/>
      <c r="AZ81" s="501"/>
      <c r="BA81" s="501"/>
      <c r="BB81" s="501"/>
      <c r="BC81" s="501"/>
      <c r="BD81" s="501"/>
      <c r="BE81" s="501"/>
      <c r="BF81" s="501"/>
      <c r="BG81" s="501"/>
      <c r="BH81" s="501"/>
      <c r="BI81" s="501"/>
      <c r="BJ81" s="501"/>
      <c r="BK81" s="501"/>
      <c r="BL81" s="501"/>
      <c r="BM81" s="501"/>
      <c r="BN81" s="501"/>
      <c r="BO81" s="501"/>
      <c r="BP81" s="501"/>
      <c r="BQ81" s="501"/>
      <c r="BR81" s="501"/>
      <c r="BS81" s="501"/>
      <c r="BT81" s="501"/>
      <c r="BU81" s="501"/>
      <c r="BV81" s="501"/>
      <c r="BW81" s="501"/>
      <c r="BX81" s="501"/>
      <c r="BY81" s="501"/>
      <c r="BZ81" s="501"/>
      <c r="CA81" s="501"/>
      <c r="CB81" s="501"/>
      <c r="CC81" s="501"/>
      <c r="CD81" s="501"/>
      <c r="CE81" s="501"/>
      <c r="CF81" s="501"/>
      <c r="CG81" s="501"/>
      <c r="CH81" s="501"/>
      <c r="CI81" s="501"/>
      <c r="CJ81" s="501"/>
      <c r="CK81" s="501"/>
      <c r="CL81" s="501"/>
      <c r="CM81" s="501"/>
      <c r="CN81" s="501"/>
      <c r="CO81" s="501"/>
      <c r="CP81" s="501"/>
      <c r="CQ81" s="501"/>
      <c r="CR81" s="501"/>
      <c r="CS81" s="501"/>
      <c r="CT81" s="501"/>
    </row>
    <row r="82">
      <c r="D82" s="498"/>
      <c r="E82" s="499"/>
      <c r="F82" s="499"/>
      <c r="G82" s="764" t="s">
        <v>1152</v>
      </c>
      <c r="H82" s="11"/>
      <c r="I82" s="11"/>
      <c r="J82" s="11"/>
      <c r="K82" s="532">
        <f t="shared" ref="K82:N82" si="28">SUMIF($G$4:$G$75,"*электромонтажные работы*",K4:K75)</f>
        <v>0</v>
      </c>
      <c r="L82" s="532">
        <f t="shared" si="28"/>
        <v>0</v>
      </c>
      <c r="M82" s="532">
        <f t="shared" si="28"/>
        <v>0</v>
      </c>
      <c r="N82" s="532">
        <f t="shared" si="28"/>
        <v>0</v>
      </c>
      <c r="O82" s="536"/>
      <c r="P82" s="532">
        <f t="shared" ref="P82:S82" si="29">SUMIF($G$4:$G$75,"*электромонтажные работы*",P4:P75)</f>
        <v>0</v>
      </c>
      <c r="Q82" s="532">
        <f t="shared" si="29"/>
        <v>0</v>
      </c>
      <c r="R82" s="532">
        <f t="shared" si="29"/>
        <v>0</v>
      </c>
      <c r="S82" s="532">
        <f t="shared" si="29"/>
        <v>0</v>
      </c>
      <c r="T82" s="501"/>
      <c r="U82" s="501"/>
      <c r="V82" s="501"/>
      <c r="W82" s="501"/>
      <c r="X82" s="501"/>
      <c r="Y82" s="501"/>
      <c r="Z82" s="501"/>
      <c r="AA82" s="501"/>
      <c r="AB82" s="501"/>
      <c r="AC82" s="501"/>
      <c r="AD82" s="501"/>
      <c r="AE82" s="501"/>
      <c r="AF82" s="501"/>
      <c r="AG82" s="501"/>
      <c r="AH82" s="501"/>
      <c r="AI82" s="501"/>
      <c r="AJ82" s="501"/>
      <c r="AK82" s="501"/>
      <c r="AL82" s="501"/>
      <c r="AM82" s="501"/>
      <c r="AN82" s="501"/>
      <c r="AO82" s="501"/>
      <c r="AP82" s="501"/>
      <c r="AQ82" s="501"/>
      <c r="AR82" s="501"/>
      <c r="AS82" s="501"/>
      <c r="AT82" s="501"/>
      <c r="AU82" s="501"/>
      <c r="AV82" s="501"/>
      <c r="AW82" s="501"/>
      <c r="AX82" s="501"/>
      <c r="AY82" s="501"/>
      <c r="AZ82" s="501"/>
      <c r="BA82" s="501"/>
      <c r="BB82" s="501"/>
      <c r="BC82" s="501"/>
      <c r="BD82" s="501"/>
      <c r="BE82" s="501"/>
      <c r="BF82" s="501"/>
      <c r="BG82" s="501"/>
      <c r="BH82" s="501"/>
      <c r="BI82" s="501"/>
      <c r="BJ82" s="501"/>
      <c r="BK82" s="501"/>
      <c r="BL82" s="501"/>
      <c r="BM82" s="501"/>
      <c r="BN82" s="501"/>
      <c r="BO82" s="501"/>
      <c r="BP82" s="501"/>
      <c r="BQ82" s="501"/>
      <c r="BR82" s="501"/>
      <c r="BS82" s="501"/>
      <c r="BT82" s="501"/>
      <c r="BU82" s="501"/>
      <c r="BV82" s="501"/>
      <c r="BW82" s="501"/>
      <c r="BX82" s="501"/>
      <c r="BY82" s="501"/>
      <c r="BZ82" s="501"/>
      <c r="CA82" s="501"/>
      <c r="CB82" s="501"/>
      <c r="CC82" s="501"/>
      <c r="CD82" s="501"/>
      <c r="CE82" s="501"/>
      <c r="CF82" s="501"/>
      <c r="CG82" s="501"/>
      <c r="CH82" s="501"/>
      <c r="CI82" s="501"/>
      <c r="CJ82" s="501"/>
      <c r="CK82" s="501"/>
      <c r="CL82" s="501"/>
      <c r="CM82" s="501"/>
      <c r="CN82" s="501"/>
      <c r="CO82" s="501"/>
      <c r="CP82" s="501"/>
      <c r="CQ82" s="501"/>
      <c r="CR82" s="501"/>
      <c r="CS82" s="501"/>
      <c r="CT82" s="501"/>
    </row>
    <row r="83">
      <c r="D83" s="498"/>
      <c r="E83" s="499"/>
      <c r="F83" s="499"/>
      <c r="G83" s="765" t="s">
        <v>1154</v>
      </c>
      <c r="H83" s="11"/>
      <c r="I83" s="11"/>
      <c r="J83" s="11"/>
      <c r="K83" s="555"/>
      <c r="L83" s="555"/>
      <c r="M83" s="555"/>
      <c r="N83" s="555"/>
      <c r="O83" s="555"/>
      <c r="P83" s="555"/>
      <c r="Q83" s="555"/>
      <c r="R83" s="555"/>
      <c r="S83" s="555"/>
      <c r="T83" s="501"/>
      <c r="U83" s="501"/>
      <c r="V83" s="501"/>
      <c r="W83" s="501"/>
      <c r="X83" s="501"/>
      <c r="Y83" s="501"/>
      <c r="Z83" s="501"/>
      <c r="AA83" s="501"/>
      <c r="AB83" s="501"/>
      <c r="AC83" s="501"/>
      <c r="AD83" s="501"/>
      <c r="AE83" s="501"/>
      <c r="AF83" s="501"/>
      <c r="AG83" s="501"/>
      <c r="AH83" s="501"/>
      <c r="AI83" s="501"/>
      <c r="AJ83" s="501"/>
      <c r="AK83" s="501"/>
      <c r="AL83" s="501"/>
      <c r="AM83" s="501"/>
      <c r="AN83" s="501"/>
      <c r="AO83" s="501"/>
      <c r="AP83" s="501"/>
      <c r="AQ83" s="501"/>
      <c r="AR83" s="501"/>
      <c r="AS83" s="501"/>
      <c r="AT83" s="501"/>
      <c r="AU83" s="501"/>
      <c r="AV83" s="501"/>
      <c r="AW83" s="501"/>
      <c r="AX83" s="501"/>
      <c r="AY83" s="501"/>
      <c r="AZ83" s="501"/>
      <c r="BA83" s="501"/>
      <c r="BB83" s="501"/>
      <c r="BC83" s="501"/>
      <c r="BD83" s="501"/>
      <c r="BE83" s="501"/>
      <c r="BF83" s="501"/>
      <c r="BG83" s="501"/>
      <c r="BH83" s="501"/>
      <c r="BI83" s="501"/>
      <c r="BJ83" s="501"/>
      <c r="BK83" s="501"/>
      <c r="BL83" s="501"/>
      <c r="BM83" s="501"/>
      <c r="BN83" s="501"/>
      <c r="BO83" s="501"/>
      <c r="BP83" s="501"/>
      <c r="BQ83" s="501"/>
      <c r="BR83" s="501"/>
      <c r="BS83" s="501"/>
      <c r="BT83" s="501"/>
      <c r="BU83" s="501"/>
      <c r="BV83" s="501"/>
      <c r="BW83" s="501"/>
      <c r="BX83" s="501"/>
      <c r="BY83" s="501"/>
      <c r="BZ83" s="501"/>
      <c r="CA83" s="501"/>
      <c r="CB83" s="501"/>
      <c r="CC83" s="501"/>
      <c r="CD83" s="501"/>
      <c r="CE83" s="501"/>
      <c r="CF83" s="501"/>
      <c r="CG83" s="501"/>
      <c r="CH83" s="501"/>
      <c r="CI83" s="501"/>
      <c r="CJ83" s="501"/>
      <c r="CK83" s="501"/>
      <c r="CL83" s="501"/>
      <c r="CM83" s="501"/>
      <c r="CN83" s="501"/>
      <c r="CO83" s="501"/>
      <c r="CP83" s="501"/>
      <c r="CQ83" s="501"/>
      <c r="CR83" s="501"/>
      <c r="CS83" s="501"/>
      <c r="CT83" s="501"/>
    </row>
    <row r="84">
      <c r="D84" s="498"/>
      <c r="E84" s="499"/>
      <c r="F84" s="499"/>
      <c r="G84" s="562" t="s">
        <v>1155</v>
      </c>
      <c r="H84" s="11"/>
      <c r="I84" s="11"/>
      <c r="J84" s="11"/>
      <c r="K84" s="557">
        <f t="shared" ref="K84:N84" si="30">SUMIF($F$4:$F$75,"На согласовании СК",K4:K75)</f>
        <v>342000</v>
      </c>
      <c r="L84" s="557">
        <f t="shared" si="30"/>
        <v>342000</v>
      </c>
      <c r="M84" s="557">
        <f t="shared" si="30"/>
        <v>0</v>
      </c>
      <c r="N84" s="557">
        <f t="shared" si="30"/>
        <v>0</v>
      </c>
      <c r="O84" s="558"/>
      <c r="P84" s="557">
        <f t="shared" ref="P84:S84" si="31">SUMIF($F$4:$F$75,"На согласовании СК",P4:P75)</f>
        <v>0</v>
      </c>
      <c r="Q84" s="557">
        <f t="shared" si="31"/>
        <v>0</v>
      </c>
      <c r="R84" s="557">
        <f t="shared" si="31"/>
        <v>0</v>
      </c>
      <c r="S84" s="557">
        <f t="shared" si="31"/>
        <v>0</v>
      </c>
      <c r="T84" s="501"/>
      <c r="U84" s="501"/>
      <c r="V84" s="501"/>
      <c r="W84" s="501"/>
      <c r="X84" s="501"/>
      <c r="Y84" s="501"/>
      <c r="Z84" s="501"/>
      <c r="AA84" s="501"/>
      <c r="AB84" s="501"/>
      <c r="AC84" s="501"/>
      <c r="AD84" s="501"/>
      <c r="AE84" s="501"/>
      <c r="AF84" s="501"/>
      <c r="AG84" s="501"/>
      <c r="AH84" s="501"/>
      <c r="AI84" s="501"/>
      <c r="AJ84" s="501"/>
      <c r="AK84" s="501"/>
      <c r="AL84" s="501"/>
      <c r="AM84" s="501"/>
      <c r="AN84" s="501"/>
      <c r="AO84" s="501"/>
      <c r="AP84" s="501"/>
      <c r="AQ84" s="501"/>
      <c r="AR84" s="501"/>
      <c r="AS84" s="501"/>
      <c r="AT84" s="501"/>
      <c r="AU84" s="501"/>
      <c r="AV84" s="501"/>
      <c r="AW84" s="501"/>
      <c r="AX84" s="501"/>
      <c r="AY84" s="501"/>
      <c r="AZ84" s="501"/>
      <c r="BA84" s="501"/>
      <c r="BB84" s="501"/>
      <c r="BC84" s="501"/>
      <c r="BD84" s="501"/>
      <c r="BE84" s="501"/>
      <c r="BF84" s="501"/>
      <c r="BG84" s="501"/>
      <c r="BH84" s="501"/>
      <c r="BI84" s="501"/>
      <c r="BJ84" s="501"/>
      <c r="BK84" s="501"/>
      <c r="BL84" s="501"/>
      <c r="BM84" s="501"/>
      <c r="BN84" s="501"/>
      <c r="BO84" s="501"/>
      <c r="BP84" s="501"/>
      <c r="BQ84" s="501"/>
      <c r="BR84" s="501"/>
      <c r="BS84" s="501"/>
      <c r="BT84" s="501"/>
      <c r="BU84" s="501"/>
      <c r="BV84" s="501"/>
      <c r="BW84" s="501"/>
      <c r="BX84" s="501"/>
      <c r="BY84" s="501"/>
      <c r="BZ84" s="501"/>
      <c r="CA84" s="501"/>
      <c r="CB84" s="501"/>
      <c r="CC84" s="501"/>
      <c r="CD84" s="501"/>
      <c r="CE84" s="501"/>
      <c r="CF84" s="501"/>
      <c r="CG84" s="501"/>
      <c r="CH84" s="501"/>
      <c r="CI84" s="501"/>
      <c r="CJ84" s="501"/>
      <c r="CK84" s="501"/>
      <c r="CL84" s="501"/>
      <c r="CM84" s="501"/>
      <c r="CN84" s="501"/>
      <c r="CO84" s="501"/>
      <c r="CP84" s="501"/>
      <c r="CQ84" s="501"/>
      <c r="CR84" s="501"/>
      <c r="CS84" s="501"/>
      <c r="CT84" s="501"/>
    </row>
    <row r="85">
      <c r="D85" s="498"/>
      <c r="E85" s="499"/>
      <c r="F85" s="499"/>
      <c r="G85" s="562" t="s">
        <v>1158</v>
      </c>
      <c r="H85" s="11"/>
      <c r="I85" s="11"/>
      <c r="J85" s="11"/>
      <c r="K85" s="557">
        <f t="shared" ref="K85:N85" si="32">SUMIF($F$4:$F$75,"На согласовании ДС",K4:K75)</f>
        <v>6207522.73</v>
      </c>
      <c r="L85" s="557">
        <f t="shared" si="32"/>
        <v>989332.7</v>
      </c>
      <c r="M85" s="557">
        <f t="shared" si="32"/>
        <v>5218190.03</v>
      </c>
      <c r="N85" s="557">
        <f t="shared" si="32"/>
        <v>0</v>
      </c>
      <c r="O85" s="558"/>
      <c r="P85" s="557">
        <f t="shared" ref="P85:S85" si="33">SUMIF($F$4:$F$75,"На согласовании ДС",P4:P75)</f>
        <v>0</v>
      </c>
      <c r="Q85" s="557">
        <f t="shared" si="33"/>
        <v>5218190.03</v>
      </c>
      <c r="R85" s="557">
        <f t="shared" si="33"/>
        <v>0</v>
      </c>
      <c r="S85" s="557">
        <f t="shared" si="33"/>
        <v>5218190.03</v>
      </c>
      <c r="T85" s="501"/>
      <c r="U85" s="501"/>
      <c r="V85" s="501"/>
      <c r="W85" s="501"/>
      <c r="X85" s="501"/>
      <c r="Y85" s="501"/>
      <c r="Z85" s="501"/>
      <c r="AA85" s="501"/>
      <c r="AB85" s="501"/>
      <c r="AC85" s="501"/>
      <c r="AD85" s="501"/>
      <c r="AE85" s="501"/>
      <c r="AF85" s="501"/>
      <c r="AG85" s="501"/>
      <c r="AH85" s="501"/>
      <c r="AI85" s="501"/>
      <c r="AJ85" s="501"/>
      <c r="AK85" s="501"/>
      <c r="AL85" s="501"/>
      <c r="AM85" s="501"/>
      <c r="AN85" s="501"/>
      <c r="AO85" s="501"/>
      <c r="AP85" s="501"/>
      <c r="AQ85" s="501"/>
      <c r="AR85" s="501"/>
      <c r="AS85" s="501"/>
      <c r="AT85" s="501"/>
      <c r="AU85" s="501"/>
      <c r="AV85" s="501"/>
      <c r="AW85" s="501"/>
      <c r="AX85" s="501"/>
      <c r="AY85" s="501"/>
      <c r="AZ85" s="501"/>
      <c r="BA85" s="501"/>
      <c r="BB85" s="501"/>
      <c r="BC85" s="501"/>
      <c r="BD85" s="501"/>
      <c r="BE85" s="501"/>
      <c r="BF85" s="501"/>
      <c r="BG85" s="501"/>
      <c r="BH85" s="501"/>
      <c r="BI85" s="501"/>
      <c r="BJ85" s="501"/>
      <c r="BK85" s="501"/>
      <c r="BL85" s="501"/>
      <c r="BM85" s="501"/>
      <c r="BN85" s="501"/>
      <c r="BO85" s="501"/>
      <c r="BP85" s="501"/>
      <c r="BQ85" s="501"/>
      <c r="BR85" s="501"/>
      <c r="BS85" s="501"/>
      <c r="BT85" s="501"/>
      <c r="BU85" s="501"/>
      <c r="BV85" s="501"/>
      <c r="BW85" s="501"/>
      <c r="BX85" s="501"/>
      <c r="BY85" s="501"/>
      <c r="BZ85" s="501"/>
      <c r="CA85" s="501"/>
      <c r="CB85" s="501"/>
      <c r="CC85" s="501"/>
      <c r="CD85" s="501"/>
      <c r="CE85" s="501"/>
      <c r="CF85" s="501"/>
      <c r="CG85" s="501"/>
      <c r="CH85" s="501"/>
      <c r="CI85" s="501"/>
      <c r="CJ85" s="501"/>
      <c r="CK85" s="501"/>
      <c r="CL85" s="501"/>
      <c r="CM85" s="501"/>
      <c r="CN85" s="501"/>
      <c r="CO85" s="501"/>
      <c r="CP85" s="501"/>
      <c r="CQ85" s="501"/>
      <c r="CR85" s="501"/>
      <c r="CS85" s="501"/>
      <c r="CT85" s="501"/>
    </row>
    <row r="86">
      <c r="D86" s="498"/>
      <c r="E86" s="499"/>
      <c r="F86" s="499"/>
      <c r="G86" s="562" t="s">
        <v>1159</v>
      </c>
      <c r="H86" s="11"/>
      <c r="I86" s="11"/>
      <c r="J86" s="11"/>
      <c r="K86" s="557">
        <f t="shared" ref="K86:N86" si="34">SUMIF($F$4:$F$75,"ожидается подпись контрагента",K4:K75)</f>
        <v>0</v>
      </c>
      <c r="L86" s="557">
        <f t="shared" si="34"/>
        <v>0</v>
      </c>
      <c r="M86" s="557">
        <f t="shared" si="34"/>
        <v>0</v>
      </c>
      <c r="N86" s="557">
        <f t="shared" si="34"/>
        <v>0</v>
      </c>
      <c r="O86" s="558"/>
      <c r="P86" s="557">
        <f t="shared" ref="P86:S86" si="35">SUMIF($F$4:$F$75,"ожидается подпись контрагента",P4:P75)</f>
        <v>0</v>
      </c>
      <c r="Q86" s="557">
        <f t="shared" si="35"/>
        <v>0</v>
      </c>
      <c r="R86" s="557">
        <f t="shared" si="35"/>
        <v>0</v>
      </c>
      <c r="S86" s="557">
        <f t="shared" si="35"/>
        <v>0</v>
      </c>
      <c r="T86" s="501"/>
      <c r="U86" s="501"/>
      <c r="V86" s="501"/>
      <c r="W86" s="501"/>
      <c r="X86" s="501"/>
      <c r="Y86" s="501"/>
      <c r="Z86" s="501"/>
      <c r="AA86" s="501"/>
      <c r="AB86" s="501"/>
      <c r="AC86" s="501"/>
      <c r="AD86" s="501"/>
      <c r="AE86" s="501"/>
      <c r="AF86" s="501"/>
      <c r="AG86" s="501"/>
      <c r="AH86" s="501"/>
      <c r="AI86" s="501"/>
      <c r="AJ86" s="501"/>
      <c r="AK86" s="501"/>
      <c r="AL86" s="501"/>
      <c r="AM86" s="501"/>
      <c r="AN86" s="501"/>
      <c r="AO86" s="501"/>
      <c r="AP86" s="501"/>
      <c r="AQ86" s="501"/>
      <c r="AR86" s="501"/>
      <c r="AS86" s="501"/>
      <c r="AT86" s="501"/>
      <c r="AU86" s="501"/>
      <c r="AV86" s="501"/>
      <c r="AW86" s="501"/>
      <c r="AX86" s="501"/>
      <c r="AY86" s="501"/>
      <c r="AZ86" s="501"/>
      <c r="BA86" s="501"/>
      <c r="BB86" s="501"/>
      <c r="BC86" s="501"/>
      <c r="BD86" s="501"/>
      <c r="BE86" s="501"/>
      <c r="BF86" s="501"/>
      <c r="BG86" s="501"/>
      <c r="BH86" s="501"/>
      <c r="BI86" s="501"/>
      <c r="BJ86" s="501"/>
      <c r="BK86" s="501"/>
      <c r="BL86" s="501"/>
      <c r="BM86" s="501"/>
      <c r="BN86" s="501"/>
      <c r="BO86" s="501"/>
      <c r="BP86" s="501"/>
      <c r="BQ86" s="501"/>
      <c r="BR86" s="501"/>
      <c r="BS86" s="501"/>
      <c r="BT86" s="501"/>
      <c r="BU86" s="501"/>
      <c r="BV86" s="501"/>
      <c r="BW86" s="501"/>
      <c r="BX86" s="501"/>
      <c r="BY86" s="501"/>
      <c r="BZ86" s="501"/>
      <c r="CA86" s="501"/>
      <c r="CB86" s="501"/>
      <c r="CC86" s="501"/>
      <c r="CD86" s="501"/>
      <c r="CE86" s="501"/>
      <c r="CF86" s="501"/>
      <c r="CG86" s="501"/>
      <c r="CH86" s="501"/>
      <c r="CI86" s="501"/>
      <c r="CJ86" s="501"/>
      <c r="CK86" s="501"/>
      <c r="CL86" s="501"/>
      <c r="CM86" s="501"/>
      <c r="CN86" s="501"/>
      <c r="CO86" s="501"/>
      <c r="CP86" s="501"/>
      <c r="CQ86" s="501"/>
      <c r="CR86" s="501"/>
      <c r="CS86" s="501"/>
      <c r="CT86" s="501"/>
    </row>
    <row r="87">
      <c r="D87" s="498"/>
      <c r="E87" s="499"/>
      <c r="F87" s="499"/>
      <c r="G87" s="566" t="s">
        <v>1160</v>
      </c>
      <c r="H87" s="11"/>
      <c r="I87" s="11"/>
      <c r="J87" s="11"/>
      <c r="K87" s="567">
        <f t="shared" ref="K87:N87" si="36">SUMIF($F$4:$F$75,"На согласовании подрядчика",K4:K75)</f>
        <v>943720.46</v>
      </c>
      <c r="L87" s="567">
        <f t="shared" si="36"/>
        <v>0</v>
      </c>
      <c r="M87" s="567">
        <f t="shared" si="36"/>
        <v>943720.46</v>
      </c>
      <c r="N87" s="567">
        <f t="shared" si="36"/>
        <v>0</v>
      </c>
      <c r="O87" s="568"/>
      <c r="P87" s="567">
        <f t="shared" ref="P87:S87" si="37">SUMIF($F$4:$F$75,"На согласовании подрядчика",P4:P75)</f>
        <v>0</v>
      </c>
      <c r="Q87" s="567">
        <f t="shared" si="37"/>
        <v>943720.46</v>
      </c>
      <c r="R87" s="567">
        <f t="shared" si="37"/>
        <v>0</v>
      </c>
      <c r="S87" s="567">
        <f t="shared" si="37"/>
        <v>943720.46</v>
      </c>
      <c r="T87" s="501"/>
      <c r="U87" s="501"/>
      <c r="V87" s="501"/>
      <c r="W87" s="501"/>
      <c r="X87" s="501"/>
      <c r="Y87" s="501"/>
      <c r="Z87" s="501"/>
      <c r="AA87" s="501"/>
      <c r="AB87" s="501"/>
      <c r="AC87" s="501"/>
      <c r="AD87" s="501"/>
      <c r="AE87" s="501"/>
      <c r="AF87" s="501"/>
      <c r="AG87" s="501"/>
      <c r="AH87" s="501"/>
      <c r="AI87" s="501"/>
      <c r="AJ87" s="501"/>
      <c r="AK87" s="501"/>
      <c r="AL87" s="501"/>
      <c r="AM87" s="501"/>
      <c r="AN87" s="501"/>
      <c r="AO87" s="501"/>
      <c r="AP87" s="501"/>
      <c r="AQ87" s="501"/>
      <c r="AR87" s="501"/>
      <c r="AS87" s="501"/>
      <c r="AT87" s="501"/>
      <c r="AU87" s="501"/>
      <c r="AV87" s="501"/>
      <c r="AW87" s="501"/>
      <c r="AX87" s="501"/>
      <c r="AY87" s="501"/>
      <c r="AZ87" s="501"/>
      <c r="BA87" s="501"/>
      <c r="BB87" s="501"/>
      <c r="BC87" s="501"/>
      <c r="BD87" s="501"/>
      <c r="BE87" s="501"/>
      <c r="BF87" s="501"/>
      <c r="BG87" s="501"/>
      <c r="BH87" s="501"/>
      <c r="BI87" s="501"/>
      <c r="BJ87" s="501"/>
      <c r="BK87" s="501"/>
      <c r="BL87" s="501"/>
      <c r="BM87" s="501"/>
      <c r="BN87" s="501"/>
      <c r="BO87" s="501"/>
      <c r="BP87" s="501"/>
      <c r="BQ87" s="501"/>
      <c r="BR87" s="501"/>
      <c r="BS87" s="501"/>
      <c r="BT87" s="501"/>
      <c r="BU87" s="501"/>
      <c r="BV87" s="501"/>
      <c r="BW87" s="501"/>
      <c r="BX87" s="501"/>
      <c r="BY87" s="501"/>
      <c r="BZ87" s="501"/>
      <c r="CA87" s="501"/>
      <c r="CB87" s="501"/>
      <c r="CC87" s="501"/>
      <c r="CD87" s="501"/>
      <c r="CE87" s="501"/>
      <c r="CF87" s="501"/>
      <c r="CG87" s="501"/>
      <c r="CH87" s="501"/>
      <c r="CI87" s="501"/>
      <c r="CJ87" s="501"/>
      <c r="CK87" s="501"/>
      <c r="CL87" s="501"/>
      <c r="CM87" s="501"/>
      <c r="CN87" s="501"/>
      <c r="CO87" s="501"/>
      <c r="CP87" s="501"/>
      <c r="CQ87" s="501"/>
      <c r="CR87" s="501"/>
      <c r="CS87" s="501"/>
      <c r="CT87" s="501"/>
    </row>
    <row r="88">
      <c r="A88" s="569"/>
      <c r="B88" s="569"/>
      <c r="C88" s="569"/>
      <c r="D88" s="498"/>
      <c r="E88" s="499"/>
      <c r="F88" s="499"/>
      <c r="G88" s="570" t="s">
        <v>1162</v>
      </c>
      <c r="H88" s="11"/>
      <c r="I88" s="11"/>
      <c r="J88" s="11"/>
      <c r="K88" s="571">
        <f t="shared" ref="K88:N88" si="38">SUMIF($F$4:$F$75,"согласован",K4:K75)</f>
        <v>191834.42</v>
      </c>
      <c r="L88" s="571">
        <f t="shared" si="38"/>
        <v>191834.42</v>
      </c>
      <c r="M88" s="571">
        <f t="shared" si="38"/>
        <v>0</v>
      </c>
      <c r="N88" s="571">
        <f t="shared" si="38"/>
        <v>0</v>
      </c>
      <c r="O88" s="572"/>
      <c r="P88" s="571">
        <f t="shared" ref="P88:S88" si="39">SUMIF($F$4:$F$75,"согласован",P4:P75)</f>
        <v>0</v>
      </c>
      <c r="Q88" s="571">
        <f t="shared" si="39"/>
        <v>0</v>
      </c>
      <c r="R88" s="571">
        <f t="shared" si="39"/>
        <v>0</v>
      </c>
      <c r="S88" s="571">
        <f t="shared" si="39"/>
        <v>0</v>
      </c>
      <c r="T88" s="501"/>
      <c r="U88" s="501"/>
      <c r="V88" s="501"/>
      <c r="W88" s="501"/>
      <c r="X88" s="501"/>
      <c r="Y88" s="501"/>
      <c r="Z88" s="501"/>
      <c r="AA88" s="501"/>
      <c r="AB88" s="501"/>
      <c r="AC88" s="501"/>
      <c r="AD88" s="501"/>
      <c r="AE88" s="501"/>
      <c r="AF88" s="501"/>
      <c r="AG88" s="501"/>
      <c r="AH88" s="501"/>
      <c r="AI88" s="501"/>
      <c r="AJ88" s="501"/>
      <c r="AK88" s="501"/>
      <c r="AL88" s="501"/>
      <c r="AM88" s="501"/>
      <c r="AN88" s="501"/>
      <c r="AO88" s="501"/>
      <c r="AP88" s="501"/>
      <c r="AQ88" s="501"/>
      <c r="AR88" s="501"/>
      <c r="AS88" s="501"/>
      <c r="AT88" s="501"/>
      <c r="AU88" s="501"/>
      <c r="AV88" s="501"/>
      <c r="AW88" s="501"/>
      <c r="AX88" s="501"/>
      <c r="AY88" s="501"/>
      <c r="AZ88" s="501"/>
      <c r="BA88" s="501"/>
      <c r="BB88" s="501"/>
      <c r="BC88" s="501"/>
      <c r="BD88" s="501"/>
      <c r="BE88" s="501"/>
      <c r="BF88" s="501"/>
      <c r="BG88" s="501"/>
      <c r="BH88" s="501"/>
      <c r="BI88" s="501"/>
      <c r="BJ88" s="501"/>
      <c r="BK88" s="501"/>
      <c r="BL88" s="501"/>
      <c r="BM88" s="501"/>
      <c r="BN88" s="501"/>
      <c r="BO88" s="501"/>
      <c r="BP88" s="501"/>
      <c r="BQ88" s="501"/>
      <c r="BR88" s="501"/>
      <c r="BS88" s="501"/>
      <c r="BT88" s="501"/>
      <c r="BU88" s="501"/>
      <c r="BV88" s="501"/>
      <c r="BW88" s="501"/>
      <c r="BX88" s="501"/>
      <c r="BY88" s="501"/>
      <c r="BZ88" s="501"/>
      <c r="CA88" s="501"/>
      <c r="CB88" s="501"/>
      <c r="CC88" s="501"/>
      <c r="CD88" s="501"/>
      <c r="CE88" s="501"/>
      <c r="CF88" s="501"/>
      <c r="CG88" s="501"/>
      <c r="CH88" s="501"/>
      <c r="CI88" s="501"/>
      <c r="CJ88" s="501"/>
      <c r="CK88" s="501"/>
      <c r="CL88" s="501"/>
      <c r="CM88" s="501"/>
      <c r="CN88" s="501"/>
      <c r="CO88" s="501"/>
      <c r="CP88" s="501"/>
      <c r="CQ88" s="501"/>
      <c r="CR88" s="501"/>
      <c r="CS88" s="501"/>
      <c r="CT88" s="501"/>
    </row>
    <row r="89">
      <c r="A89" s="569"/>
      <c r="B89" s="569"/>
      <c r="C89" s="569"/>
      <c r="D89" s="498"/>
      <c r="E89" s="499"/>
      <c r="F89" s="499"/>
      <c r="G89" s="573" t="s">
        <v>1164</v>
      </c>
      <c r="H89" s="11"/>
      <c r="I89" s="11"/>
      <c r="J89" s="11"/>
      <c r="K89" s="521">
        <f t="shared" ref="K89:N89" si="40">SUMIF($F$4:$F$75,"На подписании подрядчика",K4:K75)</f>
        <v>0</v>
      </c>
      <c r="L89" s="521">
        <f t="shared" si="40"/>
        <v>0</v>
      </c>
      <c r="M89" s="521">
        <f t="shared" si="40"/>
        <v>0</v>
      </c>
      <c r="N89" s="521">
        <f t="shared" si="40"/>
        <v>0</v>
      </c>
      <c r="O89" s="523"/>
      <c r="P89" s="521">
        <f t="shared" ref="P89:S89" si="41">SUMIF($F$4:$F$75,"На подписании подрядчика",P4:P75)</f>
        <v>0</v>
      </c>
      <c r="Q89" s="521">
        <f t="shared" si="41"/>
        <v>0</v>
      </c>
      <c r="R89" s="521">
        <f t="shared" si="41"/>
        <v>0</v>
      </c>
      <c r="S89" s="521">
        <f t="shared" si="41"/>
        <v>0</v>
      </c>
      <c r="T89" s="501"/>
      <c r="U89" s="501"/>
      <c r="V89" s="501"/>
      <c r="W89" s="501"/>
      <c r="X89" s="501"/>
      <c r="Y89" s="501"/>
      <c r="Z89" s="501"/>
      <c r="AA89" s="501"/>
      <c r="AB89" s="501"/>
      <c r="AC89" s="501"/>
      <c r="AD89" s="501"/>
      <c r="AE89" s="501"/>
      <c r="AF89" s="501"/>
      <c r="AG89" s="501"/>
      <c r="AH89" s="501"/>
      <c r="AI89" s="501"/>
      <c r="AJ89" s="501"/>
      <c r="AK89" s="501"/>
      <c r="AL89" s="501"/>
      <c r="AM89" s="501"/>
      <c r="AN89" s="501"/>
      <c r="AO89" s="501"/>
      <c r="AP89" s="501"/>
      <c r="AQ89" s="501"/>
      <c r="AR89" s="501"/>
      <c r="AS89" s="501"/>
      <c r="AT89" s="501"/>
      <c r="AU89" s="501"/>
      <c r="AV89" s="501"/>
      <c r="AW89" s="501"/>
      <c r="AX89" s="501"/>
      <c r="AY89" s="501"/>
      <c r="AZ89" s="501"/>
      <c r="BA89" s="501"/>
      <c r="BB89" s="501"/>
      <c r="BC89" s="501"/>
      <c r="BD89" s="501"/>
      <c r="BE89" s="501"/>
      <c r="BF89" s="501"/>
      <c r="BG89" s="501"/>
      <c r="BH89" s="501"/>
      <c r="BI89" s="501"/>
      <c r="BJ89" s="501"/>
      <c r="BK89" s="501"/>
      <c r="BL89" s="501"/>
      <c r="BM89" s="501"/>
      <c r="BN89" s="501"/>
      <c r="BO89" s="501"/>
      <c r="BP89" s="501"/>
      <c r="BQ89" s="501"/>
      <c r="BR89" s="501"/>
      <c r="BS89" s="501"/>
      <c r="BT89" s="501"/>
      <c r="BU89" s="501"/>
      <c r="BV89" s="501"/>
      <c r="BW89" s="501"/>
      <c r="BX89" s="501"/>
      <c r="BY89" s="501"/>
      <c r="BZ89" s="501"/>
      <c r="CA89" s="501"/>
      <c r="CB89" s="501"/>
      <c r="CC89" s="501"/>
      <c r="CD89" s="501"/>
      <c r="CE89" s="501"/>
      <c r="CF89" s="501"/>
      <c r="CG89" s="501"/>
      <c r="CH89" s="501"/>
      <c r="CI89" s="501"/>
      <c r="CJ89" s="501"/>
      <c r="CK89" s="501"/>
      <c r="CL89" s="501"/>
      <c r="CM89" s="501"/>
      <c r="CN89" s="501"/>
      <c r="CO89" s="501"/>
      <c r="CP89" s="501"/>
      <c r="CQ89" s="501"/>
      <c r="CR89" s="501"/>
      <c r="CS89" s="501"/>
      <c r="CT89" s="501"/>
    </row>
    <row r="90">
      <c r="A90" s="569"/>
      <c r="B90" s="569"/>
      <c r="C90" s="569"/>
      <c r="D90" s="498"/>
      <c r="E90" s="499"/>
      <c r="F90" s="499"/>
      <c r="G90" s="573" t="s">
        <v>1166</v>
      </c>
      <c r="H90" s="11"/>
      <c r="I90" s="11"/>
      <c r="J90" s="11"/>
      <c r="K90" s="521">
        <f t="shared" ref="K90:N90" si="42">SUMIF($F$4:$F$75,"Подписан подрядчиком",K4:K75)</f>
        <v>27974195.53</v>
      </c>
      <c r="L90" s="521">
        <f t="shared" si="42"/>
        <v>0</v>
      </c>
      <c r="M90" s="521">
        <f t="shared" si="42"/>
        <v>27974195.53</v>
      </c>
      <c r="N90" s="521">
        <f t="shared" si="42"/>
        <v>7374468.01</v>
      </c>
      <c r="O90" s="523"/>
      <c r="P90" s="521">
        <f t="shared" ref="P90:S90" si="43">SUMIF($F$4:$F$75,"Подписан подрядчиком",P4:P75)</f>
        <v>477908.79</v>
      </c>
      <c r="Q90" s="521">
        <f t="shared" si="43"/>
        <v>20121818.73</v>
      </c>
      <c r="R90" s="521">
        <f t="shared" si="43"/>
        <v>0</v>
      </c>
      <c r="S90" s="521">
        <f t="shared" si="43"/>
        <v>20121818.73</v>
      </c>
      <c r="T90" s="501"/>
      <c r="U90" s="501"/>
      <c r="V90" s="501"/>
      <c r="W90" s="501"/>
      <c r="X90" s="501"/>
      <c r="Y90" s="501"/>
      <c r="Z90" s="501"/>
      <c r="AA90" s="501"/>
      <c r="AB90" s="501"/>
      <c r="AC90" s="501"/>
      <c r="AD90" s="501"/>
      <c r="AE90" s="501"/>
      <c r="AF90" s="501"/>
      <c r="AG90" s="501"/>
      <c r="AH90" s="501"/>
      <c r="AI90" s="501"/>
      <c r="AJ90" s="501"/>
      <c r="AK90" s="501"/>
      <c r="AL90" s="501"/>
      <c r="AM90" s="501"/>
      <c r="AN90" s="501"/>
      <c r="AO90" s="501"/>
      <c r="AP90" s="501"/>
      <c r="AQ90" s="501"/>
      <c r="AR90" s="501"/>
      <c r="AS90" s="501"/>
      <c r="AT90" s="501"/>
      <c r="AU90" s="501"/>
      <c r="AV90" s="501"/>
      <c r="AW90" s="501"/>
      <c r="AX90" s="501"/>
      <c r="AY90" s="501"/>
      <c r="AZ90" s="501"/>
      <c r="BA90" s="501"/>
      <c r="BB90" s="501"/>
      <c r="BC90" s="501"/>
      <c r="BD90" s="501"/>
      <c r="BE90" s="501"/>
      <c r="BF90" s="501"/>
      <c r="BG90" s="501"/>
      <c r="BH90" s="501"/>
      <c r="BI90" s="501"/>
      <c r="BJ90" s="501"/>
      <c r="BK90" s="501"/>
      <c r="BL90" s="501"/>
      <c r="BM90" s="501"/>
      <c r="BN90" s="501"/>
      <c r="BO90" s="501"/>
      <c r="BP90" s="501"/>
      <c r="BQ90" s="501"/>
      <c r="BR90" s="501"/>
      <c r="BS90" s="501"/>
      <c r="BT90" s="501"/>
      <c r="BU90" s="501"/>
      <c r="BV90" s="501"/>
      <c r="BW90" s="501"/>
      <c r="BX90" s="501"/>
      <c r="BY90" s="501"/>
      <c r="BZ90" s="501"/>
      <c r="CA90" s="501"/>
      <c r="CB90" s="501"/>
      <c r="CC90" s="501"/>
      <c r="CD90" s="501"/>
      <c r="CE90" s="501"/>
      <c r="CF90" s="501"/>
      <c r="CG90" s="501"/>
      <c r="CH90" s="501"/>
      <c r="CI90" s="501"/>
      <c r="CJ90" s="501"/>
      <c r="CK90" s="501"/>
      <c r="CL90" s="501"/>
      <c r="CM90" s="501"/>
      <c r="CN90" s="501"/>
      <c r="CO90" s="501"/>
      <c r="CP90" s="501"/>
      <c r="CQ90" s="501"/>
      <c r="CR90" s="501"/>
      <c r="CS90" s="501"/>
      <c r="CT90" s="501"/>
    </row>
    <row r="91">
      <c r="A91" s="569"/>
      <c r="B91" s="569"/>
      <c r="C91" s="569"/>
      <c r="D91" s="498"/>
      <c r="E91" s="499"/>
      <c r="F91" s="499"/>
      <c r="G91" s="574" t="s">
        <v>695</v>
      </c>
      <c r="H91" s="11"/>
      <c r="I91" s="11"/>
      <c r="J91" s="11"/>
      <c r="K91" s="575">
        <f t="shared" ref="K91:N91" si="44">SUMIF($F$4:$F$75,"Подписан обеими сторонами",K4:K75)</f>
        <v>93791970.39</v>
      </c>
      <c r="L91" s="575">
        <f t="shared" si="44"/>
        <v>1275861.24</v>
      </c>
      <c r="M91" s="575">
        <f t="shared" si="44"/>
        <v>92516109.15</v>
      </c>
      <c r="N91" s="575">
        <f t="shared" si="44"/>
        <v>7218541.65</v>
      </c>
      <c r="O91" s="576"/>
      <c r="P91" s="575">
        <f t="shared" ref="P91:S91" si="45">SUMIF($F$4:$F$75,"Подписан обеими сторонами",P4:P75)</f>
        <v>487349.98</v>
      </c>
      <c r="Q91" s="575">
        <f t="shared" si="45"/>
        <v>82313722.52</v>
      </c>
      <c r="R91" s="575">
        <f t="shared" si="45"/>
        <v>16105397.39</v>
      </c>
      <c r="S91" s="575">
        <f t="shared" si="45"/>
        <v>66208325.13</v>
      </c>
      <c r="T91" s="501"/>
      <c r="U91" s="501"/>
      <c r="V91" s="501"/>
      <c r="W91" s="501"/>
      <c r="X91" s="501"/>
      <c r="Y91" s="501"/>
      <c r="Z91" s="501"/>
      <c r="AA91" s="501"/>
      <c r="AB91" s="501"/>
      <c r="AC91" s="501"/>
      <c r="AD91" s="501"/>
      <c r="AE91" s="501"/>
      <c r="AF91" s="501"/>
      <c r="AG91" s="501"/>
      <c r="AH91" s="501"/>
      <c r="AI91" s="501"/>
      <c r="AJ91" s="501"/>
      <c r="AK91" s="501"/>
      <c r="AL91" s="501"/>
      <c r="AM91" s="501"/>
      <c r="AN91" s="501"/>
      <c r="AO91" s="501"/>
      <c r="AP91" s="501"/>
      <c r="AQ91" s="501"/>
      <c r="AR91" s="501"/>
      <c r="AS91" s="501"/>
      <c r="AT91" s="501"/>
      <c r="AU91" s="501"/>
      <c r="AV91" s="501"/>
      <c r="AW91" s="501"/>
      <c r="AX91" s="501"/>
      <c r="AY91" s="501"/>
      <c r="AZ91" s="501"/>
      <c r="BA91" s="501"/>
      <c r="BB91" s="501"/>
      <c r="BC91" s="501"/>
      <c r="BD91" s="501"/>
      <c r="BE91" s="501"/>
      <c r="BF91" s="501"/>
      <c r="BG91" s="501"/>
      <c r="BH91" s="501"/>
      <c r="BI91" s="501"/>
      <c r="BJ91" s="501"/>
      <c r="BK91" s="501"/>
      <c r="BL91" s="501"/>
      <c r="BM91" s="501"/>
      <c r="BN91" s="501"/>
      <c r="BO91" s="501"/>
      <c r="BP91" s="501"/>
      <c r="BQ91" s="501"/>
      <c r="BR91" s="501"/>
      <c r="BS91" s="501"/>
      <c r="BT91" s="501"/>
      <c r="BU91" s="501"/>
      <c r="BV91" s="501"/>
      <c r="BW91" s="501"/>
      <c r="BX91" s="501"/>
      <c r="BY91" s="501"/>
      <c r="BZ91" s="501"/>
      <c r="CA91" s="501"/>
      <c r="CB91" s="501"/>
      <c r="CC91" s="501"/>
      <c r="CD91" s="501"/>
      <c r="CE91" s="501"/>
      <c r="CF91" s="501"/>
      <c r="CG91" s="501"/>
      <c r="CH91" s="501"/>
      <c r="CI91" s="501"/>
      <c r="CJ91" s="501"/>
      <c r="CK91" s="501"/>
      <c r="CL91" s="501"/>
      <c r="CM91" s="501"/>
      <c r="CN91" s="501"/>
      <c r="CO91" s="501"/>
      <c r="CP91" s="501"/>
      <c r="CQ91" s="501"/>
      <c r="CR91" s="501"/>
      <c r="CS91" s="501"/>
      <c r="CT91" s="501"/>
    </row>
    <row r="92">
      <c r="A92" s="569"/>
      <c r="B92" s="569"/>
      <c r="C92" s="569"/>
      <c r="D92" s="498"/>
      <c r="E92" s="499"/>
      <c r="F92" s="499"/>
      <c r="G92" s="577" t="s">
        <v>1169</v>
      </c>
      <c r="H92" s="524"/>
      <c r="I92" s="524"/>
      <c r="J92" s="524"/>
      <c r="K92" s="578">
        <f t="shared" ref="K92:N92" si="46">SUMIF($F$4:$F$75,"ведутся работы",K4:K75)</f>
        <v>0</v>
      </c>
      <c r="L92" s="578">
        <f t="shared" si="46"/>
        <v>0</v>
      </c>
      <c r="M92" s="578">
        <f t="shared" si="46"/>
        <v>0</v>
      </c>
      <c r="N92" s="578">
        <f t="shared" si="46"/>
        <v>0</v>
      </c>
      <c r="O92" s="579"/>
      <c r="P92" s="578">
        <f t="shared" ref="P92:S92" si="47">SUMIF($F$4:$F$75,"ведутся работы",P4:P75)</f>
        <v>0</v>
      </c>
      <c r="Q92" s="578">
        <f t="shared" si="47"/>
        <v>0</v>
      </c>
      <c r="R92" s="578">
        <f t="shared" si="47"/>
        <v>0</v>
      </c>
      <c r="S92" s="578">
        <f t="shared" si="47"/>
        <v>0</v>
      </c>
      <c r="T92" s="501"/>
      <c r="U92" s="501"/>
      <c r="V92" s="501"/>
      <c r="W92" s="501"/>
      <c r="X92" s="501"/>
      <c r="Y92" s="501"/>
      <c r="Z92" s="501"/>
      <c r="AA92" s="501"/>
      <c r="AB92" s="501"/>
      <c r="AC92" s="501"/>
      <c r="AD92" s="501"/>
      <c r="AE92" s="501"/>
      <c r="AF92" s="501"/>
      <c r="AG92" s="501"/>
      <c r="AH92" s="501"/>
      <c r="AI92" s="501"/>
      <c r="AJ92" s="501"/>
      <c r="AK92" s="501"/>
      <c r="AL92" s="501"/>
      <c r="AM92" s="501"/>
      <c r="AN92" s="501"/>
      <c r="AO92" s="501"/>
      <c r="AP92" s="501"/>
      <c r="AQ92" s="501"/>
      <c r="AR92" s="501"/>
      <c r="AS92" s="501"/>
      <c r="AT92" s="501"/>
      <c r="AU92" s="501"/>
      <c r="AV92" s="501"/>
      <c r="AW92" s="501"/>
      <c r="AX92" s="501"/>
      <c r="AY92" s="501"/>
      <c r="AZ92" s="501"/>
      <c r="BA92" s="501"/>
      <c r="BB92" s="501"/>
      <c r="BC92" s="501"/>
      <c r="BD92" s="501"/>
      <c r="BE92" s="501"/>
      <c r="BF92" s="501"/>
      <c r="BG92" s="501"/>
      <c r="BH92" s="501"/>
      <c r="BI92" s="501"/>
      <c r="BJ92" s="501"/>
      <c r="BK92" s="501"/>
      <c r="BL92" s="501"/>
      <c r="BM92" s="501"/>
      <c r="BN92" s="501"/>
      <c r="BO92" s="501"/>
      <c r="BP92" s="501"/>
      <c r="BQ92" s="501"/>
      <c r="BR92" s="501"/>
      <c r="BS92" s="501"/>
      <c r="BT92" s="501"/>
      <c r="BU92" s="501"/>
      <c r="BV92" s="501"/>
      <c r="BW92" s="501"/>
      <c r="BX92" s="501"/>
      <c r="BY92" s="501"/>
      <c r="BZ92" s="501"/>
      <c r="CA92" s="501"/>
      <c r="CB92" s="501"/>
      <c r="CC92" s="501"/>
      <c r="CD92" s="501"/>
      <c r="CE92" s="501"/>
      <c r="CF92" s="501"/>
      <c r="CG92" s="501"/>
      <c r="CH92" s="501"/>
      <c r="CI92" s="501"/>
      <c r="CJ92" s="501"/>
      <c r="CK92" s="501"/>
      <c r="CL92" s="501"/>
      <c r="CM92" s="501"/>
      <c r="CN92" s="501"/>
      <c r="CO92" s="501"/>
      <c r="CP92" s="501"/>
      <c r="CQ92" s="501"/>
      <c r="CR92" s="501"/>
      <c r="CS92" s="501"/>
      <c r="CT92" s="501"/>
    </row>
    <row r="93">
      <c r="A93" s="569"/>
      <c r="B93" s="569"/>
      <c r="C93" s="569"/>
      <c r="D93" s="498"/>
      <c r="E93" s="499"/>
      <c r="F93" s="499"/>
      <c r="G93" s="580" t="s">
        <v>1171</v>
      </c>
      <c r="H93" s="535"/>
      <c r="I93" s="535"/>
      <c r="J93" s="535"/>
      <c r="K93" s="581">
        <f t="shared" ref="K93:N93" si="48">SUMIF($F$4:$F$75,"сформирован",K4:K75)</f>
        <v>0</v>
      </c>
      <c r="L93" s="581">
        <f t="shared" si="48"/>
        <v>0</v>
      </c>
      <c r="M93" s="581">
        <f t="shared" si="48"/>
        <v>0</v>
      </c>
      <c r="N93" s="581">
        <f t="shared" si="48"/>
        <v>0</v>
      </c>
      <c r="O93" s="582"/>
      <c r="P93" s="581">
        <f t="shared" ref="P93:S93" si="49">SUMIF($F$4:$F$75,"сформирован",P4:P75)</f>
        <v>0</v>
      </c>
      <c r="Q93" s="581">
        <f t="shared" si="49"/>
        <v>0</v>
      </c>
      <c r="R93" s="581">
        <f t="shared" si="49"/>
        <v>0</v>
      </c>
      <c r="S93" s="581">
        <f t="shared" si="49"/>
        <v>0</v>
      </c>
      <c r="T93" s="501"/>
      <c r="U93" s="501"/>
      <c r="V93" s="501"/>
      <c r="W93" s="501"/>
      <c r="X93" s="501"/>
      <c r="Y93" s="501"/>
      <c r="Z93" s="501"/>
      <c r="AA93" s="501"/>
      <c r="AB93" s="501"/>
      <c r="AC93" s="501"/>
      <c r="AD93" s="501"/>
      <c r="AE93" s="501"/>
      <c r="AF93" s="501"/>
      <c r="AG93" s="501"/>
      <c r="AH93" s="501"/>
      <c r="AI93" s="501"/>
      <c r="AJ93" s="501"/>
      <c r="AK93" s="501"/>
      <c r="AL93" s="501"/>
      <c r="AM93" s="501"/>
      <c r="AN93" s="501"/>
      <c r="AO93" s="501"/>
      <c r="AP93" s="501"/>
      <c r="AQ93" s="501"/>
      <c r="AR93" s="501"/>
      <c r="AS93" s="501"/>
      <c r="AT93" s="501"/>
      <c r="AU93" s="501"/>
      <c r="AV93" s="501"/>
      <c r="AW93" s="501"/>
      <c r="AX93" s="501"/>
      <c r="AY93" s="501"/>
      <c r="AZ93" s="501"/>
      <c r="BA93" s="501"/>
      <c r="BB93" s="501"/>
      <c r="BC93" s="501"/>
      <c r="BD93" s="501"/>
      <c r="BE93" s="501"/>
      <c r="BF93" s="501"/>
      <c r="BG93" s="501"/>
      <c r="BH93" s="501"/>
      <c r="BI93" s="501"/>
      <c r="BJ93" s="501"/>
      <c r="BK93" s="501"/>
      <c r="BL93" s="501"/>
      <c r="BM93" s="501"/>
      <c r="BN93" s="501"/>
      <c r="BO93" s="501"/>
      <c r="BP93" s="501"/>
      <c r="BQ93" s="501"/>
      <c r="BR93" s="501"/>
      <c r="BS93" s="501"/>
      <c r="BT93" s="501"/>
      <c r="BU93" s="501"/>
      <c r="BV93" s="501"/>
      <c r="BW93" s="501"/>
      <c r="BX93" s="501"/>
      <c r="BY93" s="501"/>
      <c r="BZ93" s="501"/>
      <c r="CA93" s="501"/>
      <c r="CB93" s="501"/>
      <c r="CC93" s="501"/>
      <c r="CD93" s="501"/>
      <c r="CE93" s="501"/>
      <c r="CF93" s="501"/>
      <c r="CG93" s="501"/>
      <c r="CH93" s="501"/>
      <c r="CI93" s="501"/>
      <c r="CJ93" s="501"/>
      <c r="CK93" s="501"/>
      <c r="CL93" s="501"/>
      <c r="CM93" s="501"/>
      <c r="CN93" s="501"/>
      <c r="CO93" s="501"/>
      <c r="CP93" s="501"/>
      <c r="CQ93" s="501"/>
      <c r="CR93" s="501"/>
      <c r="CS93" s="501"/>
      <c r="CT93" s="501"/>
    </row>
    <row r="94">
      <c r="A94" s="569"/>
      <c r="B94" s="569"/>
      <c r="C94" s="569"/>
      <c r="D94" s="498"/>
      <c r="E94" s="499"/>
      <c r="F94" s="499"/>
      <c r="G94" s="583" t="s">
        <v>1177</v>
      </c>
      <c r="H94" s="106"/>
      <c r="I94" s="106"/>
      <c r="J94" s="106"/>
      <c r="K94" s="584">
        <f t="shared" ref="K94:N94" si="50">SUMIF($F$4:$F$75,"Удален",K4:K75)</f>
        <v>0</v>
      </c>
      <c r="L94" s="584">
        <f t="shared" si="50"/>
        <v>0</v>
      </c>
      <c r="M94" s="584">
        <f t="shared" si="50"/>
        <v>0</v>
      </c>
      <c r="N94" s="584">
        <f t="shared" si="50"/>
        <v>0</v>
      </c>
      <c r="O94" s="585"/>
      <c r="P94" s="584">
        <f t="shared" ref="P94:S94" si="51">SUMIF($F$4:$F$75,"Удален",P4:P75)</f>
        <v>0</v>
      </c>
      <c r="Q94" s="584">
        <f t="shared" si="51"/>
        <v>0</v>
      </c>
      <c r="R94" s="584">
        <f t="shared" si="51"/>
        <v>0</v>
      </c>
      <c r="S94" s="584">
        <f t="shared" si="51"/>
        <v>0</v>
      </c>
      <c r="T94" s="501"/>
      <c r="U94" s="501"/>
      <c r="V94" s="501"/>
      <c r="W94" s="501"/>
      <c r="X94" s="501"/>
      <c r="Y94" s="501"/>
      <c r="Z94" s="501"/>
      <c r="AA94" s="501"/>
      <c r="AB94" s="501"/>
      <c r="AC94" s="501"/>
      <c r="AD94" s="501"/>
      <c r="AE94" s="501"/>
      <c r="AF94" s="501"/>
      <c r="AG94" s="501"/>
      <c r="AH94" s="501"/>
      <c r="AI94" s="501"/>
      <c r="AJ94" s="501"/>
      <c r="AK94" s="501"/>
      <c r="AL94" s="501"/>
      <c r="AM94" s="501"/>
      <c r="AN94" s="501"/>
      <c r="AO94" s="501"/>
      <c r="AP94" s="501"/>
      <c r="AQ94" s="501"/>
      <c r="AR94" s="501"/>
      <c r="AS94" s="501"/>
      <c r="AT94" s="501"/>
      <c r="AU94" s="501"/>
      <c r="AV94" s="501"/>
      <c r="AW94" s="501"/>
      <c r="AX94" s="501"/>
      <c r="AY94" s="501"/>
      <c r="AZ94" s="501"/>
      <c r="BA94" s="501"/>
      <c r="BB94" s="501"/>
      <c r="BC94" s="501"/>
      <c r="BD94" s="501"/>
      <c r="BE94" s="501"/>
      <c r="BF94" s="501"/>
      <c r="BG94" s="501"/>
      <c r="BH94" s="501"/>
      <c r="BI94" s="501"/>
      <c r="BJ94" s="501"/>
      <c r="BK94" s="501"/>
      <c r="BL94" s="501"/>
      <c r="BM94" s="501"/>
      <c r="BN94" s="501"/>
      <c r="BO94" s="501"/>
      <c r="BP94" s="501"/>
      <c r="BQ94" s="501"/>
      <c r="BR94" s="501"/>
      <c r="BS94" s="501"/>
      <c r="BT94" s="501"/>
      <c r="BU94" s="501"/>
      <c r="BV94" s="501"/>
      <c r="BW94" s="501"/>
      <c r="BX94" s="501"/>
      <c r="BY94" s="501"/>
      <c r="BZ94" s="501"/>
      <c r="CA94" s="501"/>
      <c r="CB94" s="501"/>
      <c r="CC94" s="501"/>
      <c r="CD94" s="501"/>
      <c r="CE94" s="501"/>
      <c r="CF94" s="501"/>
      <c r="CG94" s="501"/>
      <c r="CH94" s="501"/>
      <c r="CI94" s="501"/>
      <c r="CJ94" s="501"/>
      <c r="CK94" s="501"/>
      <c r="CL94" s="501"/>
      <c r="CM94" s="501"/>
      <c r="CN94" s="501"/>
      <c r="CO94" s="501"/>
      <c r="CP94" s="501"/>
      <c r="CQ94" s="501"/>
      <c r="CR94" s="501"/>
      <c r="CS94" s="501"/>
      <c r="CT94" s="501"/>
    </row>
    <row r="95">
      <c r="A95" s="569"/>
      <c r="B95" s="569"/>
      <c r="C95" s="569"/>
      <c r="D95" s="498"/>
      <c r="E95" s="499"/>
      <c r="F95" s="499"/>
      <c r="G95" s="586" t="s">
        <v>1035</v>
      </c>
      <c r="H95" s="549"/>
      <c r="I95" s="549"/>
      <c r="J95" s="549"/>
      <c r="K95" s="587">
        <f t="shared" ref="K95:N95" si="52">SUMIF($F$4:$F$75,"Отклонен",K4:K75)</f>
        <v>3410186.1</v>
      </c>
      <c r="L95" s="587">
        <f t="shared" si="52"/>
        <v>3410186.1</v>
      </c>
      <c r="M95" s="587">
        <f t="shared" si="52"/>
        <v>0</v>
      </c>
      <c r="N95" s="587">
        <f t="shared" si="52"/>
        <v>0</v>
      </c>
      <c r="O95" s="588"/>
      <c r="P95" s="587">
        <f t="shared" ref="P95:S95" si="53">SUMIF($F$4:$F$75,"Отклонен",P4:P75)</f>
        <v>0</v>
      </c>
      <c r="Q95" s="587">
        <f t="shared" si="53"/>
        <v>0</v>
      </c>
      <c r="R95" s="587">
        <f t="shared" si="53"/>
        <v>0</v>
      </c>
      <c r="S95" s="587">
        <f t="shared" si="53"/>
        <v>0</v>
      </c>
      <c r="T95" s="501"/>
      <c r="U95" s="501"/>
      <c r="V95" s="501"/>
      <c r="W95" s="501"/>
      <c r="X95" s="501"/>
      <c r="Y95" s="501"/>
      <c r="Z95" s="501"/>
      <c r="AA95" s="501"/>
      <c r="AB95" s="501"/>
      <c r="AC95" s="501"/>
      <c r="AD95" s="501"/>
      <c r="AE95" s="501"/>
      <c r="AF95" s="501"/>
      <c r="AG95" s="501"/>
      <c r="AH95" s="501"/>
      <c r="AI95" s="501"/>
      <c r="AJ95" s="501"/>
      <c r="AK95" s="501"/>
      <c r="AL95" s="501"/>
      <c r="AM95" s="501"/>
      <c r="AN95" s="501"/>
      <c r="AO95" s="501"/>
      <c r="AP95" s="501"/>
      <c r="AQ95" s="501"/>
      <c r="AR95" s="501"/>
      <c r="AS95" s="501"/>
      <c r="AT95" s="501"/>
      <c r="AU95" s="501"/>
      <c r="AV95" s="501"/>
      <c r="AW95" s="501"/>
      <c r="AX95" s="501"/>
      <c r="AY95" s="501"/>
      <c r="AZ95" s="501"/>
      <c r="BA95" s="501"/>
      <c r="BB95" s="501"/>
      <c r="BC95" s="501"/>
      <c r="BD95" s="501"/>
      <c r="BE95" s="501"/>
      <c r="BF95" s="501"/>
      <c r="BG95" s="501"/>
      <c r="BH95" s="501"/>
      <c r="BI95" s="501"/>
      <c r="BJ95" s="501"/>
      <c r="BK95" s="501"/>
      <c r="BL95" s="501"/>
      <c r="BM95" s="501"/>
      <c r="BN95" s="501"/>
      <c r="BO95" s="501"/>
      <c r="BP95" s="501"/>
      <c r="BQ95" s="501"/>
      <c r="BR95" s="501"/>
      <c r="BS95" s="501"/>
      <c r="BT95" s="501"/>
      <c r="BU95" s="501"/>
      <c r="BV95" s="501"/>
      <c r="BW95" s="501"/>
      <c r="BX95" s="501"/>
      <c r="BY95" s="501"/>
      <c r="BZ95" s="501"/>
      <c r="CA95" s="501"/>
      <c r="CB95" s="501"/>
      <c r="CC95" s="501"/>
      <c r="CD95" s="501"/>
      <c r="CE95" s="501"/>
      <c r="CF95" s="501"/>
      <c r="CG95" s="501"/>
      <c r="CH95" s="501"/>
      <c r="CI95" s="501"/>
      <c r="CJ95" s="501"/>
      <c r="CK95" s="501"/>
      <c r="CL95" s="501"/>
      <c r="CM95" s="501"/>
      <c r="CN95" s="501"/>
      <c r="CO95" s="501"/>
      <c r="CP95" s="501"/>
      <c r="CQ95" s="501"/>
      <c r="CR95" s="501"/>
      <c r="CS95" s="501"/>
      <c r="CT95" s="501"/>
    </row>
    <row r="96">
      <c r="A96" s="569"/>
      <c r="B96" s="569"/>
      <c r="C96" s="569"/>
      <c r="D96" s="498"/>
      <c r="E96" s="499"/>
      <c r="F96" s="499"/>
      <c r="G96" s="766"/>
      <c r="H96" s="766"/>
      <c r="I96" s="766"/>
      <c r="J96" s="766"/>
      <c r="K96" s="683"/>
      <c r="L96" s="683"/>
      <c r="M96" s="683"/>
      <c r="N96" s="683"/>
      <c r="O96" s="683"/>
      <c r="P96" s="683"/>
      <c r="Q96" s="683"/>
      <c r="R96" s="683"/>
      <c r="S96" s="683"/>
      <c r="T96" s="501"/>
      <c r="U96" s="501"/>
      <c r="V96" s="501"/>
      <c r="W96" s="501"/>
      <c r="X96" s="501"/>
      <c r="Y96" s="501"/>
      <c r="Z96" s="501"/>
      <c r="AA96" s="501"/>
      <c r="AB96" s="501"/>
      <c r="AC96" s="501"/>
      <c r="AD96" s="501"/>
      <c r="AE96" s="501"/>
      <c r="AF96" s="501"/>
      <c r="AG96" s="501"/>
      <c r="AH96" s="501"/>
      <c r="AI96" s="501"/>
      <c r="AJ96" s="501"/>
      <c r="AK96" s="501"/>
      <c r="AL96" s="501"/>
      <c r="AM96" s="501"/>
      <c r="AN96" s="501"/>
      <c r="AO96" s="501"/>
      <c r="AP96" s="501"/>
      <c r="AQ96" s="501"/>
      <c r="AR96" s="501"/>
      <c r="AS96" s="501"/>
      <c r="AT96" s="501"/>
      <c r="AU96" s="501"/>
      <c r="AV96" s="501"/>
      <c r="AW96" s="501"/>
      <c r="AX96" s="501"/>
      <c r="AY96" s="501"/>
      <c r="AZ96" s="501"/>
      <c r="BA96" s="501"/>
      <c r="BB96" s="501"/>
      <c r="BC96" s="501"/>
      <c r="BD96" s="501"/>
      <c r="BE96" s="501"/>
      <c r="BF96" s="501"/>
      <c r="BG96" s="501"/>
      <c r="BH96" s="501"/>
      <c r="BI96" s="501"/>
      <c r="BJ96" s="501"/>
      <c r="BK96" s="501"/>
      <c r="BL96" s="501"/>
      <c r="BM96" s="501"/>
      <c r="BN96" s="501"/>
      <c r="BO96" s="501"/>
      <c r="BP96" s="501"/>
      <c r="BQ96" s="501"/>
      <c r="BR96" s="501"/>
      <c r="BS96" s="501"/>
      <c r="BT96" s="501"/>
      <c r="BU96" s="501"/>
      <c r="BV96" s="501"/>
      <c r="BW96" s="501"/>
      <c r="BX96" s="501"/>
      <c r="BY96" s="501"/>
      <c r="BZ96" s="501"/>
      <c r="CA96" s="501"/>
      <c r="CB96" s="501"/>
      <c r="CC96" s="501"/>
      <c r="CD96" s="501"/>
      <c r="CE96" s="501"/>
      <c r="CF96" s="501"/>
      <c r="CG96" s="501"/>
      <c r="CH96" s="501"/>
      <c r="CI96" s="501"/>
      <c r="CJ96" s="501"/>
      <c r="CK96" s="501"/>
      <c r="CL96" s="501"/>
      <c r="CM96" s="501"/>
      <c r="CN96" s="501"/>
      <c r="CO96" s="501"/>
      <c r="CP96" s="501"/>
      <c r="CQ96" s="501"/>
      <c r="CR96" s="501"/>
      <c r="CS96" s="501"/>
      <c r="CT96" s="501"/>
    </row>
    <row r="97">
      <c r="A97" s="569"/>
      <c r="B97" s="569"/>
      <c r="C97" s="569"/>
      <c r="D97" s="498"/>
      <c r="E97" s="499"/>
      <c r="F97" s="499"/>
      <c r="G97" s="766"/>
      <c r="H97" s="766"/>
      <c r="I97" s="766"/>
      <c r="J97" s="766"/>
      <c r="K97" s="683"/>
      <c r="L97" s="683"/>
      <c r="M97" s="683"/>
      <c r="N97" s="683"/>
      <c r="O97" s="683"/>
      <c r="P97" s="683"/>
      <c r="Q97" s="683"/>
      <c r="R97" s="683"/>
      <c r="S97" s="683"/>
      <c r="T97" s="501"/>
      <c r="U97" s="501"/>
      <c r="V97" s="501"/>
      <c r="W97" s="501"/>
      <c r="X97" s="501"/>
      <c r="Y97" s="501"/>
      <c r="Z97" s="501"/>
      <c r="AA97" s="501"/>
      <c r="AB97" s="501"/>
      <c r="AC97" s="501"/>
      <c r="AD97" s="501"/>
      <c r="AE97" s="501"/>
      <c r="AF97" s="501"/>
      <c r="AG97" s="501"/>
      <c r="AH97" s="501"/>
      <c r="AI97" s="501"/>
      <c r="AJ97" s="501"/>
      <c r="AK97" s="501"/>
      <c r="AL97" s="501"/>
      <c r="AM97" s="501"/>
      <c r="AN97" s="501"/>
      <c r="AO97" s="501"/>
      <c r="AP97" s="501"/>
      <c r="AQ97" s="501"/>
      <c r="AR97" s="501"/>
      <c r="AS97" s="501"/>
      <c r="AT97" s="501"/>
      <c r="AU97" s="501"/>
      <c r="AV97" s="501"/>
      <c r="AW97" s="501"/>
      <c r="AX97" s="501"/>
      <c r="AY97" s="501"/>
      <c r="AZ97" s="501"/>
      <c r="BA97" s="501"/>
      <c r="BB97" s="501"/>
      <c r="BC97" s="501"/>
      <c r="BD97" s="501"/>
      <c r="BE97" s="501"/>
      <c r="BF97" s="501"/>
      <c r="BG97" s="501"/>
      <c r="BH97" s="501"/>
      <c r="BI97" s="501"/>
      <c r="BJ97" s="501"/>
      <c r="BK97" s="501"/>
      <c r="BL97" s="501"/>
      <c r="BM97" s="501"/>
      <c r="BN97" s="501"/>
      <c r="BO97" s="501"/>
      <c r="BP97" s="501"/>
      <c r="BQ97" s="501"/>
      <c r="BR97" s="501"/>
      <c r="BS97" s="501"/>
      <c r="BT97" s="501"/>
      <c r="BU97" s="501"/>
      <c r="BV97" s="501"/>
      <c r="BW97" s="501"/>
      <c r="BX97" s="501"/>
      <c r="BY97" s="501"/>
      <c r="BZ97" s="501"/>
      <c r="CA97" s="501"/>
      <c r="CB97" s="501"/>
      <c r="CC97" s="501"/>
      <c r="CD97" s="501"/>
      <c r="CE97" s="501"/>
      <c r="CF97" s="501"/>
      <c r="CG97" s="501"/>
      <c r="CH97" s="501"/>
      <c r="CI97" s="501"/>
      <c r="CJ97" s="501"/>
      <c r="CK97" s="501"/>
      <c r="CL97" s="501"/>
      <c r="CM97" s="501"/>
      <c r="CN97" s="501"/>
      <c r="CO97" s="501"/>
      <c r="CP97" s="501"/>
      <c r="CQ97" s="501"/>
      <c r="CR97" s="501"/>
      <c r="CS97" s="501"/>
      <c r="CT97" s="501"/>
    </row>
    <row r="98">
      <c r="A98" s="569"/>
      <c r="B98" s="569"/>
      <c r="C98" s="569"/>
      <c r="D98" s="498"/>
      <c r="E98" s="499"/>
      <c r="F98" s="499"/>
      <c r="G98" s="766"/>
      <c r="H98" s="766"/>
      <c r="I98" s="766"/>
      <c r="J98" s="766"/>
      <c r="K98" s="683"/>
      <c r="L98" s="683"/>
      <c r="M98" s="683"/>
      <c r="N98" s="683"/>
      <c r="O98" s="683"/>
      <c r="P98" s="683"/>
      <c r="Q98" s="683"/>
      <c r="R98" s="683"/>
      <c r="S98" s="683"/>
      <c r="T98" s="501"/>
      <c r="U98" s="501"/>
      <c r="V98" s="501"/>
      <c r="W98" s="501"/>
      <c r="X98" s="501"/>
      <c r="Y98" s="501"/>
      <c r="Z98" s="501"/>
      <c r="AA98" s="501"/>
      <c r="AB98" s="501"/>
      <c r="AC98" s="501"/>
      <c r="AD98" s="501"/>
      <c r="AE98" s="501"/>
      <c r="AF98" s="501"/>
      <c r="AG98" s="501"/>
      <c r="AH98" s="501"/>
      <c r="AI98" s="501"/>
      <c r="AJ98" s="501"/>
      <c r="AK98" s="501"/>
      <c r="AL98" s="501"/>
      <c r="AM98" s="501"/>
      <c r="AN98" s="501"/>
      <c r="AO98" s="501"/>
      <c r="AP98" s="501"/>
      <c r="AQ98" s="501"/>
      <c r="AR98" s="501"/>
      <c r="AS98" s="501"/>
      <c r="AT98" s="501"/>
      <c r="AU98" s="501"/>
      <c r="AV98" s="501"/>
      <c r="AW98" s="501"/>
      <c r="AX98" s="501"/>
      <c r="AY98" s="501"/>
      <c r="AZ98" s="501"/>
      <c r="BA98" s="501"/>
      <c r="BB98" s="501"/>
      <c r="BC98" s="501"/>
      <c r="BD98" s="501"/>
      <c r="BE98" s="501"/>
      <c r="BF98" s="501"/>
      <c r="BG98" s="501"/>
      <c r="BH98" s="501"/>
      <c r="BI98" s="501"/>
      <c r="BJ98" s="501"/>
      <c r="BK98" s="501"/>
      <c r="BL98" s="501"/>
      <c r="BM98" s="501"/>
      <c r="BN98" s="501"/>
      <c r="BO98" s="501"/>
      <c r="BP98" s="501"/>
      <c r="BQ98" s="501"/>
      <c r="BR98" s="501"/>
      <c r="BS98" s="501"/>
      <c r="BT98" s="501"/>
      <c r="BU98" s="501"/>
      <c r="BV98" s="501"/>
      <c r="BW98" s="501"/>
      <c r="BX98" s="501"/>
      <c r="BY98" s="501"/>
      <c r="BZ98" s="501"/>
      <c r="CA98" s="501"/>
      <c r="CB98" s="501"/>
      <c r="CC98" s="501"/>
      <c r="CD98" s="501"/>
      <c r="CE98" s="501"/>
      <c r="CF98" s="501"/>
      <c r="CG98" s="501"/>
      <c r="CH98" s="501"/>
      <c r="CI98" s="501"/>
      <c r="CJ98" s="501"/>
      <c r="CK98" s="501"/>
      <c r="CL98" s="501"/>
      <c r="CM98" s="501"/>
      <c r="CN98" s="501"/>
      <c r="CO98" s="501"/>
      <c r="CP98" s="501"/>
      <c r="CQ98" s="501"/>
      <c r="CR98" s="501"/>
      <c r="CS98" s="501"/>
      <c r="CT98" s="501"/>
    </row>
    <row r="99">
      <c r="A99" s="569"/>
      <c r="B99" s="569"/>
      <c r="C99" s="569"/>
      <c r="D99" s="498"/>
      <c r="E99" s="499"/>
      <c r="F99" s="499"/>
      <c r="G99" s="766"/>
      <c r="H99" s="766"/>
      <c r="I99" s="766"/>
      <c r="J99" s="766"/>
      <c r="K99" s="683"/>
      <c r="L99" s="683"/>
      <c r="M99" s="683"/>
      <c r="N99" s="683"/>
      <c r="O99" s="683"/>
      <c r="P99" s="683"/>
      <c r="Q99" s="683"/>
      <c r="R99" s="683"/>
      <c r="S99" s="683"/>
      <c r="T99" s="501"/>
      <c r="U99" s="501"/>
      <c r="V99" s="501"/>
      <c r="W99" s="501"/>
      <c r="X99" s="501"/>
      <c r="Y99" s="501"/>
      <c r="Z99" s="501"/>
      <c r="AA99" s="501"/>
      <c r="AB99" s="501"/>
      <c r="AC99" s="501"/>
      <c r="AD99" s="501"/>
      <c r="AE99" s="501"/>
      <c r="AF99" s="501"/>
      <c r="AG99" s="501"/>
      <c r="AH99" s="501"/>
      <c r="AI99" s="501"/>
      <c r="AJ99" s="501"/>
      <c r="AK99" s="501"/>
      <c r="AL99" s="501"/>
      <c r="AM99" s="501"/>
      <c r="AN99" s="501"/>
      <c r="AO99" s="501"/>
      <c r="AP99" s="501"/>
      <c r="AQ99" s="501"/>
      <c r="AR99" s="501"/>
      <c r="AS99" s="501"/>
      <c r="AT99" s="501"/>
      <c r="AU99" s="501"/>
      <c r="AV99" s="501"/>
      <c r="AW99" s="501"/>
      <c r="AX99" s="501"/>
      <c r="AY99" s="501"/>
      <c r="AZ99" s="501"/>
      <c r="BA99" s="501"/>
      <c r="BB99" s="501"/>
      <c r="BC99" s="501"/>
      <c r="BD99" s="501"/>
      <c r="BE99" s="501"/>
      <c r="BF99" s="501"/>
      <c r="BG99" s="501"/>
      <c r="BH99" s="501"/>
      <c r="BI99" s="501"/>
      <c r="BJ99" s="501"/>
      <c r="BK99" s="501"/>
      <c r="BL99" s="501"/>
      <c r="BM99" s="501"/>
      <c r="BN99" s="501"/>
      <c r="BO99" s="501"/>
      <c r="BP99" s="501"/>
      <c r="BQ99" s="501"/>
      <c r="BR99" s="501"/>
      <c r="BS99" s="501"/>
      <c r="BT99" s="501"/>
      <c r="BU99" s="501"/>
      <c r="BV99" s="501"/>
      <c r="BW99" s="501"/>
      <c r="BX99" s="501"/>
      <c r="BY99" s="501"/>
      <c r="BZ99" s="501"/>
      <c r="CA99" s="501"/>
      <c r="CB99" s="501"/>
      <c r="CC99" s="501"/>
      <c r="CD99" s="501"/>
      <c r="CE99" s="501"/>
      <c r="CF99" s="501"/>
      <c r="CG99" s="501"/>
      <c r="CH99" s="501"/>
      <c r="CI99" s="501"/>
      <c r="CJ99" s="501"/>
      <c r="CK99" s="501"/>
      <c r="CL99" s="501"/>
      <c r="CM99" s="501"/>
      <c r="CN99" s="501"/>
      <c r="CO99" s="501"/>
      <c r="CP99" s="501"/>
      <c r="CQ99" s="501"/>
      <c r="CR99" s="501"/>
      <c r="CS99" s="501"/>
      <c r="CT99" s="501"/>
    </row>
    <row r="100">
      <c r="A100" s="569"/>
      <c r="B100" s="569"/>
      <c r="C100" s="569"/>
      <c r="D100" s="498"/>
      <c r="E100" s="499"/>
      <c r="F100" s="499"/>
      <c r="G100" s="766"/>
      <c r="H100" s="766"/>
      <c r="I100" s="766"/>
      <c r="J100" s="766"/>
      <c r="K100" s="683"/>
      <c r="L100" s="683"/>
      <c r="M100" s="683"/>
      <c r="N100" s="683"/>
      <c r="O100" s="683"/>
      <c r="P100" s="683"/>
      <c r="Q100" s="683"/>
      <c r="R100" s="683"/>
      <c r="S100" s="683"/>
      <c r="T100" s="501"/>
      <c r="U100" s="501"/>
      <c r="V100" s="501"/>
      <c r="W100" s="501"/>
      <c r="X100" s="501"/>
      <c r="Y100" s="501"/>
      <c r="Z100" s="501"/>
      <c r="AA100" s="501"/>
      <c r="AB100" s="501"/>
      <c r="AC100" s="501"/>
      <c r="AD100" s="501"/>
      <c r="AE100" s="501"/>
      <c r="AF100" s="501"/>
      <c r="AG100" s="501"/>
      <c r="AH100" s="501"/>
      <c r="AI100" s="501"/>
      <c r="AJ100" s="501"/>
      <c r="AK100" s="501"/>
      <c r="AL100" s="501"/>
      <c r="AM100" s="501"/>
      <c r="AN100" s="501"/>
      <c r="AO100" s="501"/>
      <c r="AP100" s="501"/>
      <c r="AQ100" s="501"/>
      <c r="AR100" s="501"/>
      <c r="AS100" s="501"/>
      <c r="AT100" s="501"/>
      <c r="AU100" s="501"/>
      <c r="AV100" s="501"/>
      <c r="AW100" s="501"/>
      <c r="AX100" s="501"/>
      <c r="AY100" s="501"/>
      <c r="AZ100" s="501"/>
      <c r="BA100" s="501"/>
      <c r="BB100" s="501"/>
      <c r="BC100" s="501"/>
      <c r="BD100" s="501"/>
      <c r="BE100" s="501"/>
      <c r="BF100" s="501"/>
      <c r="BG100" s="501"/>
      <c r="BH100" s="501"/>
      <c r="BI100" s="501"/>
      <c r="BJ100" s="501"/>
      <c r="BK100" s="501"/>
      <c r="BL100" s="501"/>
      <c r="BM100" s="501"/>
      <c r="BN100" s="501"/>
      <c r="BO100" s="501"/>
      <c r="BP100" s="501"/>
      <c r="BQ100" s="501"/>
      <c r="BR100" s="501"/>
      <c r="BS100" s="501"/>
      <c r="BT100" s="501"/>
      <c r="BU100" s="501"/>
      <c r="BV100" s="501"/>
      <c r="BW100" s="501"/>
      <c r="BX100" s="501"/>
      <c r="BY100" s="501"/>
      <c r="BZ100" s="501"/>
      <c r="CA100" s="501"/>
      <c r="CB100" s="501"/>
      <c r="CC100" s="501"/>
      <c r="CD100" s="501"/>
      <c r="CE100" s="501"/>
      <c r="CF100" s="501"/>
      <c r="CG100" s="501"/>
      <c r="CH100" s="501"/>
      <c r="CI100" s="501"/>
      <c r="CJ100" s="501"/>
      <c r="CK100" s="501"/>
      <c r="CL100" s="501"/>
      <c r="CM100" s="501"/>
      <c r="CN100" s="501"/>
      <c r="CO100" s="501"/>
      <c r="CP100" s="501"/>
      <c r="CQ100" s="501"/>
      <c r="CR100" s="501"/>
      <c r="CS100" s="501"/>
      <c r="CT100" s="501"/>
    </row>
    <row r="101">
      <c r="A101" s="569"/>
      <c r="B101" s="569"/>
      <c r="C101" s="569"/>
      <c r="D101" s="498"/>
      <c r="E101" s="499"/>
      <c r="F101" s="499"/>
      <c r="G101" s="766"/>
      <c r="H101" s="766"/>
      <c r="I101" s="766"/>
      <c r="J101" s="766"/>
      <c r="K101" s="683"/>
      <c r="L101" s="683"/>
      <c r="M101" s="683"/>
      <c r="N101" s="683"/>
      <c r="O101" s="683"/>
      <c r="P101" s="683"/>
      <c r="Q101" s="683"/>
      <c r="R101" s="683"/>
      <c r="S101" s="683"/>
      <c r="T101" s="501"/>
      <c r="U101" s="501"/>
      <c r="V101" s="501"/>
      <c r="W101" s="501"/>
      <c r="X101" s="501"/>
      <c r="Y101" s="501"/>
      <c r="Z101" s="501"/>
      <c r="AA101" s="501"/>
      <c r="AB101" s="501"/>
      <c r="AC101" s="501"/>
      <c r="AD101" s="501"/>
      <c r="AE101" s="501"/>
      <c r="AF101" s="501"/>
      <c r="AG101" s="501"/>
      <c r="AH101" s="501"/>
      <c r="AI101" s="501"/>
      <c r="AJ101" s="501"/>
      <c r="AK101" s="501"/>
      <c r="AL101" s="501"/>
      <c r="AM101" s="501"/>
      <c r="AN101" s="501"/>
      <c r="AO101" s="501"/>
      <c r="AP101" s="501"/>
      <c r="AQ101" s="501"/>
      <c r="AR101" s="501"/>
      <c r="AS101" s="501"/>
      <c r="AT101" s="501"/>
      <c r="AU101" s="501"/>
      <c r="AV101" s="501"/>
      <c r="AW101" s="501"/>
      <c r="AX101" s="501"/>
      <c r="AY101" s="501"/>
      <c r="AZ101" s="501"/>
      <c r="BA101" s="501"/>
      <c r="BB101" s="501"/>
      <c r="BC101" s="501"/>
      <c r="BD101" s="501"/>
      <c r="BE101" s="501"/>
      <c r="BF101" s="501"/>
      <c r="BG101" s="501"/>
      <c r="BH101" s="501"/>
      <c r="BI101" s="501"/>
      <c r="BJ101" s="501"/>
      <c r="BK101" s="501"/>
      <c r="BL101" s="501"/>
      <c r="BM101" s="501"/>
      <c r="BN101" s="501"/>
      <c r="BO101" s="501"/>
      <c r="BP101" s="501"/>
      <c r="BQ101" s="501"/>
      <c r="BR101" s="501"/>
      <c r="BS101" s="501"/>
      <c r="BT101" s="501"/>
      <c r="BU101" s="501"/>
      <c r="BV101" s="501"/>
      <c r="BW101" s="501"/>
      <c r="BX101" s="501"/>
      <c r="BY101" s="501"/>
      <c r="BZ101" s="501"/>
      <c r="CA101" s="501"/>
      <c r="CB101" s="501"/>
      <c r="CC101" s="501"/>
      <c r="CD101" s="501"/>
      <c r="CE101" s="501"/>
      <c r="CF101" s="501"/>
      <c r="CG101" s="501"/>
      <c r="CH101" s="501"/>
      <c r="CI101" s="501"/>
      <c r="CJ101" s="501"/>
      <c r="CK101" s="501"/>
      <c r="CL101" s="501"/>
      <c r="CM101" s="501"/>
      <c r="CN101" s="501"/>
      <c r="CO101" s="501"/>
      <c r="CP101" s="501"/>
      <c r="CQ101" s="501"/>
      <c r="CR101" s="501"/>
      <c r="CS101" s="501"/>
      <c r="CT101" s="501"/>
    </row>
    <row r="102">
      <c r="A102" s="569"/>
      <c r="B102" s="569"/>
      <c r="C102" s="569"/>
      <c r="D102" s="498"/>
      <c r="E102" s="499"/>
      <c r="F102" s="499"/>
      <c r="G102" s="766"/>
      <c r="H102" s="766"/>
      <c r="I102" s="766"/>
      <c r="J102" s="766"/>
      <c r="K102" s="683"/>
      <c r="L102" s="683"/>
      <c r="M102" s="683"/>
      <c r="N102" s="683"/>
      <c r="O102" s="683"/>
      <c r="P102" s="683"/>
      <c r="Q102" s="683"/>
      <c r="R102" s="683"/>
      <c r="S102" s="683"/>
      <c r="T102" s="501"/>
      <c r="U102" s="501"/>
      <c r="V102" s="501"/>
      <c r="W102" s="501"/>
      <c r="X102" s="501"/>
      <c r="Y102" s="501"/>
      <c r="Z102" s="501"/>
      <c r="AA102" s="501"/>
      <c r="AB102" s="501"/>
      <c r="AC102" s="501"/>
      <c r="AD102" s="501"/>
      <c r="AE102" s="501"/>
      <c r="AF102" s="501"/>
      <c r="AG102" s="501"/>
      <c r="AH102" s="501"/>
      <c r="AI102" s="501"/>
      <c r="AJ102" s="501"/>
      <c r="AK102" s="501"/>
      <c r="AL102" s="501"/>
      <c r="AM102" s="501"/>
      <c r="AN102" s="501"/>
      <c r="AO102" s="501"/>
      <c r="AP102" s="501"/>
      <c r="AQ102" s="501"/>
      <c r="AR102" s="501"/>
      <c r="AS102" s="501"/>
      <c r="AT102" s="501"/>
      <c r="AU102" s="501"/>
      <c r="AV102" s="501"/>
      <c r="AW102" s="501"/>
      <c r="AX102" s="501"/>
      <c r="AY102" s="501"/>
      <c r="AZ102" s="501"/>
      <c r="BA102" s="501"/>
      <c r="BB102" s="501"/>
      <c r="BC102" s="501"/>
      <c r="BD102" s="501"/>
      <c r="BE102" s="501"/>
      <c r="BF102" s="501"/>
      <c r="BG102" s="501"/>
      <c r="BH102" s="501"/>
      <c r="BI102" s="501"/>
      <c r="BJ102" s="501"/>
      <c r="BK102" s="501"/>
      <c r="BL102" s="501"/>
      <c r="BM102" s="501"/>
      <c r="BN102" s="501"/>
      <c r="BO102" s="501"/>
      <c r="BP102" s="501"/>
      <c r="BQ102" s="501"/>
      <c r="BR102" s="501"/>
      <c r="BS102" s="501"/>
      <c r="BT102" s="501"/>
      <c r="BU102" s="501"/>
      <c r="BV102" s="501"/>
      <c r="BW102" s="501"/>
      <c r="BX102" s="501"/>
      <c r="BY102" s="501"/>
      <c r="BZ102" s="501"/>
      <c r="CA102" s="501"/>
      <c r="CB102" s="501"/>
      <c r="CC102" s="501"/>
      <c r="CD102" s="501"/>
      <c r="CE102" s="501"/>
      <c r="CF102" s="501"/>
      <c r="CG102" s="501"/>
      <c r="CH102" s="501"/>
      <c r="CI102" s="501"/>
      <c r="CJ102" s="501"/>
      <c r="CK102" s="501"/>
      <c r="CL102" s="501"/>
      <c r="CM102" s="501"/>
      <c r="CN102" s="501"/>
      <c r="CO102" s="501"/>
      <c r="CP102" s="501"/>
      <c r="CQ102" s="501"/>
      <c r="CR102" s="501"/>
      <c r="CS102" s="501"/>
      <c r="CT102" s="501"/>
    </row>
    <row r="103">
      <c r="A103" s="569"/>
      <c r="B103" s="569"/>
      <c r="C103" s="569"/>
      <c r="D103" s="498"/>
      <c r="E103" s="499"/>
      <c r="F103" s="499"/>
      <c r="G103" s="766"/>
      <c r="H103" s="766"/>
      <c r="I103" s="766"/>
      <c r="J103" s="766"/>
      <c r="K103" s="683"/>
      <c r="L103" s="683"/>
      <c r="M103" s="683"/>
      <c r="N103" s="683"/>
      <c r="O103" s="683"/>
      <c r="P103" s="683"/>
      <c r="Q103" s="683"/>
      <c r="R103" s="683"/>
      <c r="S103" s="683"/>
      <c r="T103" s="501"/>
      <c r="U103" s="501"/>
      <c r="V103" s="501"/>
      <c r="W103" s="501"/>
      <c r="X103" s="501"/>
      <c r="Y103" s="501"/>
      <c r="Z103" s="501"/>
      <c r="AA103" s="501"/>
      <c r="AB103" s="501"/>
      <c r="AC103" s="501"/>
      <c r="AD103" s="501"/>
      <c r="AE103" s="501"/>
      <c r="AF103" s="501"/>
      <c r="AG103" s="501"/>
      <c r="AH103" s="501"/>
      <c r="AI103" s="501"/>
      <c r="AJ103" s="501"/>
      <c r="AK103" s="501"/>
      <c r="AL103" s="501"/>
      <c r="AM103" s="501"/>
      <c r="AN103" s="501"/>
      <c r="AO103" s="501"/>
      <c r="AP103" s="501"/>
      <c r="AQ103" s="501"/>
      <c r="AR103" s="501"/>
      <c r="AS103" s="501"/>
      <c r="AT103" s="501"/>
      <c r="AU103" s="501"/>
      <c r="AV103" s="501"/>
      <c r="AW103" s="501"/>
      <c r="AX103" s="501"/>
      <c r="AY103" s="501"/>
      <c r="AZ103" s="501"/>
      <c r="BA103" s="501"/>
      <c r="BB103" s="501"/>
      <c r="BC103" s="501"/>
      <c r="BD103" s="501"/>
      <c r="BE103" s="501"/>
      <c r="BF103" s="501"/>
      <c r="BG103" s="501"/>
      <c r="BH103" s="501"/>
      <c r="BI103" s="501"/>
      <c r="BJ103" s="501"/>
      <c r="BK103" s="501"/>
      <c r="BL103" s="501"/>
      <c r="BM103" s="501"/>
      <c r="BN103" s="501"/>
      <c r="BO103" s="501"/>
      <c r="BP103" s="501"/>
      <c r="BQ103" s="501"/>
      <c r="BR103" s="501"/>
      <c r="BS103" s="501"/>
      <c r="BT103" s="501"/>
      <c r="BU103" s="501"/>
      <c r="BV103" s="501"/>
      <c r="BW103" s="501"/>
      <c r="BX103" s="501"/>
      <c r="BY103" s="501"/>
      <c r="BZ103" s="501"/>
      <c r="CA103" s="501"/>
      <c r="CB103" s="501"/>
      <c r="CC103" s="501"/>
      <c r="CD103" s="501"/>
      <c r="CE103" s="501"/>
      <c r="CF103" s="501"/>
      <c r="CG103" s="501"/>
      <c r="CH103" s="501"/>
      <c r="CI103" s="501"/>
      <c r="CJ103" s="501"/>
      <c r="CK103" s="501"/>
      <c r="CL103" s="501"/>
      <c r="CM103" s="501"/>
      <c r="CN103" s="501"/>
      <c r="CO103" s="501"/>
      <c r="CP103" s="501"/>
      <c r="CQ103" s="501"/>
      <c r="CR103" s="501"/>
      <c r="CS103" s="501"/>
      <c r="CT103" s="501"/>
    </row>
    <row r="104">
      <c r="A104" s="569"/>
      <c r="B104" s="569"/>
      <c r="C104" s="569"/>
      <c r="D104" s="498"/>
      <c r="E104" s="499"/>
      <c r="F104" s="499"/>
      <c r="G104" s="766"/>
      <c r="H104" s="766"/>
      <c r="I104" s="766"/>
      <c r="J104" s="766"/>
      <c r="K104" s="683"/>
      <c r="L104" s="683"/>
      <c r="M104" s="683"/>
      <c r="N104" s="683"/>
      <c r="O104" s="683"/>
      <c r="P104" s="683"/>
      <c r="Q104" s="683"/>
      <c r="R104" s="683"/>
      <c r="S104" s="683"/>
      <c r="T104" s="501"/>
      <c r="U104" s="501"/>
      <c r="V104" s="501"/>
      <c r="W104" s="501"/>
      <c r="X104" s="501"/>
      <c r="Y104" s="501"/>
      <c r="Z104" s="501"/>
      <c r="AA104" s="501"/>
      <c r="AB104" s="501"/>
      <c r="AC104" s="501"/>
      <c r="AD104" s="501"/>
      <c r="AE104" s="501"/>
      <c r="AF104" s="501"/>
      <c r="AG104" s="501"/>
      <c r="AH104" s="501"/>
      <c r="AI104" s="501"/>
      <c r="AJ104" s="501"/>
      <c r="AK104" s="501"/>
      <c r="AL104" s="501"/>
      <c r="AM104" s="501"/>
      <c r="AN104" s="501"/>
      <c r="AO104" s="501"/>
      <c r="AP104" s="501"/>
      <c r="AQ104" s="501"/>
      <c r="AR104" s="501"/>
      <c r="AS104" s="501"/>
      <c r="AT104" s="501"/>
      <c r="AU104" s="501"/>
      <c r="AV104" s="501"/>
      <c r="AW104" s="501"/>
      <c r="AX104" s="501"/>
      <c r="AY104" s="501"/>
      <c r="AZ104" s="501"/>
      <c r="BA104" s="501"/>
      <c r="BB104" s="501"/>
      <c r="BC104" s="501"/>
      <c r="BD104" s="501"/>
      <c r="BE104" s="501"/>
      <c r="BF104" s="501"/>
      <c r="BG104" s="501"/>
      <c r="BH104" s="501"/>
      <c r="BI104" s="501"/>
      <c r="BJ104" s="501"/>
      <c r="BK104" s="501"/>
      <c r="BL104" s="501"/>
      <c r="BM104" s="501"/>
      <c r="BN104" s="501"/>
      <c r="BO104" s="501"/>
      <c r="BP104" s="501"/>
      <c r="BQ104" s="501"/>
      <c r="BR104" s="501"/>
      <c r="BS104" s="501"/>
      <c r="BT104" s="501"/>
      <c r="BU104" s="501"/>
      <c r="BV104" s="501"/>
      <c r="BW104" s="501"/>
      <c r="BX104" s="501"/>
      <c r="BY104" s="501"/>
      <c r="BZ104" s="501"/>
      <c r="CA104" s="501"/>
      <c r="CB104" s="501"/>
      <c r="CC104" s="501"/>
      <c r="CD104" s="501"/>
      <c r="CE104" s="501"/>
      <c r="CF104" s="501"/>
      <c r="CG104" s="501"/>
      <c r="CH104" s="501"/>
      <c r="CI104" s="501"/>
      <c r="CJ104" s="501"/>
      <c r="CK104" s="501"/>
      <c r="CL104" s="501"/>
      <c r="CM104" s="501"/>
      <c r="CN104" s="501"/>
      <c r="CO104" s="501"/>
      <c r="CP104" s="501"/>
      <c r="CQ104" s="501"/>
      <c r="CR104" s="501"/>
      <c r="CS104" s="501"/>
      <c r="CT104" s="501"/>
    </row>
    <row r="105">
      <c r="A105" s="569"/>
      <c r="B105" s="569"/>
      <c r="C105" s="569"/>
      <c r="D105" s="498"/>
      <c r="E105" s="499"/>
      <c r="F105" s="499"/>
      <c r="G105" s="766"/>
      <c r="H105" s="766"/>
      <c r="I105" s="766"/>
      <c r="J105" s="766"/>
      <c r="K105" s="683"/>
      <c r="L105" s="683"/>
      <c r="M105" s="683"/>
      <c r="N105" s="683"/>
      <c r="O105" s="683"/>
      <c r="P105" s="683"/>
      <c r="Q105" s="683"/>
      <c r="R105" s="683"/>
      <c r="S105" s="683"/>
      <c r="T105" s="501"/>
      <c r="U105" s="501"/>
      <c r="V105" s="501"/>
      <c r="W105" s="501"/>
      <c r="X105" s="501"/>
      <c r="Y105" s="501"/>
      <c r="Z105" s="501"/>
      <c r="AA105" s="501"/>
      <c r="AB105" s="501"/>
      <c r="AC105" s="501"/>
      <c r="AD105" s="501"/>
      <c r="AE105" s="501"/>
      <c r="AF105" s="501"/>
      <c r="AG105" s="501"/>
      <c r="AH105" s="501"/>
      <c r="AI105" s="501"/>
      <c r="AJ105" s="501"/>
      <c r="AK105" s="501"/>
      <c r="AL105" s="501"/>
      <c r="AM105" s="501"/>
      <c r="AN105" s="501"/>
      <c r="AO105" s="501"/>
      <c r="AP105" s="501"/>
      <c r="AQ105" s="501"/>
      <c r="AR105" s="501"/>
      <c r="AS105" s="501"/>
      <c r="AT105" s="501"/>
      <c r="AU105" s="501"/>
      <c r="AV105" s="501"/>
      <c r="AW105" s="501"/>
      <c r="AX105" s="501"/>
      <c r="AY105" s="501"/>
      <c r="AZ105" s="501"/>
      <c r="BA105" s="501"/>
      <c r="BB105" s="501"/>
      <c r="BC105" s="501"/>
      <c r="BD105" s="501"/>
      <c r="BE105" s="501"/>
      <c r="BF105" s="501"/>
      <c r="BG105" s="501"/>
      <c r="BH105" s="501"/>
      <c r="BI105" s="501"/>
      <c r="BJ105" s="501"/>
      <c r="BK105" s="501"/>
      <c r="BL105" s="501"/>
      <c r="BM105" s="501"/>
      <c r="BN105" s="501"/>
      <c r="BO105" s="501"/>
      <c r="BP105" s="501"/>
      <c r="BQ105" s="501"/>
      <c r="BR105" s="501"/>
      <c r="BS105" s="501"/>
      <c r="BT105" s="501"/>
      <c r="BU105" s="501"/>
      <c r="BV105" s="501"/>
      <c r="BW105" s="501"/>
      <c r="BX105" s="501"/>
      <c r="BY105" s="501"/>
      <c r="BZ105" s="501"/>
      <c r="CA105" s="501"/>
      <c r="CB105" s="501"/>
      <c r="CC105" s="501"/>
      <c r="CD105" s="501"/>
      <c r="CE105" s="501"/>
      <c r="CF105" s="501"/>
      <c r="CG105" s="501"/>
      <c r="CH105" s="501"/>
      <c r="CI105" s="501"/>
      <c r="CJ105" s="501"/>
      <c r="CK105" s="501"/>
      <c r="CL105" s="501"/>
      <c r="CM105" s="501"/>
      <c r="CN105" s="501"/>
      <c r="CO105" s="501"/>
      <c r="CP105" s="501"/>
      <c r="CQ105" s="501"/>
      <c r="CR105" s="501"/>
      <c r="CS105" s="501"/>
      <c r="CT105" s="501"/>
    </row>
    <row r="106">
      <c r="A106" s="569"/>
      <c r="B106" s="569"/>
      <c r="C106" s="569"/>
      <c r="D106" s="498"/>
      <c r="E106" s="499"/>
      <c r="F106" s="499"/>
      <c r="G106" s="766"/>
      <c r="H106" s="766"/>
      <c r="I106" s="766"/>
      <c r="J106" s="766"/>
      <c r="K106" s="683"/>
      <c r="L106" s="683"/>
      <c r="M106" s="683"/>
      <c r="N106" s="683"/>
      <c r="O106" s="683"/>
      <c r="P106" s="683"/>
      <c r="Q106" s="683"/>
      <c r="R106" s="683"/>
      <c r="S106" s="683"/>
      <c r="T106" s="501"/>
      <c r="U106" s="501"/>
      <c r="V106" s="501"/>
      <c r="W106" s="501"/>
      <c r="X106" s="501"/>
      <c r="Y106" s="501"/>
      <c r="Z106" s="501"/>
      <c r="AA106" s="501"/>
      <c r="AB106" s="501"/>
      <c r="AC106" s="501"/>
      <c r="AD106" s="501"/>
      <c r="AE106" s="501"/>
      <c r="AF106" s="501"/>
      <c r="AG106" s="501"/>
      <c r="AH106" s="501"/>
      <c r="AI106" s="501"/>
      <c r="AJ106" s="501"/>
      <c r="AK106" s="501"/>
      <c r="AL106" s="501"/>
      <c r="AM106" s="501"/>
      <c r="AN106" s="501"/>
      <c r="AO106" s="501"/>
      <c r="AP106" s="501"/>
      <c r="AQ106" s="501"/>
      <c r="AR106" s="501"/>
      <c r="AS106" s="501"/>
      <c r="AT106" s="501"/>
      <c r="AU106" s="501"/>
      <c r="AV106" s="501"/>
      <c r="AW106" s="501"/>
      <c r="AX106" s="501"/>
      <c r="AY106" s="501"/>
      <c r="AZ106" s="501"/>
      <c r="BA106" s="501"/>
      <c r="BB106" s="501"/>
      <c r="BC106" s="501"/>
      <c r="BD106" s="501"/>
      <c r="BE106" s="501"/>
      <c r="BF106" s="501"/>
      <c r="BG106" s="501"/>
      <c r="BH106" s="501"/>
      <c r="BI106" s="501"/>
      <c r="BJ106" s="501"/>
      <c r="BK106" s="501"/>
      <c r="BL106" s="501"/>
      <c r="BM106" s="501"/>
      <c r="BN106" s="501"/>
      <c r="BO106" s="501"/>
      <c r="BP106" s="501"/>
      <c r="BQ106" s="501"/>
      <c r="BR106" s="501"/>
      <c r="BS106" s="501"/>
      <c r="BT106" s="501"/>
      <c r="BU106" s="501"/>
      <c r="BV106" s="501"/>
      <c r="BW106" s="501"/>
      <c r="BX106" s="501"/>
      <c r="BY106" s="501"/>
      <c r="BZ106" s="501"/>
      <c r="CA106" s="501"/>
      <c r="CB106" s="501"/>
      <c r="CC106" s="501"/>
      <c r="CD106" s="501"/>
      <c r="CE106" s="501"/>
      <c r="CF106" s="501"/>
      <c r="CG106" s="501"/>
      <c r="CH106" s="501"/>
      <c r="CI106" s="501"/>
      <c r="CJ106" s="501"/>
      <c r="CK106" s="501"/>
      <c r="CL106" s="501"/>
      <c r="CM106" s="501"/>
      <c r="CN106" s="501"/>
      <c r="CO106" s="501"/>
      <c r="CP106" s="501"/>
      <c r="CQ106" s="501"/>
      <c r="CR106" s="501"/>
      <c r="CS106" s="501"/>
      <c r="CT106" s="501"/>
    </row>
    <row r="107">
      <c r="A107" s="569"/>
      <c r="B107" s="569"/>
      <c r="C107" s="569"/>
      <c r="D107" s="498"/>
      <c r="E107" s="499"/>
      <c r="F107" s="499"/>
      <c r="G107" s="766"/>
      <c r="H107" s="766"/>
      <c r="I107" s="766"/>
      <c r="J107" s="766"/>
      <c r="K107" s="683"/>
      <c r="L107" s="683"/>
      <c r="M107" s="683"/>
      <c r="N107" s="683"/>
      <c r="O107" s="683"/>
      <c r="P107" s="683"/>
      <c r="Q107" s="683"/>
      <c r="R107" s="683"/>
      <c r="S107" s="683"/>
      <c r="T107" s="501"/>
      <c r="U107" s="501"/>
      <c r="V107" s="501"/>
      <c r="W107" s="501"/>
      <c r="X107" s="501"/>
      <c r="Y107" s="501"/>
      <c r="Z107" s="501"/>
      <c r="AA107" s="501"/>
      <c r="AB107" s="501"/>
      <c r="AC107" s="501"/>
      <c r="AD107" s="501"/>
      <c r="AE107" s="501"/>
      <c r="AF107" s="501"/>
      <c r="AG107" s="501"/>
      <c r="AH107" s="501"/>
      <c r="AI107" s="501"/>
      <c r="AJ107" s="501"/>
      <c r="AK107" s="501"/>
      <c r="AL107" s="501"/>
      <c r="AM107" s="501"/>
      <c r="AN107" s="501"/>
      <c r="AO107" s="501"/>
      <c r="AP107" s="501"/>
      <c r="AQ107" s="501"/>
      <c r="AR107" s="501"/>
      <c r="AS107" s="501"/>
      <c r="AT107" s="501"/>
      <c r="AU107" s="501"/>
      <c r="AV107" s="501"/>
      <c r="AW107" s="501"/>
      <c r="AX107" s="501"/>
      <c r="AY107" s="501"/>
      <c r="AZ107" s="501"/>
      <c r="BA107" s="501"/>
      <c r="BB107" s="501"/>
      <c r="BC107" s="501"/>
      <c r="BD107" s="501"/>
      <c r="BE107" s="501"/>
      <c r="BF107" s="501"/>
      <c r="BG107" s="501"/>
      <c r="BH107" s="501"/>
      <c r="BI107" s="501"/>
      <c r="BJ107" s="501"/>
      <c r="BK107" s="501"/>
      <c r="BL107" s="501"/>
      <c r="BM107" s="501"/>
      <c r="BN107" s="501"/>
      <c r="BO107" s="501"/>
      <c r="BP107" s="501"/>
      <c r="BQ107" s="501"/>
      <c r="BR107" s="501"/>
      <c r="BS107" s="501"/>
      <c r="BT107" s="501"/>
      <c r="BU107" s="501"/>
      <c r="BV107" s="501"/>
      <c r="BW107" s="501"/>
      <c r="BX107" s="501"/>
      <c r="BY107" s="501"/>
      <c r="BZ107" s="501"/>
      <c r="CA107" s="501"/>
      <c r="CB107" s="501"/>
      <c r="CC107" s="501"/>
      <c r="CD107" s="501"/>
      <c r="CE107" s="501"/>
      <c r="CF107" s="501"/>
      <c r="CG107" s="501"/>
      <c r="CH107" s="501"/>
      <c r="CI107" s="501"/>
      <c r="CJ107" s="501"/>
      <c r="CK107" s="501"/>
      <c r="CL107" s="501"/>
      <c r="CM107" s="501"/>
      <c r="CN107" s="501"/>
      <c r="CO107" s="501"/>
      <c r="CP107" s="501"/>
      <c r="CQ107" s="501"/>
      <c r="CR107" s="501"/>
      <c r="CS107" s="501"/>
      <c r="CT107" s="501"/>
    </row>
    <row r="108">
      <c r="A108" s="569"/>
      <c r="B108" s="569"/>
      <c r="C108" s="569"/>
      <c r="D108" s="498"/>
      <c r="E108" s="499"/>
      <c r="F108" s="499"/>
      <c r="G108" s="766"/>
      <c r="H108" s="766"/>
      <c r="I108" s="766"/>
      <c r="J108" s="766"/>
      <c r="K108" s="683"/>
      <c r="L108" s="683"/>
      <c r="M108" s="683"/>
      <c r="N108" s="683"/>
      <c r="O108" s="683"/>
      <c r="P108" s="683"/>
      <c r="Q108" s="683"/>
      <c r="R108" s="683"/>
      <c r="S108" s="683"/>
      <c r="T108" s="501"/>
      <c r="U108" s="501"/>
      <c r="V108" s="501"/>
      <c r="W108" s="501"/>
      <c r="X108" s="501"/>
      <c r="Y108" s="501"/>
      <c r="Z108" s="501"/>
      <c r="AA108" s="501"/>
      <c r="AB108" s="501"/>
      <c r="AC108" s="501"/>
      <c r="AD108" s="501"/>
      <c r="AE108" s="501"/>
      <c r="AF108" s="501"/>
      <c r="AG108" s="501"/>
      <c r="AH108" s="501"/>
      <c r="AI108" s="501"/>
      <c r="AJ108" s="501"/>
      <c r="AK108" s="501"/>
      <c r="AL108" s="501"/>
      <c r="AM108" s="501"/>
      <c r="AN108" s="501"/>
      <c r="AO108" s="501"/>
      <c r="AP108" s="501"/>
      <c r="AQ108" s="501"/>
      <c r="AR108" s="501"/>
      <c r="AS108" s="501"/>
      <c r="AT108" s="501"/>
      <c r="AU108" s="501"/>
      <c r="AV108" s="501"/>
      <c r="AW108" s="501"/>
      <c r="AX108" s="501"/>
      <c r="AY108" s="501"/>
      <c r="AZ108" s="501"/>
      <c r="BA108" s="501"/>
      <c r="BB108" s="501"/>
      <c r="BC108" s="501"/>
      <c r="BD108" s="501"/>
      <c r="BE108" s="501"/>
      <c r="BF108" s="501"/>
      <c r="BG108" s="501"/>
      <c r="BH108" s="501"/>
      <c r="BI108" s="501"/>
      <c r="BJ108" s="501"/>
      <c r="BK108" s="501"/>
      <c r="BL108" s="501"/>
      <c r="BM108" s="501"/>
      <c r="BN108" s="501"/>
      <c r="BO108" s="501"/>
      <c r="BP108" s="501"/>
      <c r="BQ108" s="501"/>
      <c r="BR108" s="501"/>
      <c r="BS108" s="501"/>
      <c r="BT108" s="501"/>
      <c r="BU108" s="501"/>
      <c r="BV108" s="501"/>
      <c r="BW108" s="501"/>
      <c r="BX108" s="501"/>
      <c r="BY108" s="501"/>
      <c r="BZ108" s="501"/>
      <c r="CA108" s="501"/>
      <c r="CB108" s="501"/>
      <c r="CC108" s="501"/>
      <c r="CD108" s="501"/>
      <c r="CE108" s="501"/>
      <c r="CF108" s="501"/>
      <c r="CG108" s="501"/>
      <c r="CH108" s="501"/>
      <c r="CI108" s="501"/>
      <c r="CJ108" s="501"/>
      <c r="CK108" s="501"/>
      <c r="CL108" s="501"/>
      <c r="CM108" s="501"/>
      <c r="CN108" s="501"/>
      <c r="CO108" s="501"/>
      <c r="CP108" s="501"/>
      <c r="CQ108" s="501"/>
      <c r="CR108" s="501"/>
      <c r="CS108" s="501"/>
      <c r="CT108" s="501"/>
    </row>
    <row r="109">
      <c r="A109" s="569"/>
      <c r="B109" s="569"/>
      <c r="C109" s="569"/>
      <c r="D109" s="498"/>
      <c r="E109" s="499"/>
      <c r="F109" s="499"/>
      <c r="G109" s="766"/>
      <c r="H109" s="766"/>
      <c r="I109" s="766"/>
      <c r="J109" s="766"/>
      <c r="K109" s="683"/>
      <c r="L109" s="683"/>
      <c r="M109" s="683"/>
      <c r="N109" s="683"/>
      <c r="O109" s="683"/>
      <c r="P109" s="683"/>
      <c r="Q109" s="683"/>
      <c r="R109" s="683"/>
      <c r="S109" s="683"/>
      <c r="T109" s="501"/>
      <c r="U109" s="501"/>
      <c r="V109" s="501"/>
      <c r="W109" s="501"/>
      <c r="X109" s="501"/>
      <c r="Y109" s="501"/>
      <c r="Z109" s="501"/>
      <c r="AA109" s="501"/>
      <c r="AB109" s="501"/>
      <c r="AC109" s="501"/>
      <c r="AD109" s="501"/>
      <c r="AE109" s="501"/>
      <c r="AF109" s="501"/>
      <c r="AG109" s="501"/>
      <c r="AH109" s="501"/>
      <c r="AI109" s="501"/>
      <c r="AJ109" s="501"/>
      <c r="AK109" s="501"/>
      <c r="AL109" s="501"/>
      <c r="AM109" s="501"/>
      <c r="AN109" s="501"/>
      <c r="AO109" s="501"/>
      <c r="AP109" s="501"/>
      <c r="AQ109" s="501"/>
      <c r="AR109" s="501"/>
      <c r="AS109" s="501"/>
      <c r="AT109" s="501"/>
      <c r="AU109" s="501"/>
      <c r="AV109" s="501"/>
      <c r="AW109" s="501"/>
      <c r="AX109" s="501"/>
      <c r="AY109" s="501"/>
      <c r="AZ109" s="501"/>
      <c r="BA109" s="501"/>
      <c r="BB109" s="501"/>
      <c r="BC109" s="501"/>
      <c r="BD109" s="501"/>
      <c r="BE109" s="501"/>
      <c r="BF109" s="501"/>
      <c r="BG109" s="501"/>
      <c r="BH109" s="501"/>
      <c r="BI109" s="501"/>
      <c r="BJ109" s="501"/>
      <c r="BK109" s="501"/>
      <c r="BL109" s="501"/>
      <c r="BM109" s="501"/>
      <c r="BN109" s="501"/>
      <c r="BO109" s="501"/>
      <c r="BP109" s="501"/>
      <c r="BQ109" s="501"/>
      <c r="BR109" s="501"/>
      <c r="BS109" s="501"/>
      <c r="BT109" s="501"/>
      <c r="BU109" s="501"/>
      <c r="BV109" s="501"/>
      <c r="BW109" s="501"/>
      <c r="BX109" s="501"/>
      <c r="BY109" s="501"/>
      <c r="BZ109" s="501"/>
      <c r="CA109" s="501"/>
      <c r="CB109" s="501"/>
      <c r="CC109" s="501"/>
      <c r="CD109" s="501"/>
      <c r="CE109" s="501"/>
      <c r="CF109" s="501"/>
      <c r="CG109" s="501"/>
      <c r="CH109" s="501"/>
      <c r="CI109" s="501"/>
      <c r="CJ109" s="501"/>
      <c r="CK109" s="501"/>
      <c r="CL109" s="501"/>
      <c r="CM109" s="501"/>
      <c r="CN109" s="501"/>
      <c r="CO109" s="501"/>
      <c r="CP109" s="501"/>
      <c r="CQ109" s="501"/>
      <c r="CR109" s="501"/>
      <c r="CS109" s="501"/>
      <c r="CT109" s="501"/>
    </row>
    <row r="110">
      <c r="A110" s="569"/>
      <c r="B110" s="569"/>
      <c r="C110" s="569"/>
      <c r="D110" s="498"/>
      <c r="E110" s="499"/>
      <c r="F110" s="499"/>
      <c r="G110" s="766"/>
      <c r="H110" s="766"/>
      <c r="I110" s="766"/>
      <c r="J110" s="766"/>
      <c r="K110" s="683"/>
      <c r="L110" s="683"/>
      <c r="M110" s="683"/>
      <c r="N110" s="683"/>
      <c r="O110" s="683"/>
      <c r="P110" s="683"/>
      <c r="Q110" s="683"/>
      <c r="R110" s="683"/>
      <c r="S110" s="683"/>
      <c r="T110" s="501"/>
      <c r="U110" s="501"/>
      <c r="V110" s="501"/>
      <c r="W110" s="501"/>
      <c r="X110" s="501"/>
      <c r="Y110" s="501"/>
      <c r="Z110" s="501"/>
      <c r="AA110" s="501"/>
      <c r="AB110" s="501"/>
      <c r="AC110" s="501"/>
      <c r="AD110" s="501"/>
      <c r="AE110" s="501"/>
      <c r="AF110" s="501"/>
      <c r="AG110" s="501"/>
      <c r="AH110" s="501"/>
      <c r="AI110" s="501"/>
      <c r="AJ110" s="501"/>
      <c r="AK110" s="501"/>
      <c r="AL110" s="501"/>
      <c r="AM110" s="501"/>
      <c r="AN110" s="501"/>
      <c r="AO110" s="501"/>
      <c r="AP110" s="501"/>
      <c r="AQ110" s="501"/>
      <c r="AR110" s="501"/>
      <c r="AS110" s="501"/>
      <c r="AT110" s="501"/>
      <c r="AU110" s="501"/>
      <c r="AV110" s="501"/>
      <c r="AW110" s="501"/>
      <c r="AX110" s="501"/>
      <c r="AY110" s="501"/>
      <c r="AZ110" s="501"/>
      <c r="BA110" s="501"/>
      <c r="BB110" s="501"/>
      <c r="BC110" s="501"/>
      <c r="BD110" s="501"/>
      <c r="BE110" s="501"/>
      <c r="BF110" s="501"/>
      <c r="BG110" s="501"/>
      <c r="BH110" s="501"/>
      <c r="BI110" s="501"/>
      <c r="BJ110" s="501"/>
      <c r="BK110" s="501"/>
      <c r="BL110" s="501"/>
      <c r="BM110" s="501"/>
      <c r="BN110" s="501"/>
      <c r="BO110" s="501"/>
      <c r="BP110" s="501"/>
      <c r="BQ110" s="501"/>
      <c r="BR110" s="501"/>
      <c r="BS110" s="501"/>
      <c r="BT110" s="501"/>
      <c r="BU110" s="501"/>
      <c r="BV110" s="501"/>
      <c r="BW110" s="501"/>
      <c r="BX110" s="501"/>
      <c r="BY110" s="501"/>
      <c r="BZ110" s="501"/>
      <c r="CA110" s="501"/>
      <c r="CB110" s="501"/>
      <c r="CC110" s="501"/>
      <c r="CD110" s="501"/>
      <c r="CE110" s="501"/>
      <c r="CF110" s="501"/>
      <c r="CG110" s="501"/>
      <c r="CH110" s="501"/>
      <c r="CI110" s="501"/>
      <c r="CJ110" s="501"/>
      <c r="CK110" s="501"/>
      <c r="CL110" s="501"/>
      <c r="CM110" s="501"/>
      <c r="CN110" s="501"/>
      <c r="CO110" s="501"/>
      <c r="CP110" s="501"/>
      <c r="CQ110" s="501"/>
      <c r="CR110" s="501"/>
      <c r="CS110" s="501"/>
      <c r="CT110" s="501"/>
    </row>
    <row r="111">
      <c r="A111" s="569"/>
      <c r="B111" s="569"/>
      <c r="C111" s="569"/>
      <c r="D111" s="498"/>
      <c r="E111" s="499"/>
      <c r="F111" s="499"/>
      <c r="G111" s="766"/>
      <c r="H111" s="766"/>
      <c r="I111" s="766"/>
      <c r="J111" s="766"/>
      <c r="K111" s="683"/>
      <c r="L111" s="683"/>
      <c r="M111" s="683"/>
      <c r="N111" s="683"/>
      <c r="O111" s="683"/>
      <c r="P111" s="683"/>
      <c r="Q111" s="683"/>
      <c r="R111" s="683"/>
      <c r="S111" s="683"/>
      <c r="T111" s="501"/>
      <c r="U111" s="501"/>
      <c r="V111" s="501"/>
      <c r="W111" s="501"/>
      <c r="X111" s="501"/>
      <c r="Y111" s="501"/>
      <c r="Z111" s="501"/>
      <c r="AA111" s="501"/>
      <c r="AB111" s="501"/>
      <c r="AC111" s="501"/>
      <c r="AD111" s="501"/>
      <c r="AE111" s="501"/>
      <c r="AF111" s="501"/>
      <c r="AG111" s="501"/>
      <c r="AH111" s="501"/>
      <c r="AI111" s="501"/>
      <c r="AJ111" s="501"/>
      <c r="AK111" s="501"/>
      <c r="AL111" s="501"/>
      <c r="AM111" s="501"/>
      <c r="AN111" s="501"/>
      <c r="AO111" s="501"/>
      <c r="AP111" s="501"/>
      <c r="AQ111" s="501"/>
      <c r="AR111" s="501"/>
      <c r="AS111" s="501"/>
      <c r="AT111" s="501"/>
      <c r="AU111" s="501"/>
      <c r="AV111" s="501"/>
      <c r="AW111" s="501"/>
      <c r="AX111" s="501"/>
      <c r="AY111" s="501"/>
      <c r="AZ111" s="501"/>
      <c r="BA111" s="501"/>
      <c r="BB111" s="501"/>
      <c r="BC111" s="501"/>
      <c r="BD111" s="501"/>
      <c r="BE111" s="501"/>
      <c r="BF111" s="501"/>
      <c r="BG111" s="501"/>
      <c r="BH111" s="501"/>
      <c r="BI111" s="501"/>
      <c r="BJ111" s="501"/>
      <c r="BK111" s="501"/>
      <c r="BL111" s="501"/>
      <c r="BM111" s="501"/>
      <c r="BN111" s="501"/>
      <c r="BO111" s="501"/>
      <c r="BP111" s="501"/>
      <c r="BQ111" s="501"/>
      <c r="BR111" s="501"/>
      <c r="BS111" s="501"/>
      <c r="BT111" s="501"/>
      <c r="BU111" s="501"/>
      <c r="BV111" s="501"/>
      <c r="BW111" s="501"/>
      <c r="BX111" s="501"/>
      <c r="BY111" s="501"/>
      <c r="BZ111" s="501"/>
      <c r="CA111" s="501"/>
      <c r="CB111" s="501"/>
      <c r="CC111" s="501"/>
      <c r="CD111" s="501"/>
      <c r="CE111" s="501"/>
      <c r="CF111" s="501"/>
      <c r="CG111" s="501"/>
      <c r="CH111" s="501"/>
      <c r="CI111" s="501"/>
      <c r="CJ111" s="501"/>
      <c r="CK111" s="501"/>
      <c r="CL111" s="501"/>
      <c r="CM111" s="501"/>
      <c r="CN111" s="501"/>
      <c r="CO111" s="501"/>
      <c r="CP111" s="501"/>
      <c r="CQ111" s="501"/>
      <c r="CR111" s="501"/>
      <c r="CS111" s="501"/>
      <c r="CT111" s="501"/>
    </row>
    <row r="112">
      <c r="A112" s="569"/>
      <c r="B112" s="569"/>
      <c r="C112" s="569"/>
      <c r="D112" s="498"/>
      <c r="E112" s="499"/>
      <c r="F112" s="499"/>
      <c r="G112" s="766"/>
      <c r="H112" s="766"/>
      <c r="I112" s="766"/>
      <c r="J112" s="766"/>
      <c r="K112" s="683"/>
      <c r="L112" s="683"/>
      <c r="M112" s="683"/>
      <c r="N112" s="683"/>
      <c r="O112" s="683"/>
      <c r="P112" s="683"/>
      <c r="Q112" s="683"/>
      <c r="R112" s="683"/>
      <c r="S112" s="683"/>
      <c r="T112" s="501"/>
      <c r="U112" s="501"/>
      <c r="V112" s="501"/>
      <c r="W112" s="501"/>
      <c r="X112" s="501"/>
      <c r="Y112" s="501"/>
      <c r="Z112" s="501"/>
      <c r="AA112" s="501"/>
      <c r="AB112" s="501"/>
      <c r="AC112" s="501"/>
      <c r="AD112" s="501"/>
      <c r="AE112" s="501"/>
      <c r="AF112" s="501"/>
      <c r="AG112" s="501"/>
      <c r="AH112" s="501"/>
      <c r="AI112" s="501"/>
      <c r="AJ112" s="501"/>
      <c r="AK112" s="501"/>
      <c r="AL112" s="501"/>
      <c r="AM112" s="501"/>
      <c r="AN112" s="501"/>
      <c r="AO112" s="501"/>
      <c r="AP112" s="501"/>
      <c r="AQ112" s="501"/>
      <c r="AR112" s="501"/>
      <c r="AS112" s="501"/>
      <c r="AT112" s="501"/>
      <c r="AU112" s="501"/>
      <c r="AV112" s="501"/>
      <c r="AW112" s="501"/>
      <c r="AX112" s="501"/>
      <c r="AY112" s="501"/>
      <c r="AZ112" s="501"/>
      <c r="BA112" s="501"/>
      <c r="BB112" s="501"/>
      <c r="BC112" s="501"/>
      <c r="BD112" s="501"/>
      <c r="BE112" s="501"/>
      <c r="BF112" s="501"/>
      <c r="BG112" s="501"/>
      <c r="BH112" s="501"/>
      <c r="BI112" s="501"/>
      <c r="BJ112" s="501"/>
      <c r="BK112" s="501"/>
      <c r="BL112" s="501"/>
      <c r="BM112" s="501"/>
      <c r="BN112" s="501"/>
      <c r="BO112" s="501"/>
      <c r="BP112" s="501"/>
      <c r="BQ112" s="501"/>
      <c r="BR112" s="501"/>
      <c r="BS112" s="501"/>
      <c r="BT112" s="501"/>
      <c r="BU112" s="501"/>
      <c r="BV112" s="501"/>
      <c r="BW112" s="501"/>
      <c r="BX112" s="501"/>
      <c r="BY112" s="501"/>
      <c r="BZ112" s="501"/>
      <c r="CA112" s="501"/>
      <c r="CB112" s="501"/>
      <c r="CC112" s="501"/>
      <c r="CD112" s="501"/>
      <c r="CE112" s="501"/>
      <c r="CF112" s="501"/>
      <c r="CG112" s="501"/>
      <c r="CH112" s="501"/>
      <c r="CI112" s="501"/>
      <c r="CJ112" s="501"/>
      <c r="CK112" s="501"/>
      <c r="CL112" s="501"/>
      <c r="CM112" s="501"/>
      <c r="CN112" s="501"/>
      <c r="CO112" s="501"/>
      <c r="CP112" s="501"/>
      <c r="CQ112" s="501"/>
      <c r="CR112" s="501"/>
      <c r="CS112" s="501"/>
      <c r="CT112" s="501"/>
    </row>
    <row r="113">
      <c r="A113" s="569"/>
      <c r="B113" s="569"/>
      <c r="C113" s="569"/>
      <c r="D113" s="498"/>
      <c r="E113" s="499"/>
      <c r="F113" s="499"/>
      <c r="G113" s="766"/>
      <c r="H113" s="766"/>
      <c r="I113" s="766"/>
      <c r="J113" s="766"/>
      <c r="K113" s="683"/>
      <c r="L113" s="683"/>
      <c r="M113" s="683"/>
      <c r="N113" s="683"/>
      <c r="O113" s="683"/>
      <c r="P113" s="683"/>
      <c r="Q113" s="683"/>
      <c r="R113" s="683"/>
      <c r="S113" s="683"/>
      <c r="T113" s="501"/>
      <c r="U113" s="501"/>
      <c r="V113" s="501"/>
      <c r="W113" s="501"/>
      <c r="X113" s="501"/>
      <c r="Y113" s="501"/>
      <c r="Z113" s="501"/>
      <c r="AA113" s="501"/>
      <c r="AB113" s="501"/>
      <c r="AC113" s="501"/>
      <c r="AD113" s="501"/>
      <c r="AE113" s="501"/>
      <c r="AF113" s="501"/>
      <c r="AG113" s="501"/>
      <c r="AH113" s="501"/>
      <c r="AI113" s="501"/>
      <c r="AJ113" s="501"/>
      <c r="AK113" s="501"/>
      <c r="AL113" s="501"/>
      <c r="AM113" s="501"/>
      <c r="AN113" s="501"/>
      <c r="AO113" s="501"/>
      <c r="AP113" s="501"/>
      <c r="AQ113" s="501"/>
      <c r="AR113" s="501"/>
      <c r="AS113" s="501"/>
      <c r="AT113" s="501"/>
      <c r="AU113" s="501"/>
      <c r="AV113" s="501"/>
      <c r="AW113" s="501"/>
      <c r="AX113" s="501"/>
      <c r="AY113" s="501"/>
      <c r="AZ113" s="501"/>
      <c r="BA113" s="501"/>
      <c r="BB113" s="501"/>
      <c r="BC113" s="501"/>
      <c r="BD113" s="501"/>
      <c r="BE113" s="501"/>
      <c r="BF113" s="501"/>
      <c r="BG113" s="501"/>
      <c r="BH113" s="501"/>
      <c r="BI113" s="501"/>
      <c r="BJ113" s="501"/>
      <c r="BK113" s="501"/>
      <c r="BL113" s="501"/>
      <c r="BM113" s="501"/>
      <c r="BN113" s="501"/>
      <c r="BO113" s="501"/>
      <c r="BP113" s="501"/>
      <c r="BQ113" s="501"/>
      <c r="BR113" s="501"/>
      <c r="BS113" s="501"/>
      <c r="BT113" s="501"/>
      <c r="BU113" s="501"/>
      <c r="BV113" s="501"/>
      <c r="BW113" s="501"/>
      <c r="BX113" s="501"/>
      <c r="BY113" s="501"/>
      <c r="BZ113" s="501"/>
      <c r="CA113" s="501"/>
      <c r="CB113" s="501"/>
      <c r="CC113" s="501"/>
      <c r="CD113" s="501"/>
      <c r="CE113" s="501"/>
      <c r="CF113" s="501"/>
      <c r="CG113" s="501"/>
      <c r="CH113" s="501"/>
      <c r="CI113" s="501"/>
      <c r="CJ113" s="501"/>
      <c r="CK113" s="501"/>
      <c r="CL113" s="501"/>
      <c r="CM113" s="501"/>
      <c r="CN113" s="501"/>
      <c r="CO113" s="501"/>
      <c r="CP113" s="501"/>
      <c r="CQ113" s="501"/>
      <c r="CR113" s="501"/>
      <c r="CS113" s="501"/>
      <c r="CT113" s="501"/>
    </row>
    <row r="114">
      <c r="A114" s="569"/>
      <c r="B114" s="569"/>
      <c r="C114" s="569"/>
      <c r="D114" s="498"/>
      <c r="E114" s="499"/>
      <c r="F114" s="499"/>
      <c r="G114" s="766"/>
      <c r="H114" s="766"/>
      <c r="I114" s="766"/>
      <c r="J114" s="766"/>
      <c r="K114" s="683"/>
      <c r="L114" s="683"/>
      <c r="M114" s="683"/>
      <c r="N114" s="683"/>
      <c r="O114" s="683"/>
      <c r="P114" s="683"/>
      <c r="Q114" s="683"/>
      <c r="R114" s="683"/>
      <c r="S114" s="683"/>
      <c r="T114" s="501"/>
      <c r="U114" s="501"/>
      <c r="V114" s="501"/>
      <c r="W114" s="501"/>
      <c r="X114" s="501"/>
      <c r="Y114" s="501"/>
      <c r="Z114" s="501"/>
      <c r="AA114" s="501"/>
      <c r="AB114" s="501"/>
      <c r="AC114" s="501"/>
      <c r="AD114" s="501"/>
      <c r="AE114" s="501"/>
      <c r="AF114" s="501"/>
      <c r="AG114" s="501"/>
      <c r="AH114" s="501"/>
      <c r="AI114" s="501"/>
      <c r="AJ114" s="501"/>
      <c r="AK114" s="501"/>
      <c r="AL114" s="501"/>
      <c r="AM114" s="501"/>
      <c r="AN114" s="501"/>
      <c r="AO114" s="501"/>
      <c r="AP114" s="501"/>
      <c r="AQ114" s="501"/>
      <c r="AR114" s="501"/>
      <c r="AS114" s="501"/>
      <c r="AT114" s="501"/>
      <c r="AU114" s="501"/>
      <c r="AV114" s="501"/>
      <c r="AW114" s="501"/>
      <c r="AX114" s="501"/>
      <c r="AY114" s="501"/>
      <c r="AZ114" s="501"/>
      <c r="BA114" s="501"/>
      <c r="BB114" s="501"/>
      <c r="BC114" s="501"/>
      <c r="BD114" s="501"/>
      <c r="BE114" s="501"/>
      <c r="BF114" s="501"/>
      <c r="BG114" s="501"/>
      <c r="BH114" s="501"/>
      <c r="BI114" s="501"/>
      <c r="BJ114" s="501"/>
      <c r="BK114" s="501"/>
      <c r="BL114" s="501"/>
      <c r="BM114" s="501"/>
      <c r="BN114" s="501"/>
      <c r="BO114" s="501"/>
      <c r="BP114" s="501"/>
      <c r="BQ114" s="501"/>
      <c r="BR114" s="501"/>
      <c r="BS114" s="501"/>
      <c r="BT114" s="501"/>
      <c r="BU114" s="501"/>
      <c r="BV114" s="501"/>
      <c r="BW114" s="501"/>
      <c r="BX114" s="501"/>
      <c r="BY114" s="501"/>
      <c r="BZ114" s="501"/>
      <c r="CA114" s="501"/>
      <c r="CB114" s="501"/>
      <c r="CC114" s="501"/>
      <c r="CD114" s="501"/>
      <c r="CE114" s="501"/>
      <c r="CF114" s="501"/>
      <c r="CG114" s="501"/>
      <c r="CH114" s="501"/>
      <c r="CI114" s="501"/>
      <c r="CJ114" s="501"/>
      <c r="CK114" s="501"/>
      <c r="CL114" s="501"/>
      <c r="CM114" s="501"/>
      <c r="CN114" s="501"/>
      <c r="CO114" s="501"/>
      <c r="CP114" s="501"/>
      <c r="CQ114" s="501"/>
      <c r="CR114" s="501"/>
      <c r="CS114" s="501"/>
      <c r="CT114" s="501"/>
    </row>
    <row r="115">
      <c r="A115" s="569"/>
      <c r="B115" s="569"/>
      <c r="C115" s="569"/>
      <c r="D115" s="498"/>
      <c r="E115" s="499"/>
      <c r="F115" s="499"/>
      <c r="G115" s="766"/>
      <c r="H115" s="766"/>
      <c r="I115" s="766"/>
      <c r="J115" s="766"/>
      <c r="K115" s="683"/>
      <c r="L115" s="683"/>
      <c r="M115" s="683"/>
      <c r="N115" s="683"/>
      <c r="O115" s="683"/>
      <c r="P115" s="683"/>
      <c r="Q115" s="683"/>
      <c r="R115" s="683"/>
      <c r="S115" s="683"/>
      <c r="T115" s="501"/>
      <c r="U115" s="501"/>
      <c r="V115" s="501"/>
      <c r="W115" s="501"/>
      <c r="X115" s="501"/>
      <c r="Y115" s="501"/>
      <c r="Z115" s="501"/>
      <c r="AA115" s="501"/>
      <c r="AB115" s="501"/>
      <c r="AC115" s="501"/>
      <c r="AD115" s="501"/>
      <c r="AE115" s="501"/>
      <c r="AF115" s="501"/>
      <c r="AG115" s="501"/>
      <c r="AH115" s="501"/>
      <c r="AI115" s="501"/>
      <c r="AJ115" s="501"/>
      <c r="AK115" s="501"/>
      <c r="AL115" s="501"/>
      <c r="AM115" s="501"/>
      <c r="AN115" s="501"/>
      <c r="AO115" s="501"/>
      <c r="AP115" s="501"/>
      <c r="AQ115" s="501"/>
      <c r="AR115" s="501"/>
      <c r="AS115" s="501"/>
      <c r="AT115" s="501"/>
      <c r="AU115" s="501"/>
      <c r="AV115" s="501"/>
      <c r="AW115" s="501"/>
      <c r="AX115" s="501"/>
      <c r="AY115" s="501"/>
      <c r="AZ115" s="501"/>
      <c r="BA115" s="501"/>
      <c r="BB115" s="501"/>
      <c r="BC115" s="501"/>
      <c r="BD115" s="501"/>
      <c r="BE115" s="501"/>
      <c r="BF115" s="501"/>
      <c r="BG115" s="501"/>
      <c r="BH115" s="501"/>
      <c r="BI115" s="501"/>
      <c r="BJ115" s="501"/>
      <c r="BK115" s="501"/>
      <c r="BL115" s="501"/>
      <c r="BM115" s="501"/>
      <c r="BN115" s="501"/>
      <c r="BO115" s="501"/>
      <c r="BP115" s="501"/>
      <c r="BQ115" s="501"/>
      <c r="BR115" s="501"/>
      <c r="BS115" s="501"/>
      <c r="BT115" s="501"/>
      <c r="BU115" s="501"/>
      <c r="BV115" s="501"/>
      <c r="BW115" s="501"/>
      <c r="BX115" s="501"/>
      <c r="BY115" s="501"/>
      <c r="BZ115" s="501"/>
      <c r="CA115" s="501"/>
      <c r="CB115" s="501"/>
      <c r="CC115" s="501"/>
      <c r="CD115" s="501"/>
      <c r="CE115" s="501"/>
      <c r="CF115" s="501"/>
      <c r="CG115" s="501"/>
      <c r="CH115" s="501"/>
      <c r="CI115" s="501"/>
      <c r="CJ115" s="501"/>
      <c r="CK115" s="501"/>
      <c r="CL115" s="501"/>
      <c r="CM115" s="501"/>
      <c r="CN115" s="501"/>
      <c r="CO115" s="501"/>
      <c r="CP115" s="501"/>
      <c r="CQ115" s="501"/>
      <c r="CR115" s="501"/>
      <c r="CS115" s="501"/>
      <c r="CT115" s="501"/>
    </row>
    <row r="116">
      <c r="A116" s="569"/>
      <c r="B116" s="569"/>
      <c r="C116" s="569"/>
      <c r="D116" s="498"/>
      <c r="E116" s="499"/>
      <c r="F116" s="499"/>
      <c r="G116" s="766"/>
      <c r="H116" s="766"/>
      <c r="I116" s="766"/>
      <c r="J116" s="766"/>
      <c r="K116" s="683"/>
      <c r="L116" s="683"/>
      <c r="M116" s="683"/>
      <c r="N116" s="683"/>
      <c r="O116" s="683"/>
      <c r="P116" s="683"/>
      <c r="Q116" s="683"/>
      <c r="R116" s="683"/>
      <c r="S116" s="683"/>
      <c r="T116" s="501"/>
      <c r="U116" s="501"/>
      <c r="V116" s="501"/>
      <c r="W116" s="501"/>
      <c r="X116" s="501"/>
      <c r="Y116" s="501"/>
      <c r="Z116" s="501"/>
      <c r="AA116" s="501"/>
      <c r="AB116" s="501"/>
      <c r="AC116" s="501"/>
      <c r="AD116" s="501"/>
      <c r="AE116" s="501"/>
      <c r="AF116" s="501"/>
      <c r="AG116" s="501"/>
      <c r="AH116" s="501"/>
      <c r="AI116" s="501"/>
      <c r="AJ116" s="501"/>
      <c r="AK116" s="501"/>
      <c r="AL116" s="501"/>
      <c r="AM116" s="501"/>
      <c r="AN116" s="501"/>
      <c r="AO116" s="501"/>
      <c r="AP116" s="501"/>
      <c r="AQ116" s="501"/>
      <c r="AR116" s="501"/>
      <c r="AS116" s="501"/>
      <c r="AT116" s="501"/>
      <c r="AU116" s="501"/>
      <c r="AV116" s="501"/>
      <c r="AW116" s="501"/>
      <c r="AX116" s="501"/>
      <c r="AY116" s="501"/>
      <c r="AZ116" s="501"/>
      <c r="BA116" s="501"/>
      <c r="BB116" s="501"/>
      <c r="BC116" s="501"/>
      <c r="BD116" s="501"/>
      <c r="BE116" s="501"/>
      <c r="BF116" s="501"/>
      <c r="BG116" s="501"/>
      <c r="BH116" s="501"/>
      <c r="BI116" s="501"/>
      <c r="BJ116" s="501"/>
      <c r="BK116" s="501"/>
      <c r="BL116" s="501"/>
      <c r="BM116" s="501"/>
      <c r="BN116" s="501"/>
      <c r="BO116" s="501"/>
      <c r="BP116" s="501"/>
      <c r="BQ116" s="501"/>
      <c r="BR116" s="501"/>
      <c r="BS116" s="501"/>
      <c r="BT116" s="501"/>
      <c r="BU116" s="501"/>
      <c r="BV116" s="501"/>
      <c r="BW116" s="501"/>
      <c r="BX116" s="501"/>
      <c r="BY116" s="501"/>
      <c r="BZ116" s="501"/>
      <c r="CA116" s="501"/>
      <c r="CB116" s="501"/>
      <c r="CC116" s="501"/>
      <c r="CD116" s="501"/>
      <c r="CE116" s="501"/>
      <c r="CF116" s="501"/>
      <c r="CG116" s="501"/>
      <c r="CH116" s="501"/>
      <c r="CI116" s="501"/>
      <c r="CJ116" s="501"/>
      <c r="CK116" s="501"/>
      <c r="CL116" s="501"/>
      <c r="CM116" s="501"/>
      <c r="CN116" s="501"/>
      <c r="CO116" s="501"/>
      <c r="CP116" s="501"/>
      <c r="CQ116" s="501"/>
      <c r="CR116" s="501"/>
      <c r="CS116" s="501"/>
      <c r="CT116" s="501"/>
    </row>
    <row r="117">
      <c r="A117" s="569"/>
      <c r="B117" s="569"/>
      <c r="C117" s="569"/>
      <c r="D117" s="498"/>
      <c r="E117" s="499"/>
      <c r="F117" s="499"/>
      <c r="G117" s="766"/>
      <c r="H117" s="766"/>
      <c r="I117" s="766"/>
      <c r="J117" s="766"/>
      <c r="K117" s="683"/>
      <c r="L117" s="683"/>
      <c r="M117" s="683"/>
      <c r="N117" s="683"/>
      <c r="O117" s="683"/>
      <c r="P117" s="683"/>
      <c r="Q117" s="683"/>
      <c r="R117" s="683"/>
      <c r="S117" s="683"/>
      <c r="T117" s="501"/>
      <c r="U117" s="501"/>
      <c r="V117" s="501"/>
      <c r="W117" s="501"/>
      <c r="X117" s="501"/>
      <c r="Y117" s="501"/>
      <c r="Z117" s="501"/>
      <c r="AA117" s="501"/>
      <c r="AB117" s="501"/>
      <c r="AC117" s="501"/>
      <c r="AD117" s="501"/>
      <c r="AE117" s="501"/>
      <c r="AF117" s="501"/>
      <c r="AG117" s="501"/>
      <c r="AH117" s="501"/>
      <c r="AI117" s="501"/>
      <c r="AJ117" s="501"/>
      <c r="AK117" s="501"/>
      <c r="AL117" s="501"/>
      <c r="AM117" s="501"/>
      <c r="AN117" s="501"/>
      <c r="AO117" s="501"/>
      <c r="AP117" s="501"/>
      <c r="AQ117" s="501"/>
      <c r="AR117" s="501"/>
      <c r="AS117" s="501"/>
      <c r="AT117" s="501"/>
      <c r="AU117" s="501"/>
      <c r="AV117" s="501"/>
      <c r="AW117" s="501"/>
      <c r="AX117" s="501"/>
      <c r="AY117" s="501"/>
      <c r="AZ117" s="501"/>
      <c r="BA117" s="501"/>
      <c r="BB117" s="501"/>
      <c r="BC117" s="501"/>
      <c r="BD117" s="501"/>
      <c r="BE117" s="501"/>
      <c r="BF117" s="501"/>
      <c r="BG117" s="501"/>
      <c r="BH117" s="501"/>
      <c r="BI117" s="501"/>
      <c r="BJ117" s="501"/>
      <c r="BK117" s="501"/>
      <c r="BL117" s="501"/>
      <c r="BM117" s="501"/>
      <c r="BN117" s="501"/>
      <c r="BO117" s="501"/>
      <c r="BP117" s="501"/>
      <c r="BQ117" s="501"/>
      <c r="BR117" s="501"/>
      <c r="BS117" s="501"/>
      <c r="BT117" s="501"/>
      <c r="BU117" s="501"/>
      <c r="BV117" s="501"/>
      <c r="BW117" s="501"/>
      <c r="BX117" s="501"/>
      <c r="BY117" s="501"/>
      <c r="BZ117" s="501"/>
      <c r="CA117" s="501"/>
      <c r="CB117" s="501"/>
      <c r="CC117" s="501"/>
      <c r="CD117" s="501"/>
      <c r="CE117" s="501"/>
      <c r="CF117" s="501"/>
      <c r="CG117" s="501"/>
      <c r="CH117" s="501"/>
      <c r="CI117" s="501"/>
      <c r="CJ117" s="501"/>
      <c r="CK117" s="501"/>
      <c r="CL117" s="501"/>
      <c r="CM117" s="501"/>
      <c r="CN117" s="501"/>
      <c r="CO117" s="501"/>
      <c r="CP117" s="501"/>
      <c r="CQ117" s="501"/>
      <c r="CR117" s="501"/>
      <c r="CS117" s="501"/>
      <c r="CT117" s="501"/>
    </row>
    <row r="118">
      <c r="A118" s="569"/>
      <c r="B118" s="569"/>
      <c r="C118" s="569"/>
      <c r="D118" s="498"/>
      <c r="E118" s="499"/>
      <c r="F118" s="499"/>
      <c r="G118" s="766"/>
      <c r="H118" s="766"/>
      <c r="I118" s="766"/>
      <c r="J118" s="766"/>
      <c r="K118" s="683"/>
      <c r="L118" s="683"/>
      <c r="M118" s="683"/>
      <c r="N118" s="683"/>
      <c r="O118" s="683"/>
      <c r="P118" s="683"/>
      <c r="Q118" s="683"/>
      <c r="R118" s="683"/>
      <c r="S118" s="683"/>
      <c r="T118" s="501"/>
      <c r="U118" s="501"/>
      <c r="V118" s="501"/>
      <c r="W118" s="501"/>
      <c r="X118" s="501"/>
      <c r="Y118" s="501"/>
      <c r="Z118" s="501"/>
      <c r="AA118" s="501"/>
      <c r="AB118" s="501"/>
      <c r="AC118" s="501"/>
      <c r="AD118" s="501"/>
      <c r="AE118" s="501"/>
      <c r="AF118" s="501"/>
      <c r="AG118" s="501"/>
      <c r="AH118" s="501"/>
      <c r="AI118" s="501"/>
      <c r="AJ118" s="501"/>
      <c r="AK118" s="501"/>
      <c r="AL118" s="501"/>
      <c r="AM118" s="501"/>
      <c r="AN118" s="501"/>
      <c r="AO118" s="501"/>
      <c r="AP118" s="501"/>
      <c r="AQ118" s="501"/>
      <c r="AR118" s="501"/>
      <c r="AS118" s="501"/>
      <c r="AT118" s="501"/>
      <c r="AU118" s="501"/>
      <c r="AV118" s="501"/>
      <c r="AW118" s="501"/>
      <c r="AX118" s="501"/>
      <c r="AY118" s="501"/>
      <c r="AZ118" s="501"/>
      <c r="BA118" s="501"/>
      <c r="BB118" s="501"/>
      <c r="BC118" s="501"/>
      <c r="BD118" s="501"/>
      <c r="BE118" s="501"/>
      <c r="BF118" s="501"/>
      <c r="BG118" s="501"/>
      <c r="BH118" s="501"/>
      <c r="BI118" s="501"/>
      <c r="BJ118" s="501"/>
      <c r="BK118" s="501"/>
      <c r="BL118" s="501"/>
      <c r="BM118" s="501"/>
      <c r="BN118" s="501"/>
      <c r="BO118" s="501"/>
      <c r="BP118" s="501"/>
      <c r="BQ118" s="501"/>
      <c r="BR118" s="501"/>
      <c r="BS118" s="501"/>
      <c r="BT118" s="501"/>
      <c r="BU118" s="501"/>
      <c r="BV118" s="501"/>
      <c r="BW118" s="501"/>
      <c r="BX118" s="501"/>
      <c r="BY118" s="501"/>
      <c r="BZ118" s="501"/>
      <c r="CA118" s="501"/>
      <c r="CB118" s="501"/>
      <c r="CC118" s="501"/>
      <c r="CD118" s="501"/>
      <c r="CE118" s="501"/>
      <c r="CF118" s="501"/>
      <c r="CG118" s="501"/>
      <c r="CH118" s="501"/>
      <c r="CI118" s="501"/>
      <c r="CJ118" s="501"/>
      <c r="CK118" s="501"/>
      <c r="CL118" s="501"/>
      <c r="CM118" s="501"/>
      <c r="CN118" s="501"/>
      <c r="CO118" s="501"/>
      <c r="CP118" s="501"/>
      <c r="CQ118" s="501"/>
      <c r="CR118" s="501"/>
      <c r="CS118" s="501"/>
      <c r="CT118" s="501"/>
    </row>
    <row r="119">
      <c r="A119" s="569"/>
      <c r="B119" s="569"/>
      <c r="C119" s="569"/>
      <c r="D119" s="498"/>
      <c r="E119" s="499"/>
      <c r="F119" s="499"/>
      <c r="G119" s="766"/>
      <c r="H119" s="766"/>
      <c r="I119" s="766"/>
      <c r="J119" s="766"/>
      <c r="K119" s="683"/>
      <c r="L119" s="683"/>
      <c r="M119" s="683"/>
      <c r="N119" s="683"/>
      <c r="O119" s="683"/>
      <c r="P119" s="683"/>
      <c r="Q119" s="683"/>
      <c r="R119" s="683"/>
      <c r="S119" s="683"/>
      <c r="T119" s="501"/>
      <c r="U119" s="501"/>
      <c r="V119" s="501"/>
      <c r="W119" s="501"/>
      <c r="X119" s="501"/>
      <c r="Y119" s="501"/>
      <c r="Z119" s="501"/>
      <c r="AA119" s="501"/>
      <c r="AB119" s="501"/>
      <c r="AC119" s="501"/>
      <c r="AD119" s="501"/>
      <c r="AE119" s="501"/>
      <c r="AF119" s="501"/>
      <c r="AG119" s="501"/>
      <c r="AH119" s="501"/>
      <c r="AI119" s="501"/>
      <c r="AJ119" s="501"/>
      <c r="AK119" s="501"/>
      <c r="AL119" s="501"/>
      <c r="AM119" s="501"/>
      <c r="AN119" s="501"/>
      <c r="AO119" s="501"/>
      <c r="AP119" s="501"/>
      <c r="AQ119" s="501"/>
      <c r="AR119" s="501"/>
      <c r="AS119" s="501"/>
      <c r="AT119" s="501"/>
      <c r="AU119" s="501"/>
      <c r="AV119" s="501"/>
      <c r="AW119" s="501"/>
      <c r="AX119" s="501"/>
      <c r="AY119" s="501"/>
      <c r="AZ119" s="501"/>
      <c r="BA119" s="501"/>
      <c r="BB119" s="501"/>
      <c r="BC119" s="501"/>
      <c r="BD119" s="501"/>
      <c r="BE119" s="501"/>
      <c r="BF119" s="501"/>
      <c r="BG119" s="501"/>
      <c r="BH119" s="501"/>
      <c r="BI119" s="501"/>
      <c r="BJ119" s="501"/>
      <c r="BK119" s="501"/>
      <c r="BL119" s="501"/>
      <c r="BM119" s="501"/>
      <c r="BN119" s="501"/>
      <c r="BO119" s="501"/>
      <c r="BP119" s="501"/>
      <c r="BQ119" s="501"/>
      <c r="BR119" s="501"/>
      <c r="BS119" s="501"/>
      <c r="BT119" s="501"/>
      <c r="BU119" s="501"/>
      <c r="BV119" s="501"/>
      <c r="BW119" s="501"/>
      <c r="BX119" s="501"/>
      <c r="BY119" s="501"/>
      <c r="BZ119" s="501"/>
      <c r="CA119" s="501"/>
      <c r="CB119" s="501"/>
      <c r="CC119" s="501"/>
      <c r="CD119" s="501"/>
      <c r="CE119" s="501"/>
      <c r="CF119" s="501"/>
      <c r="CG119" s="501"/>
      <c r="CH119" s="501"/>
      <c r="CI119" s="501"/>
      <c r="CJ119" s="501"/>
      <c r="CK119" s="501"/>
      <c r="CL119" s="501"/>
      <c r="CM119" s="501"/>
      <c r="CN119" s="501"/>
      <c r="CO119" s="501"/>
      <c r="CP119" s="501"/>
      <c r="CQ119" s="501"/>
      <c r="CR119" s="501"/>
      <c r="CS119" s="501"/>
      <c r="CT119" s="501"/>
    </row>
    <row r="120">
      <c r="A120" s="569"/>
      <c r="B120" s="569"/>
      <c r="C120" s="569"/>
      <c r="D120" s="498"/>
      <c r="E120" s="499"/>
      <c r="F120" s="499"/>
      <c r="G120" s="766"/>
      <c r="H120" s="766"/>
      <c r="I120" s="766"/>
      <c r="J120" s="766"/>
      <c r="K120" s="683"/>
      <c r="L120" s="683"/>
      <c r="M120" s="683"/>
      <c r="N120" s="683"/>
      <c r="O120" s="683"/>
      <c r="P120" s="683"/>
      <c r="Q120" s="683"/>
      <c r="R120" s="683"/>
      <c r="S120" s="683"/>
      <c r="T120" s="501"/>
      <c r="U120" s="501"/>
      <c r="V120" s="501"/>
      <c r="W120" s="501"/>
      <c r="X120" s="501"/>
      <c r="Y120" s="501"/>
      <c r="Z120" s="501"/>
      <c r="AA120" s="501"/>
      <c r="AB120" s="501"/>
      <c r="AC120" s="501"/>
      <c r="AD120" s="501"/>
      <c r="AE120" s="501"/>
      <c r="AF120" s="501"/>
      <c r="AG120" s="501"/>
      <c r="AH120" s="501"/>
      <c r="AI120" s="501"/>
      <c r="AJ120" s="501"/>
      <c r="AK120" s="501"/>
      <c r="AL120" s="501"/>
      <c r="AM120" s="501"/>
      <c r="AN120" s="501"/>
      <c r="AO120" s="501"/>
      <c r="AP120" s="501"/>
      <c r="AQ120" s="501"/>
      <c r="AR120" s="501"/>
      <c r="AS120" s="501"/>
      <c r="AT120" s="501"/>
      <c r="AU120" s="501"/>
      <c r="AV120" s="501"/>
      <c r="AW120" s="501"/>
      <c r="AX120" s="501"/>
      <c r="AY120" s="501"/>
      <c r="AZ120" s="501"/>
      <c r="BA120" s="501"/>
      <c r="BB120" s="501"/>
      <c r="BC120" s="501"/>
      <c r="BD120" s="501"/>
      <c r="BE120" s="501"/>
      <c r="BF120" s="501"/>
      <c r="BG120" s="501"/>
      <c r="BH120" s="501"/>
      <c r="BI120" s="501"/>
      <c r="BJ120" s="501"/>
      <c r="BK120" s="501"/>
      <c r="BL120" s="501"/>
      <c r="BM120" s="501"/>
      <c r="BN120" s="501"/>
      <c r="BO120" s="501"/>
      <c r="BP120" s="501"/>
      <c r="BQ120" s="501"/>
      <c r="BR120" s="501"/>
      <c r="BS120" s="501"/>
      <c r="BT120" s="501"/>
      <c r="BU120" s="501"/>
      <c r="BV120" s="501"/>
      <c r="BW120" s="501"/>
      <c r="BX120" s="501"/>
      <c r="BY120" s="501"/>
      <c r="BZ120" s="501"/>
      <c r="CA120" s="501"/>
      <c r="CB120" s="501"/>
      <c r="CC120" s="501"/>
      <c r="CD120" s="501"/>
      <c r="CE120" s="501"/>
      <c r="CF120" s="501"/>
      <c r="CG120" s="501"/>
      <c r="CH120" s="501"/>
      <c r="CI120" s="501"/>
      <c r="CJ120" s="501"/>
      <c r="CK120" s="501"/>
      <c r="CL120" s="501"/>
      <c r="CM120" s="501"/>
      <c r="CN120" s="501"/>
      <c r="CO120" s="501"/>
      <c r="CP120" s="501"/>
      <c r="CQ120" s="501"/>
      <c r="CR120" s="501"/>
      <c r="CS120" s="501"/>
      <c r="CT120" s="501"/>
    </row>
    <row r="121">
      <c r="A121" s="569"/>
      <c r="B121" s="569"/>
      <c r="C121" s="569"/>
      <c r="D121" s="498"/>
      <c r="E121" s="499"/>
      <c r="F121" s="499"/>
      <c r="G121" s="766"/>
      <c r="H121" s="766"/>
      <c r="I121" s="766"/>
      <c r="J121" s="766"/>
      <c r="K121" s="683"/>
      <c r="L121" s="683"/>
      <c r="M121" s="683"/>
      <c r="N121" s="683"/>
      <c r="O121" s="683"/>
      <c r="P121" s="683"/>
      <c r="Q121" s="683"/>
      <c r="R121" s="683"/>
      <c r="S121" s="683"/>
      <c r="T121" s="501"/>
      <c r="U121" s="501"/>
      <c r="V121" s="501"/>
      <c r="W121" s="501"/>
      <c r="X121" s="501"/>
      <c r="Y121" s="501"/>
      <c r="Z121" s="501"/>
      <c r="AA121" s="501"/>
      <c r="AB121" s="501"/>
      <c r="AC121" s="501"/>
      <c r="AD121" s="501"/>
      <c r="AE121" s="501"/>
      <c r="AF121" s="501"/>
      <c r="AG121" s="501"/>
      <c r="AH121" s="501"/>
      <c r="AI121" s="501"/>
      <c r="AJ121" s="501"/>
      <c r="AK121" s="501"/>
      <c r="AL121" s="501"/>
      <c r="AM121" s="501"/>
      <c r="AN121" s="501"/>
      <c r="AO121" s="501"/>
      <c r="AP121" s="501"/>
      <c r="AQ121" s="501"/>
      <c r="AR121" s="501"/>
      <c r="AS121" s="501"/>
      <c r="AT121" s="501"/>
      <c r="AU121" s="501"/>
      <c r="AV121" s="501"/>
      <c r="AW121" s="501"/>
      <c r="AX121" s="501"/>
      <c r="AY121" s="501"/>
      <c r="AZ121" s="501"/>
      <c r="BA121" s="501"/>
      <c r="BB121" s="501"/>
      <c r="BC121" s="501"/>
      <c r="BD121" s="501"/>
      <c r="BE121" s="501"/>
      <c r="BF121" s="501"/>
      <c r="BG121" s="501"/>
      <c r="BH121" s="501"/>
      <c r="BI121" s="501"/>
      <c r="BJ121" s="501"/>
      <c r="BK121" s="501"/>
      <c r="BL121" s="501"/>
      <c r="BM121" s="501"/>
      <c r="BN121" s="501"/>
      <c r="BO121" s="501"/>
      <c r="BP121" s="501"/>
      <c r="BQ121" s="501"/>
      <c r="BR121" s="501"/>
      <c r="BS121" s="501"/>
      <c r="BT121" s="501"/>
      <c r="BU121" s="501"/>
      <c r="BV121" s="501"/>
      <c r="BW121" s="501"/>
      <c r="BX121" s="501"/>
      <c r="BY121" s="501"/>
      <c r="BZ121" s="501"/>
      <c r="CA121" s="501"/>
      <c r="CB121" s="501"/>
      <c r="CC121" s="501"/>
      <c r="CD121" s="501"/>
      <c r="CE121" s="501"/>
      <c r="CF121" s="501"/>
      <c r="CG121" s="501"/>
      <c r="CH121" s="501"/>
      <c r="CI121" s="501"/>
      <c r="CJ121" s="501"/>
      <c r="CK121" s="501"/>
      <c r="CL121" s="501"/>
      <c r="CM121" s="501"/>
      <c r="CN121" s="501"/>
      <c r="CO121" s="501"/>
      <c r="CP121" s="501"/>
      <c r="CQ121" s="501"/>
      <c r="CR121" s="501"/>
      <c r="CS121" s="501"/>
      <c r="CT121" s="501"/>
    </row>
    <row r="122">
      <c r="A122" s="569"/>
      <c r="B122" s="569"/>
      <c r="C122" s="569"/>
      <c r="D122" s="498"/>
      <c r="E122" s="499"/>
      <c r="F122" s="499"/>
      <c r="G122" s="766"/>
      <c r="H122" s="766"/>
      <c r="I122" s="766"/>
      <c r="J122" s="766"/>
      <c r="K122" s="683"/>
      <c r="L122" s="683"/>
      <c r="M122" s="683"/>
      <c r="N122" s="683"/>
      <c r="O122" s="683"/>
      <c r="P122" s="683"/>
      <c r="Q122" s="683"/>
      <c r="R122" s="683"/>
      <c r="S122" s="683"/>
      <c r="T122" s="501"/>
      <c r="U122" s="501"/>
      <c r="V122" s="501"/>
      <c r="W122" s="501"/>
      <c r="X122" s="501"/>
      <c r="Y122" s="501"/>
      <c r="Z122" s="501"/>
      <c r="AA122" s="501"/>
      <c r="AB122" s="501"/>
      <c r="AC122" s="501"/>
      <c r="AD122" s="501"/>
      <c r="AE122" s="501"/>
      <c r="AF122" s="501"/>
      <c r="AG122" s="501"/>
      <c r="AH122" s="501"/>
      <c r="AI122" s="501"/>
      <c r="AJ122" s="501"/>
      <c r="AK122" s="501"/>
      <c r="AL122" s="501"/>
      <c r="AM122" s="501"/>
      <c r="AN122" s="501"/>
      <c r="AO122" s="501"/>
      <c r="AP122" s="501"/>
      <c r="AQ122" s="501"/>
      <c r="AR122" s="501"/>
      <c r="AS122" s="501"/>
      <c r="AT122" s="501"/>
      <c r="AU122" s="501"/>
      <c r="AV122" s="501"/>
      <c r="AW122" s="501"/>
      <c r="AX122" s="501"/>
      <c r="AY122" s="501"/>
      <c r="AZ122" s="501"/>
      <c r="BA122" s="501"/>
      <c r="BB122" s="501"/>
      <c r="BC122" s="501"/>
      <c r="BD122" s="501"/>
      <c r="BE122" s="501"/>
      <c r="BF122" s="501"/>
      <c r="BG122" s="501"/>
      <c r="BH122" s="501"/>
      <c r="BI122" s="501"/>
      <c r="BJ122" s="501"/>
      <c r="BK122" s="501"/>
      <c r="BL122" s="501"/>
      <c r="BM122" s="501"/>
      <c r="BN122" s="501"/>
      <c r="BO122" s="501"/>
      <c r="BP122" s="501"/>
      <c r="BQ122" s="501"/>
      <c r="BR122" s="501"/>
      <c r="BS122" s="501"/>
      <c r="BT122" s="501"/>
      <c r="BU122" s="501"/>
      <c r="BV122" s="501"/>
      <c r="BW122" s="501"/>
      <c r="BX122" s="501"/>
      <c r="BY122" s="501"/>
      <c r="BZ122" s="501"/>
      <c r="CA122" s="501"/>
      <c r="CB122" s="501"/>
      <c r="CC122" s="501"/>
      <c r="CD122" s="501"/>
      <c r="CE122" s="501"/>
      <c r="CF122" s="501"/>
      <c r="CG122" s="501"/>
      <c r="CH122" s="501"/>
      <c r="CI122" s="501"/>
      <c r="CJ122" s="501"/>
      <c r="CK122" s="501"/>
      <c r="CL122" s="501"/>
      <c r="CM122" s="501"/>
      <c r="CN122" s="501"/>
      <c r="CO122" s="501"/>
      <c r="CP122" s="501"/>
      <c r="CQ122" s="501"/>
      <c r="CR122" s="501"/>
      <c r="CS122" s="501"/>
      <c r="CT122" s="501"/>
    </row>
    <row r="123">
      <c r="A123" s="569"/>
      <c r="B123" s="569"/>
      <c r="C123" s="569"/>
      <c r="D123" s="498"/>
      <c r="E123" s="499"/>
      <c r="F123" s="499"/>
      <c r="G123" s="766"/>
      <c r="H123" s="766"/>
      <c r="I123" s="766"/>
      <c r="J123" s="766"/>
      <c r="K123" s="683"/>
      <c r="L123" s="683"/>
      <c r="M123" s="683"/>
      <c r="N123" s="683"/>
      <c r="O123" s="683"/>
      <c r="P123" s="683"/>
      <c r="Q123" s="683"/>
      <c r="R123" s="683"/>
      <c r="S123" s="683"/>
      <c r="T123" s="501"/>
      <c r="U123" s="501"/>
      <c r="V123" s="501"/>
      <c r="W123" s="501"/>
      <c r="X123" s="501"/>
      <c r="Y123" s="501"/>
      <c r="Z123" s="501"/>
      <c r="AA123" s="501"/>
      <c r="AB123" s="501"/>
      <c r="AC123" s="501"/>
      <c r="AD123" s="501"/>
      <c r="AE123" s="501"/>
      <c r="AF123" s="501"/>
      <c r="AG123" s="501"/>
      <c r="AH123" s="501"/>
      <c r="AI123" s="501"/>
      <c r="AJ123" s="501"/>
      <c r="AK123" s="501"/>
      <c r="AL123" s="501"/>
      <c r="AM123" s="501"/>
      <c r="AN123" s="501"/>
      <c r="AO123" s="501"/>
      <c r="AP123" s="501"/>
      <c r="AQ123" s="501"/>
      <c r="AR123" s="501"/>
      <c r="AS123" s="501"/>
      <c r="AT123" s="501"/>
      <c r="AU123" s="501"/>
      <c r="AV123" s="501"/>
      <c r="AW123" s="501"/>
      <c r="AX123" s="501"/>
      <c r="AY123" s="501"/>
      <c r="AZ123" s="501"/>
      <c r="BA123" s="501"/>
      <c r="BB123" s="501"/>
      <c r="BC123" s="501"/>
      <c r="BD123" s="501"/>
      <c r="BE123" s="501"/>
      <c r="BF123" s="501"/>
      <c r="BG123" s="501"/>
      <c r="BH123" s="501"/>
      <c r="BI123" s="501"/>
      <c r="BJ123" s="501"/>
      <c r="BK123" s="501"/>
      <c r="BL123" s="501"/>
      <c r="BM123" s="501"/>
      <c r="BN123" s="501"/>
      <c r="BO123" s="501"/>
      <c r="BP123" s="501"/>
      <c r="BQ123" s="501"/>
      <c r="BR123" s="501"/>
      <c r="BS123" s="501"/>
      <c r="BT123" s="501"/>
      <c r="BU123" s="501"/>
      <c r="BV123" s="501"/>
      <c r="BW123" s="501"/>
      <c r="BX123" s="501"/>
      <c r="BY123" s="501"/>
      <c r="BZ123" s="501"/>
      <c r="CA123" s="501"/>
      <c r="CB123" s="501"/>
      <c r="CC123" s="501"/>
      <c r="CD123" s="501"/>
      <c r="CE123" s="501"/>
      <c r="CF123" s="501"/>
      <c r="CG123" s="501"/>
      <c r="CH123" s="501"/>
      <c r="CI123" s="501"/>
      <c r="CJ123" s="501"/>
      <c r="CK123" s="501"/>
      <c r="CL123" s="501"/>
      <c r="CM123" s="501"/>
      <c r="CN123" s="501"/>
      <c r="CO123" s="501"/>
      <c r="CP123" s="501"/>
      <c r="CQ123" s="501"/>
      <c r="CR123" s="501"/>
      <c r="CS123" s="501"/>
      <c r="CT123" s="501"/>
    </row>
    <row r="124">
      <c r="A124" s="569"/>
      <c r="B124" s="569"/>
      <c r="C124" s="569"/>
      <c r="D124" s="498"/>
      <c r="E124" s="499"/>
      <c r="F124" s="499"/>
      <c r="G124" s="766"/>
      <c r="H124" s="766"/>
      <c r="I124" s="766"/>
      <c r="J124" s="766"/>
      <c r="K124" s="683"/>
      <c r="L124" s="683"/>
      <c r="M124" s="683"/>
      <c r="N124" s="683"/>
      <c r="O124" s="683"/>
      <c r="P124" s="683"/>
      <c r="Q124" s="683"/>
      <c r="R124" s="683"/>
      <c r="S124" s="683"/>
      <c r="T124" s="501"/>
      <c r="U124" s="501"/>
      <c r="V124" s="501"/>
      <c r="W124" s="501"/>
      <c r="X124" s="501"/>
      <c r="Y124" s="501"/>
      <c r="Z124" s="501"/>
      <c r="AA124" s="501"/>
      <c r="AB124" s="501"/>
      <c r="AC124" s="501"/>
      <c r="AD124" s="501"/>
      <c r="AE124" s="501"/>
      <c r="AF124" s="501"/>
      <c r="AG124" s="501"/>
      <c r="AH124" s="501"/>
      <c r="AI124" s="501"/>
      <c r="AJ124" s="501"/>
      <c r="AK124" s="501"/>
      <c r="AL124" s="501"/>
      <c r="AM124" s="501"/>
      <c r="AN124" s="501"/>
      <c r="AO124" s="501"/>
      <c r="AP124" s="501"/>
      <c r="AQ124" s="501"/>
      <c r="AR124" s="501"/>
      <c r="AS124" s="501"/>
      <c r="AT124" s="501"/>
      <c r="AU124" s="501"/>
      <c r="AV124" s="501"/>
      <c r="AW124" s="501"/>
      <c r="AX124" s="501"/>
      <c r="AY124" s="501"/>
      <c r="AZ124" s="501"/>
      <c r="BA124" s="501"/>
      <c r="BB124" s="501"/>
      <c r="BC124" s="501"/>
      <c r="BD124" s="501"/>
      <c r="BE124" s="501"/>
      <c r="BF124" s="501"/>
      <c r="BG124" s="501"/>
      <c r="BH124" s="501"/>
      <c r="BI124" s="501"/>
      <c r="BJ124" s="501"/>
      <c r="BK124" s="501"/>
      <c r="BL124" s="501"/>
      <c r="BM124" s="501"/>
      <c r="BN124" s="501"/>
      <c r="BO124" s="501"/>
      <c r="BP124" s="501"/>
      <c r="BQ124" s="501"/>
      <c r="BR124" s="501"/>
      <c r="BS124" s="501"/>
      <c r="BT124" s="501"/>
      <c r="BU124" s="501"/>
      <c r="BV124" s="501"/>
      <c r="BW124" s="501"/>
      <c r="BX124" s="501"/>
      <c r="BY124" s="501"/>
      <c r="BZ124" s="501"/>
      <c r="CA124" s="501"/>
      <c r="CB124" s="501"/>
      <c r="CC124" s="501"/>
      <c r="CD124" s="501"/>
      <c r="CE124" s="501"/>
      <c r="CF124" s="501"/>
      <c r="CG124" s="501"/>
      <c r="CH124" s="501"/>
      <c r="CI124" s="501"/>
      <c r="CJ124" s="501"/>
      <c r="CK124" s="501"/>
      <c r="CL124" s="501"/>
      <c r="CM124" s="501"/>
      <c r="CN124" s="501"/>
      <c r="CO124" s="501"/>
      <c r="CP124" s="501"/>
      <c r="CQ124" s="501"/>
      <c r="CR124" s="501"/>
      <c r="CS124" s="501"/>
      <c r="CT124" s="501"/>
    </row>
    <row r="125">
      <c r="A125" s="569"/>
      <c r="B125" s="569"/>
      <c r="C125" s="569"/>
      <c r="D125" s="498"/>
      <c r="E125" s="499"/>
      <c r="F125" s="499"/>
      <c r="G125" s="766"/>
      <c r="H125" s="766"/>
      <c r="I125" s="766"/>
      <c r="J125" s="766"/>
      <c r="K125" s="683"/>
      <c r="L125" s="683"/>
      <c r="M125" s="683"/>
      <c r="N125" s="683"/>
      <c r="O125" s="683"/>
      <c r="P125" s="683"/>
      <c r="Q125" s="683"/>
      <c r="R125" s="683"/>
      <c r="S125" s="683"/>
      <c r="T125" s="501"/>
      <c r="U125" s="501"/>
      <c r="V125" s="501"/>
      <c r="W125" s="501"/>
      <c r="X125" s="501"/>
      <c r="Y125" s="501"/>
      <c r="Z125" s="501"/>
      <c r="AA125" s="501"/>
      <c r="AB125" s="501"/>
      <c r="AC125" s="501"/>
      <c r="AD125" s="501"/>
      <c r="AE125" s="501"/>
      <c r="AF125" s="501"/>
      <c r="AG125" s="501"/>
      <c r="AH125" s="501"/>
      <c r="AI125" s="501"/>
      <c r="AJ125" s="501"/>
      <c r="AK125" s="501"/>
      <c r="AL125" s="501"/>
      <c r="AM125" s="501"/>
      <c r="AN125" s="501"/>
      <c r="AO125" s="501"/>
      <c r="AP125" s="501"/>
      <c r="AQ125" s="501"/>
      <c r="AR125" s="501"/>
      <c r="AS125" s="501"/>
      <c r="AT125" s="501"/>
      <c r="AU125" s="501"/>
      <c r="AV125" s="501"/>
      <c r="AW125" s="501"/>
      <c r="AX125" s="501"/>
      <c r="AY125" s="501"/>
      <c r="AZ125" s="501"/>
      <c r="BA125" s="501"/>
      <c r="BB125" s="501"/>
      <c r="BC125" s="501"/>
      <c r="BD125" s="501"/>
      <c r="BE125" s="501"/>
      <c r="BF125" s="501"/>
      <c r="BG125" s="501"/>
      <c r="BH125" s="501"/>
      <c r="BI125" s="501"/>
      <c r="BJ125" s="501"/>
      <c r="BK125" s="501"/>
      <c r="BL125" s="501"/>
      <c r="BM125" s="501"/>
      <c r="BN125" s="501"/>
      <c r="BO125" s="501"/>
      <c r="BP125" s="501"/>
      <c r="BQ125" s="501"/>
      <c r="BR125" s="501"/>
      <c r="BS125" s="501"/>
      <c r="BT125" s="501"/>
      <c r="BU125" s="501"/>
      <c r="BV125" s="501"/>
      <c r="BW125" s="501"/>
      <c r="BX125" s="501"/>
      <c r="BY125" s="501"/>
      <c r="BZ125" s="501"/>
      <c r="CA125" s="501"/>
      <c r="CB125" s="501"/>
      <c r="CC125" s="501"/>
      <c r="CD125" s="501"/>
      <c r="CE125" s="501"/>
      <c r="CF125" s="501"/>
      <c r="CG125" s="501"/>
      <c r="CH125" s="501"/>
      <c r="CI125" s="501"/>
      <c r="CJ125" s="501"/>
      <c r="CK125" s="501"/>
      <c r="CL125" s="501"/>
      <c r="CM125" s="501"/>
      <c r="CN125" s="501"/>
      <c r="CO125" s="501"/>
      <c r="CP125" s="501"/>
      <c r="CQ125" s="501"/>
      <c r="CR125" s="501"/>
      <c r="CS125" s="501"/>
      <c r="CT125" s="501"/>
    </row>
    <row r="126">
      <c r="A126" s="569"/>
      <c r="B126" s="569"/>
      <c r="C126" s="569"/>
      <c r="D126" s="498"/>
      <c r="E126" s="499"/>
      <c r="F126" s="499"/>
      <c r="G126" s="766"/>
      <c r="H126" s="766"/>
      <c r="I126" s="766"/>
      <c r="J126" s="766"/>
      <c r="K126" s="683"/>
      <c r="L126" s="683"/>
      <c r="M126" s="683"/>
      <c r="N126" s="683"/>
      <c r="O126" s="683"/>
      <c r="P126" s="683"/>
      <c r="Q126" s="683"/>
      <c r="R126" s="683"/>
      <c r="S126" s="683"/>
      <c r="T126" s="501"/>
      <c r="U126" s="501"/>
      <c r="V126" s="501"/>
      <c r="W126" s="501"/>
      <c r="X126" s="501"/>
      <c r="Y126" s="501"/>
      <c r="Z126" s="501"/>
      <c r="AA126" s="501"/>
      <c r="AB126" s="501"/>
      <c r="AC126" s="501"/>
      <c r="AD126" s="501"/>
      <c r="AE126" s="501"/>
      <c r="AF126" s="501"/>
      <c r="AG126" s="501"/>
      <c r="AH126" s="501"/>
      <c r="AI126" s="501"/>
      <c r="AJ126" s="501"/>
      <c r="AK126" s="501"/>
      <c r="AL126" s="501"/>
      <c r="AM126" s="501"/>
      <c r="AN126" s="501"/>
      <c r="AO126" s="501"/>
      <c r="AP126" s="501"/>
      <c r="AQ126" s="501"/>
      <c r="AR126" s="501"/>
      <c r="AS126" s="501"/>
      <c r="AT126" s="501"/>
      <c r="AU126" s="501"/>
      <c r="AV126" s="501"/>
      <c r="AW126" s="501"/>
      <c r="AX126" s="501"/>
      <c r="AY126" s="501"/>
      <c r="AZ126" s="501"/>
      <c r="BA126" s="501"/>
      <c r="BB126" s="501"/>
      <c r="BC126" s="501"/>
      <c r="BD126" s="501"/>
      <c r="BE126" s="501"/>
      <c r="BF126" s="501"/>
      <c r="BG126" s="501"/>
      <c r="BH126" s="501"/>
      <c r="BI126" s="501"/>
      <c r="BJ126" s="501"/>
      <c r="BK126" s="501"/>
      <c r="BL126" s="501"/>
      <c r="BM126" s="501"/>
      <c r="BN126" s="501"/>
      <c r="BO126" s="501"/>
      <c r="BP126" s="501"/>
      <c r="BQ126" s="501"/>
      <c r="BR126" s="501"/>
      <c r="BS126" s="501"/>
      <c r="BT126" s="501"/>
      <c r="BU126" s="501"/>
      <c r="BV126" s="501"/>
      <c r="BW126" s="501"/>
      <c r="BX126" s="501"/>
      <c r="BY126" s="501"/>
      <c r="BZ126" s="501"/>
      <c r="CA126" s="501"/>
      <c r="CB126" s="501"/>
      <c r="CC126" s="501"/>
      <c r="CD126" s="501"/>
      <c r="CE126" s="501"/>
      <c r="CF126" s="501"/>
      <c r="CG126" s="501"/>
      <c r="CH126" s="501"/>
      <c r="CI126" s="501"/>
      <c r="CJ126" s="501"/>
      <c r="CK126" s="501"/>
      <c r="CL126" s="501"/>
      <c r="CM126" s="501"/>
      <c r="CN126" s="501"/>
      <c r="CO126" s="501"/>
      <c r="CP126" s="501"/>
      <c r="CQ126" s="501"/>
      <c r="CR126" s="501"/>
      <c r="CS126" s="501"/>
      <c r="CT126" s="501"/>
    </row>
    <row r="127">
      <c r="A127" s="569"/>
      <c r="B127" s="569"/>
      <c r="C127" s="569"/>
      <c r="D127" s="498"/>
      <c r="E127" s="499"/>
      <c r="F127" s="499"/>
      <c r="G127" s="766"/>
      <c r="H127" s="766"/>
      <c r="I127" s="766"/>
      <c r="J127" s="766"/>
      <c r="K127" s="683"/>
      <c r="L127" s="683"/>
      <c r="M127" s="683"/>
      <c r="N127" s="683"/>
      <c r="O127" s="683"/>
      <c r="P127" s="683"/>
      <c r="Q127" s="683"/>
      <c r="R127" s="683"/>
      <c r="S127" s="683"/>
      <c r="T127" s="501"/>
      <c r="U127" s="501"/>
      <c r="V127" s="501"/>
      <c r="W127" s="501"/>
      <c r="X127" s="501"/>
      <c r="Y127" s="501"/>
      <c r="Z127" s="501"/>
      <c r="AA127" s="501"/>
      <c r="AB127" s="501"/>
      <c r="AC127" s="501"/>
      <c r="AD127" s="501"/>
      <c r="AE127" s="501"/>
      <c r="AF127" s="501"/>
      <c r="AG127" s="501"/>
      <c r="AH127" s="501"/>
      <c r="AI127" s="501"/>
      <c r="AJ127" s="501"/>
      <c r="AK127" s="501"/>
      <c r="AL127" s="501"/>
      <c r="AM127" s="501"/>
      <c r="AN127" s="501"/>
      <c r="AO127" s="501"/>
      <c r="AP127" s="501"/>
      <c r="AQ127" s="501"/>
      <c r="AR127" s="501"/>
      <c r="AS127" s="501"/>
      <c r="AT127" s="501"/>
      <c r="AU127" s="501"/>
      <c r="AV127" s="501"/>
      <c r="AW127" s="501"/>
      <c r="AX127" s="501"/>
      <c r="AY127" s="501"/>
      <c r="AZ127" s="501"/>
      <c r="BA127" s="501"/>
      <c r="BB127" s="501"/>
      <c r="BC127" s="501"/>
      <c r="BD127" s="501"/>
      <c r="BE127" s="501"/>
      <c r="BF127" s="501"/>
      <c r="BG127" s="501"/>
      <c r="BH127" s="501"/>
      <c r="BI127" s="501"/>
      <c r="BJ127" s="501"/>
      <c r="BK127" s="501"/>
      <c r="BL127" s="501"/>
      <c r="BM127" s="501"/>
      <c r="BN127" s="501"/>
      <c r="BO127" s="501"/>
      <c r="BP127" s="501"/>
      <c r="BQ127" s="501"/>
      <c r="BR127" s="501"/>
      <c r="BS127" s="501"/>
      <c r="BT127" s="501"/>
      <c r="BU127" s="501"/>
      <c r="BV127" s="501"/>
      <c r="BW127" s="501"/>
      <c r="BX127" s="501"/>
      <c r="BY127" s="501"/>
      <c r="BZ127" s="501"/>
      <c r="CA127" s="501"/>
      <c r="CB127" s="501"/>
      <c r="CC127" s="501"/>
      <c r="CD127" s="501"/>
      <c r="CE127" s="501"/>
      <c r="CF127" s="501"/>
      <c r="CG127" s="501"/>
      <c r="CH127" s="501"/>
      <c r="CI127" s="501"/>
      <c r="CJ127" s="501"/>
      <c r="CK127" s="501"/>
      <c r="CL127" s="501"/>
      <c r="CM127" s="501"/>
      <c r="CN127" s="501"/>
      <c r="CO127" s="501"/>
      <c r="CP127" s="501"/>
      <c r="CQ127" s="501"/>
      <c r="CR127" s="501"/>
      <c r="CS127" s="501"/>
      <c r="CT127" s="501"/>
    </row>
    <row r="128">
      <c r="A128" s="569"/>
      <c r="B128" s="569"/>
      <c r="C128" s="569"/>
      <c r="D128" s="498"/>
      <c r="E128" s="499"/>
      <c r="F128" s="499"/>
      <c r="G128" s="766"/>
      <c r="H128" s="766"/>
      <c r="I128" s="766"/>
      <c r="J128" s="766"/>
      <c r="K128" s="683"/>
      <c r="L128" s="683"/>
      <c r="M128" s="683"/>
      <c r="N128" s="683"/>
      <c r="O128" s="683"/>
      <c r="P128" s="683"/>
      <c r="Q128" s="683"/>
      <c r="R128" s="683"/>
      <c r="S128" s="683"/>
      <c r="T128" s="501"/>
      <c r="U128" s="501"/>
      <c r="V128" s="501"/>
      <c r="W128" s="501"/>
      <c r="X128" s="501"/>
      <c r="Y128" s="501"/>
      <c r="Z128" s="501"/>
      <c r="AA128" s="501"/>
      <c r="AB128" s="501"/>
      <c r="AC128" s="501"/>
      <c r="AD128" s="501"/>
      <c r="AE128" s="501"/>
      <c r="AF128" s="501"/>
      <c r="AG128" s="501"/>
      <c r="AH128" s="501"/>
      <c r="AI128" s="501"/>
      <c r="AJ128" s="501"/>
      <c r="AK128" s="501"/>
      <c r="AL128" s="501"/>
      <c r="AM128" s="501"/>
      <c r="AN128" s="501"/>
      <c r="AO128" s="501"/>
      <c r="AP128" s="501"/>
      <c r="AQ128" s="501"/>
      <c r="AR128" s="501"/>
      <c r="AS128" s="501"/>
      <c r="AT128" s="501"/>
      <c r="AU128" s="501"/>
      <c r="AV128" s="501"/>
      <c r="AW128" s="501"/>
      <c r="AX128" s="501"/>
      <c r="AY128" s="501"/>
      <c r="AZ128" s="501"/>
      <c r="BA128" s="501"/>
      <c r="BB128" s="501"/>
      <c r="BC128" s="501"/>
      <c r="BD128" s="501"/>
      <c r="BE128" s="501"/>
      <c r="BF128" s="501"/>
      <c r="BG128" s="501"/>
      <c r="BH128" s="501"/>
      <c r="BI128" s="501"/>
      <c r="BJ128" s="501"/>
      <c r="BK128" s="501"/>
      <c r="BL128" s="501"/>
      <c r="BM128" s="501"/>
      <c r="BN128" s="501"/>
      <c r="BO128" s="501"/>
      <c r="BP128" s="501"/>
      <c r="BQ128" s="501"/>
      <c r="BR128" s="501"/>
      <c r="BS128" s="501"/>
      <c r="BT128" s="501"/>
      <c r="BU128" s="501"/>
      <c r="BV128" s="501"/>
      <c r="BW128" s="501"/>
      <c r="BX128" s="501"/>
      <c r="BY128" s="501"/>
      <c r="BZ128" s="501"/>
      <c r="CA128" s="501"/>
      <c r="CB128" s="501"/>
      <c r="CC128" s="501"/>
      <c r="CD128" s="501"/>
      <c r="CE128" s="501"/>
      <c r="CF128" s="501"/>
      <c r="CG128" s="501"/>
      <c r="CH128" s="501"/>
      <c r="CI128" s="501"/>
      <c r="CJ128" s="501"/>
      <c r="CK128" s="501"/>
      <c r="CL128" s="501"/>
      <c r="CM128" s="501"/>
      <c r="CN128" s="501"/>
      <c r="CO128" s="501"/>
      <c r="CP128" s="501"/>
      <c r="CQ128" s="501"/>
      <c r="CR128" s="501"/>
      <c r="CS128" s="501"/>
      <c r="CT128" s="501"/>
    </row>
    <row r="129">
      <c r="A129" s="569"/>
      <c r="B129" s="569"/>
      <c r="C129" s="569"/>
      <c r="D129" s="498"/>
      <c r="E129" s="499"/>
      <c r="F129" s="499"/>
      <c r="G129" s="766"/>
      <c r="H129" s="766"/>
      <c r="I129" s="766"/>
      <c r="J129" s="766"/>
      <c r="K129" s="683"/>
      <c r="L129" s="683"/>
      <c r="M129" s="683"/>
      <c r="N129" s="683"/>
      <c r="O129" s="683"/>
      <c r="P129" s="683"/>
      <c r="Q129" s="683"/>
      <c r="R129" s="683"/>
      <c r="S129" s="683"/>
      <c r="T129" s="501"/>
      <c r="U129" s="501"/>
      <c r="V129" s="501"/>
      <c r="W129" s="501"/>
      <c r="X129" s="501"/>
      <c r="Y129" s="501"/>
      <c r="Z129" s="501"/>
      <c r="AA129" s="501"/>
      <c r="AB129" s="501"/>
      <c r="AC129" s="501"/>
      <c r="AD129" s="501"/>
      <c r="AE129" s="501"/>
      <c r="AF129" s="501"/>
      <c r="AG129" s="501"/>
      <c r="AH129" s="501"/>
      <c r="AI129" s="501"/>
      <c r="AJ129" s="501"/>
      <c r="AK129" s="501"/>
      <c r="AL129" s="501"/>
      <c r="AM129" s="501"/>
      <c r="AN129" s="501"/>
      <c r="AO129" s="501"/>
      <c r="AP129" s="501"/>
      <c r="AQ129" s="501"/>
      <c r="AR129" s="501"/>
      <c r="AS129" s="501"/>
      <c r="AT129" s="501"/>
      <c r="AU129" s="501"/>
      <c r="AV129" s="501"/>
      <c r="AW129" s="501"/>
      <c r="AX129" s="501"/>
      <c r="AY129" s="501"/>
      <c r="AZ129" s="501"/>
      <c r="BA129" s="501"/>
      <c r="BB129" s="501"/>
      <c r="BC129" s="501"/>
      <c r="BD129" s="501"/>
      <c r="BE129" s="501"/>
      <c r="BF129" s="501"/>
      <c r="BG129" s="501"/>
      <c r="BH129" s="501"/>
      <c r="BI129" s="501"/>
      <c r="BJ129" s="501"/>
      <c r="BK129" s="501"/>
      <c r="BL129" s="501"/>
      <c r="BM129" s="501"/>
      <c r="BN129" s="501"/>
      <c r="BO129" s="501"/>
      <c r="BP129" s="501"/>
      <c r="BQ129" s="501"/>
      <c r="BR129" s="501"/>
      <c r="BS129" s="501"/>
      <c r="BT129" s="501"/>
      <c r="BU129" s="501"/>
      <c r="BV129" s="501"/>
      <c r="BW129" s="501"/>
      <c r="BX129" s="501"/>
      <c r="BY129" s="501"/>
      <c r="BZ129" s="501"/>
      <c r="CA129" s="501"/>
      <c r="CB129" s="501"/>
      <c r="CC129" s="501"/>
      <c r="CD129" s="501"/>
      <c r="CE129" s="501"/>
      <c r="CF129" s="501"/>
      <c r="CG129" s="501"/>
      <c r="CH129" s="501"/>
      <c r="CI129" s="501"/>
      <c r="CJ129" s="501"/>
      <c r="CK129" s="501"/>
      <c r="CL129" s="501"/>
      <c r="CM129" s="501"/>
      <c r="CN129" s="501"/>
      <c r="CO129" s="501"/>
      <c r="CP129" s="501"/>
      <c r="CQ129" s="501"/>
      <c r="CR129" s="501"/>
      <c r="CS129" s="501"/>
      <c r="CT129" s="501"/>
    </row>
    <row r="130">
      <c r="A130" s="569"/>
      <c r="B130" s="569"/>
      <c r="C130" s="569"/>
      <c r="D130" s="498"/>
      <c r="E130" s="499"/>
      <c r="F130" s="499"/>
      <c r="G130" s="766"/>
      <c r="H130" s="766"/>
      <c r="I130" s="766"/>
      <c r="J130" s="766"/>
      <c r="K130" s="683"/>
      <c r="L130" s="683"/>
      <c r="M130" s="683"/>
      <c r="N130" s="683"/>
      <c r="O130" s="683"/>
      <c r="P130" s="683"/>
      <c r="Q130" s="683"/>
      <c r="R130" s="683"/>
      <c r="S130" s="683"/>
      <c r="T130" s="501"/>
      <c r="U130" s="501"/>
      <c r="V130" s="501"/>
      <c r="W130" s="501"/>
      <c r="X130" s="501"/>
      <c r="Y130" s="501"/>
      <c r="Z130" s="501"/>
      <c r="AA130" s="501"/>
      <c r="AB130" s="501"/>
      <c r="AC130" s="501"/>
      <c r="AD130" s="501"/>
      <c r="AE130" s="501"/>
      <c r="AF130" s="501"/>
      <c r="AG130" s="501"/>
      <c r="AH130" s="501"/>
      <c r="AI130" s="501"/>
      <c r="AJ130" s="501"/>
      <c r="AK130" s="501"/>
      <c r="AL130" s="501"/>
      <c r="AM130" s="501"/>
      <c r="AN130" s="501"/>
      <c r="AO130" s="501"/>
      <c r="AP130" s="501"/>
      <c r="AQ130" s="501"/>
      <c r="AR130" s="501"/>
      <c r="AS130" s="501"/>
      <c r="AT130" s="501"/>
      <c r="AU130" s="501"/>
      <c r="AV130" s="501"/>
      <c r="AW130" s="501"/>
      <c r="AX130" s="501"/>
      <c r="AY130" s="501"/>
      <c r="AZ130" s="501"/>
      <c r="BA130" s="501"/>
      <c r="BB130" s="501"/>
      <c r="BC130" s="501"/>
      <c r="BD130" s="501"/>
      <c r="BE130" s="501"/>
      <c r="BF130" s="501"/>
      <c r="BG130" s="501"/>
      <c r="BH130" s="501"/>
      <c r="BI130" s="501"/>
      <c r="BJ130" s="501"/>
      <c r="BK130" s="501"/>
      <c r="BL130" s="501"/>
      <c r="BM130" s="501"/>
      <c r="BN130" s="501"/>
      <c r="BO130" s="501"/>
      <c r="BP130" s="501"/>
      <c r="BQ130" s="501"/>
      <c r="BR130" s="501"/>
      <c r="BS130" s="501"/>
      <c r="BT130" s="501"/>
      <c r="BU130" s="501"/>
      <c r="BV130" s="501"/>
      <c r="BW130" s="501"/>
      <c r="BX130" s="501"/>
      <c r="BY130" s="501"/>
      <c r="BZ130" s="501"/>
      <c r="CA130" s="501"/>
      <c r="CB130" s="501"/>
      <c r="CC130" s="501"/>
      <c r="CD130" s="501"/>
      <c r="CE130" s="501"/>
      <c r="CF130" s="501"/>
      <c r="CG130" s="501"/>
      <c r="CH130" s="501"/>
      <c r="CI130" s="501"/>
      <c r="CJ130" s="501"/>
      <c r="CK130" s="501"/>
      <c r="CL130" s="501"/>
      <c r="CM130" s="501"/>
      <c r="CN130" s="501"/>
      <c r="CO130" s="501"/>
      <c r="CP130" s="501"/>
      <c r="CQ130" s="501"/>
      <c r="CR130" s="501"/>
      <c r="CS130" s="501"/>
      <c r="CT130" s="501"/>
    </row>
    <row r="131">
      <c r="A131" s="569"/>
      <c r="B131" s="569"/>
      <c r="C131" s="569"/>
      <c r="D131" s="498"/>
      <c r="E131" s="499"/>
      <c r="F131" s="499"/>
      <c r="G131" s="766"/>
      <c r="H131" s="766"/>
      <c r="I131" s="766"/>
      <c r="J131" s="766"/>
      <c r="K131" s="683"/>
      <c r="L131" s="683"/>
      <c r="M131" s="683"/>
      <c r="N131" s="683"/>
      <c r="O131" s="683"/>
      <c r="P131" s="683"/>
      <c r="Q131" s="683"/>
      <c r="R131" s="683"/>
      <c r="S131" s="683"/>
      <c r="T131" s="501"/>
      <c r="U131" s="501"/>
      <c r="V131" s="501"/>
      <c r="W131" s="501"/>
      <c r="X131" s="501"/>
      <c r="Y131" s="501"/>
      <c r="Z131" s="501"/>
      <c r="AA131" s="501"/>
      <c r="AB131" s="501"/>
      <c r="AC131" s="501"/>
      <c r="AD131" s="501"/>
      <c r="AE131" s="501"/>
      <c r="AF131" s="501"/>
      <c r="AG131" s="501"/>
      <c r="AH131" s="501"/>
      <c r="AI131" s="501"/>
      <c r="AJ131" s="501"/>
      <c r="AK131" s="501"/>
      <c r="AL131" s="501"/>
      <c r="AM131" s="501"/>
      <c r="AN131" s="501"/>
      <c r="AO131" s="501"/>
      <c r="AP131" s="501"/>
      <c r="AQ131" s="501"/>
      <c r="AR131" s="501"/>
      <c r="AS131" s="501"/>
      <c r="AT131" s="501"/>
      <c r="AU131" s="501"/>
      <c r="AV131" s="501"/>
      <c r="AW131" s="501"/>
      <c r="AX131" s="501"/>
      <c r="AY131" s="501"/>
      <c r="AZ131" s="501"/>
      <c r="BA131" s="501"/>
      <c r="BB131" s="501"/>
      <c r="BC131" s="501"/>
      <c r="BD131" s="501"/>
      <c r="BE131" s="501"/>
      <c r="BF131" s="501"/>
      <c r="BG131" s="501"/>
      <c r="BH131" s="501"/>
      <c r="BI131" s="501"/>
      <c r="BJ131" s="501"/>
      <c r="BK131" s="501"/>
      <c r="BL131" s="501"/>
      <c r="BM131" s="501"/>
      <c r="BN131" s="501"/>
      <c r="BO131" s="501"/>
      <c r="BP131" s="501"/>
      <c r="BQ131" s="501"/>
      <c r="BR131" s="501"/>
      <c r="BS131" s="501"/>
      <c r="BT131" s="501"/>
      <c r="BU131" s="501"/>
      <c r="BV131" s="501"/>
      <c r="BW131" s="501"/>
      <c r="BX131" s="501"/>
      <c r="BY131" s="501"/>
      <c r="BZ131" s="501"/>
      <c r="CA131" s="501"/>
      <c r="CB131" s="501"/>
      <c r="CC131" s="501"/>
      <c r="CD131" s="501"/>
      <c r="CE131" s="501"/>
      <c r="CF131" s="501"/>
      <c r="CG131" s="501"/>
      <c r="CH131" s="501"/>
      <c r="CI131" s="501"/>
      <c r="CJ131" s="501"/>
      <c r="CK131" s="501"/>
      <c r="CL131" s="501"/>
      <c r="CM131" s="501"/>
      <c r="CN131" s="501"/>
      <c r="CO131" s="501"/>
      <c r="CP131" s="501"/>
      <c r="CQ131" s="501"/>
      <c r="CR131" s="501"/>
      <c r="CS131" s="501"/>
      <c r="CT131" s="501"/>
    </row>
    <row r="132">
      <c r="A132" s="569"/>
      <c r="B132" s="569"/>
      <c r="C132" s="569"/>
      <c r="D132" s="498"/>
      <c r="E132" s="499"/>
      <c r="F132" s="499"/>
      <c r="G132" s="766"/>
      <c r="H132" s="766"/>
      <c r="I132" s="766"/>
      <c r="J132" s="766"/>
      <c r="K132" s="683"/>
      <c r="L132" s="683"/>
      <c r="M132" s="683"/>
      <c r="N132" s="683"/>
      <c r="O132" s="683"/>
      <c r="P132" s="683"/>
      <c r="Q132" s="683"/>
      <c r="R132" s="683"/>
      <c r="S132" s="683"/>
      <c r="T132" s="501"/>
      <c r="U132" s="501"/>
      <c r="V132" s="501"/>
      <c r="W132" s="501"/>
      <c r="X132" s="501"/>
      <c r="Y132" s="501"/>
      <c r="Z132" s="501"/>
      <c r="AA132" s="501"/>
      <c r="AB132" s="501"/>
      <c r="AC132" s="501"/>
      <c r="AD132" s="501"/>
      <c r="AE132" s="501"/>
      <c r="AF132" s="501"/>
      <c r="AG132" s="501"/>
      <c r="AH132" s="501"/>
      <c r="AI132" s="501"/>
      <c r="AJ132" s="501"/>
      <c r="AK132" s="501"/>
      <c r="AL132" s="501"/>
      <c r="AM132" s="501"/>
      <c r="AN132" s="501"/>
      <c r="AO132" s="501"/>
      <c r="AP132" s="501"/>
      <c r="AQ132" s="501"/>
      <c r="AR132" s="501"/>
      <c r="AS132" s="501"/>
      <c r="AT132" s="501"/>
      <c r="AU132" s="501"/>
      <c r="AV132" s="501"/>
      <c r="AW132" s="501"/>
      <c r="AX132" s="501"/>
      <c r="AY132" s="501"/>
      <c r="AZ132" s="501"/>
      <c r="BA132" s="501"/>
      <c r="BB132" s="501"/>
      <c r="BC132" s="501"/>
      <c r="BD132" s="501"/>
      <c r="BE132" s="501"/>
      <c r="BF132" s="501"/>
      <c r="BG132" s="501"/>
      <c r="BH132" s="501"/>
      <c r="BI132" s="501"/>
      <c r="BJ132" s="501"/>
      <c r="BK132" s="501"/>
      <c r="BL132" s="501"/>
      <c r="BM132" s="501"/>
      <c r="BN132" s="501"/>
      <c r="BO132" s="501"/>
      <c r="BP132" s="501"/>
      <c r="BQ132" s="501"/>
      <c r="BR132" s="501"/>
      <c r="BS132" s="501"/>
      <c r="BT132" s="501"/>
      <c r="BU132" s="501"/>
      <c r="BV132" s="501"/>
      <c r="BW132" s="501"/>
      <c r="BX132" s="501"/>
      <c r="BY132" s="501"/>
      <c r="BZ132" s="501"/>
      <c r="CA132" s="501"/>
      <c r="CB132" s="501"/>
      <c r="CC132" s="501"/>
      <c r="CD132" s="501"/>
      <c r="CE132" s="501"/>
      <c r="CF132" s="501"/>
      <c r="CG132" s="501"/>
      <c r="CH132" s="501"/>
      <c r="CI132" s="501"/>
      <c r="CJ132" s="501"/>
      <c r="CK132" s="501"/>
      <c r="CL132" s="501"/>
      <c r="CM132" s="501"/>
      <c r="CN132" s="501"/>
      <c r="CO132" s="501"/>
      <c r="CP132" s="501"/>
      <c r="CQ132" s="501"/>
      <c r="CR132" s="501"/>
      <c r="CS132" s="501"/>
      <c r="CT132" s="501"/>
    </row>
    <row r="133">
      <c r="A133" s="569"/>
      <c r="B133" s="569"/>
      <c r="C133" s="569"/>
      <c r="D133" s="498"/>
      <c r="E133" s="499"/>
      <c r="F133" s="499"/>
      <c r="G133" s="766"/>
      <c r="H133" s="766"/>
      <c r="I133" s="766"/>
      <c r="J133" s="766"/>
      <c r="K133" s="683"/>
      <c r="L133" s="683"/>
      <c r="M133" s="683"/>
      <c r="N133" s="683"/>
      <c r="O133" s="683"/>
      <c r="P133" s="683"/>
      <c r="Q133" s="683"/>
      <c r="R133" s="683"/>
      <c r="S133" s="683"/>
      <c r="T133" s="501"/>
      <c r="U133" s="501"/>
      <c r="V133" s="501"/>
      <c r="W133" s="501"/>
      <c r="X133" s="501"/>
      <c r="Y133" s="501"/>
      <c r="Z133" s="501"/>
      <c r="AA133" s="501"/>
      <c r="AB133" s="501"/>
      <c r="AC133" s="501"/>
      <c r="AD133" s="501"/>
      <c r="AE133" s="501"/>
      <c r="AF133" s="501"/>
      <c r="AG133" s="501"/>
      <c r="AH133" s="501"/>
      <c r="AI133" s="501"/>
      <c r="AJ133" s="501"/>
      <c r="AK133" s="501"/>
      <c r="AL133" s="501"/>
      <c r="AM133" s="501"/>
      <c r="AN133" s="501"/>
      <c r="AO133" s="501"/>
      <c r="AP133" s="501"/>
      <c r="AQ133" s="501"/>
      <c r="AR133" s="501"/>
      <c r="AS133" s="501"/>
      <c r="AT133" s="501"/>
      <c r="AU133" s="501"/>
      <c r="AV133" s="501"/>
      <c r="AW133" s="501"/>
      <c r="AX133" s="501"/>
      <c r="AY133" s="501"/>
      <c r="AZ133" s="501"/>
      <c r="BA133" s="501"/>
      <c r="BB133" s="501"/>
      <c r="BC133" s="501"/>
      <c r="BD133" s="501"/>
      <c r="BE133" s="501"/>
      <c r="BF133" s="501"/>
      <c r="BG133" s="501"/>
      <c r="BH133" s="501"/>
      <c r="BI133" s="501"/>
      <c r="BJ133" s="501"/>
      <c r="BK133" s="501"/>
      <c r="BL133" s="501"/>
      <c r="BM133" s="501"/>
      <c r="BN133" s="501"/>
      <c r="BO133" s="501"/>
      <c r="BP133" s="501"/>
      <c r="BQ133" s="501"/>
      <c r="BR133" s="501"/>
      <c r="BS133" s="501"/>
      <c r="BT133" s="501"/>
      <c r="BU133" s="501"/>
      <c r="BV133" s="501"/>
      <c r="BW133" s="501"/>
      <c r="BX133" s="501"/>
      <c r="BY133" s="501"/>
      <c r="BZ133" s="501"/>
      <c r="CA133" s="501"/>
      <c r="CB133" s="501"/>
      <c r="CC133" s="501"/>
      <c r="CD133" s="501"/>
      <c r="CE133" s="501"/>
      <c r="CF133" s="501"/>
      <c r="CG133" s="501"/>
      <c r="CH133" s="501"/>
      <c r="CI133" s="501"/>
      <c r="CJ133" s="501"/>
      <c r="CK133" s="501"/>
      <c r="CL133" s="501"/>
      <c r="CM133" s="501"/>
      <c r="CN133" s="501"/>
      <c r="CO133" s="501"/>
      <c r="CP133" s="501"/>
      <c r="CQ133" s="501"/>
      <c r="CR133" s="501"/>
      <c r="CS133" s="501"/>
      <c r="CT133" s="501"/>
    </row>
    <row r="134">
      <c r="A134" s="569"/>
      <c r="B134" s="569"/>
      <c r="C134" s="569"/>
      <c r="D134" s="498"/>
      <c r="E134" s="499"/>
      <c r="F134" s="499"/>
      <c r="G134" s="766"/>
      <c r="H134" s="766"/>
      <c r="I134" s="766"/>
      <c r="J134" s="766"/>
      <c r="K134" s="683"/>
      <c r="L134" s="683"/>
      <c r="M134" s="683"/>
      <c r="N134" s="683"/>
      <c r="O134" s="683"/>
      <c r="P134" s="683"/>
      <c r="Q134" s="683"/>
      <c r="R134" s="683"/>
      <c r="S134" s="683"/>
      <c r="T134" s="501"/>
      <c r="U134" s="501"/>
      <c r="V134" s="501"/>
      <c r="W134" s="501"/>
      <c r="X134" s="501"/>
      <c r="Y134" s="501"/>
      <c r="Z134" s="501"/>
      <c r="AA134" s="501"/>
      <c r="AB134" s="501"/>
      <c r="AC134" s="501"/>
      <c r="AD134" s="501"/>
      <c r="AE134" s="501"/>
      <c r="AF134" s="501"/>
      <c r="AG134" s="501"/>
      <c r="AH134" s="501"/>
      <c r="AI134" s="501"/>
      <c r="AJ134" s="501"/>
      <c r="AK134" s="501"/>
      <c r="AL134" s="501"/>
      <c r="AM134" s="501"/>
      <c r="AN134" s="501"/>
      <c r="AO134" s="501"/>
      <c r="AP134" s="501"/>
      <c r="AQ134" s="501"/>
      <c r="AR134" s="501"/>
      <c r="AS134" s="501"/>
      <c r="AT134" s="501"/>
      <c r="AU134" s="501"/>
      <c r="AV134" s="501"/>
      <c r="AW134" s="501"/>
      <c r="AX134" s="501"/>
      <c r="AY134" s="501"/>
      <c r="AZ134" s="501"/>
      <c r="BA134" s="501"/>
      <c r="BB134" s="501"/>
      <c r="BC134" s="501"/>
      <c r="BD134" s="501"/>
      <c r="BE134" s="501"/>
      <c r="BF134" s="501"/>
      <c r="BG134" s="501"/>
      <c r="BH134" s="501"/>
      <c r="BI134" s="501"/>
      <c r="BJ134" s="501"/>
      <c r="BK134" s="501"/>
      <c r="BL134" s="501"/>
      <c r="BM134" s="501"/>
      <c r="BN134" s="501"/>
      <c r="BO134" s="501"/>
      <c r="BP134" s="501"/>
      <c r="BQ134" s="501"/>
      <c r="BR134" s="501"/>
      <c r="BS134" s="501"/>
      <c r="BT134" s="501"/>
      <c r="BU134" s="501"/>
      <c r="BV134" s="501"/>
      <c r="BW134" s="501"/>
      <c r="BX134" s="501"/>
      <c r="BY134" s="501"/>
      <c r="BZ134" s="501"/>
      <c r="CA134" s="501"/>
      <c r="CB134" s="501"/>
      <c r="CC134" s="501"/>
      <c r="CD134" s="501"/>
      <c r="CE134" s="501"/>
      <c r="CF134" s="501"/>
      <c r="CG134" s="501"/>
      <c r="CH134" s="501"/>
      <c r="CI134" s="501"/>
      <c r="CJ134" s="501"/>
      <c r="CK134" s="501"/>
      <c r="CL134" s="501"/>
      <c r="CM134" s="501"/>
      <c r="CN134" s="501"/>
      <c r="CO134" s="501"/>
      <c r="CP134" s="501"/>
      <c r="CQ134" s="501"/>
      <c r="CR134" s="501"/>
      <c r="CS134" s="501"/>
      <c r="CT134" s="501"/>
    </row>
    <row r="135">
      <c r="A135" s="569"/>
      <c r="B135" s="569"/>
      <c r="C135" s="569"/>
      <c r="D135" s="498"/>
      <c r="E135" s="499"/>
      <c r="F135" s="499"/>
      <c r="G135" s="766"/>
      <c r="H135" s="766"/>
      <c r="I135" s="766"/>
      <c r="J135" s="766"/>
      <c r="K135" s="683"/>
      <c r="L135" s="683"/>
      <c r="M135" s="683"/>
      <c r="N135" s="683"/>
      <c r="O135" s="683"/>
      <c r="P135" s="683"/>
      <c r="Q135" s="683"/>
      <c r="R135" s="683"/>
      <c r="S135" s="683"/>
      <c r="T135" s="501"/>
      <c r="U135" s="501"/>
      <c r="V135" s="501"/>
      <c r="W135" s="501"/>
      <c r="X135" s="501"/>
      <c r="Y135" s="501"/>
      <c r="Z135" s="501"/>
      <c r="AA135" s="501"/>
      <c r="AB135" s="501"/>
      <c r="AC135" s="501"/>
      <c r="AD135" s="501"/>
      <c r="AE135" s="501"/>
      <c r="AF135" s="501"/>
      <c r="AG135" s="501"/>
      <c r="AH135" s="501"/>
      <c r="AI135" s="501"/>
      <c r="AJ135" s="501"/>
      <c r="AK135" s="501"/>
      <c r="AL135" s="501"/>
      <c r="AM135" s="501"/>
      <c r="AN135" s="501"/>
      <c r="AO135" s="501"/>
      <c r="AP135" s="501"/>
      <c r="AQ135" s="501"/>
      <c r="AR135" s="501"/>
      <c r="AS135" s="501"/>
      <c r="AT135" s="501"/>
      <c r="AU135" s="501"/>
      <c r="AV135" s="501"/>
      <c r="AW135" s="501"/>
      <c r="AX135" s="501"/>
      <c r="AY135" s="501"/>
      <c r="AZ135" s="501"/>
      <c r="BA135" s="501"/>
      <c r="BB135" s="501"/>
      <c r="BC135" s="501"/>
      <c r="BD135" s="501"/>
      <c r="BE135" s="501"/>
      <c r="BF135" s="501"/>
      <c r="BG135" s="501"/>
      <c r="BH135" s="501"/>
      <c r="BI135" s="501"/>
      <c r="BJ135" s="501"/>
      <c r="BK135" s="501"/>
      <c r="BL135" s="501"/>
      <c r="BM135" s="501"/>
      <c r="BN135" s="501"/>
      <c r="BO135" s="501"/>
      <c r="BP135" s="501"/>
      <c r="BQ135" s="501"/>
      <c r="BR135" s="501"/>
      <c r="BS135" s="501"/>
      <c r="BT135" s="501"/>
      <c r="BU135" s="501"/>
      <c r="BV135" s="501"/>
      <c r="BW135" s="501"/>
      <c r="BX135" s="501"/>
      <c r="BY135" s="501"/>
      <c r="BZ135" s="501"/>
      <c r="CA135" s="501"/>
      <c r="CB135" s="501"/>
      <c r="CC135" s="501"/>
      <c r="CD135" s="501"/>
      <c r="CE135" s="501"/>
      <c r="CF135" s="501"/>
      <c r="CG135" s="501"/>
      <c r="CH135" s="501"/>
      <c r="CI135" s="501"/>
      <c r="CJ135" s="501"/>
      <c r="CK135" s="501"/>
      <c r="CL135" s="501"/>
      <c r="CM135" s="501"/>
      <c r="CN135" s="501"/>
      <c r="CO135" s="501"/>
      <c r="CP135" s="501"/>
      <c r="CQ135" s="501"/>
      <c r="CR135" s="501"/>
      <c r="CS135" s="501"/>
      <c r="CT135" s="501"/>
    </row>
    <row r="136">
      <c r="A136" s="569"/>
      <c r="B136" s="569"/>
      <c r="C136" s="569"/>
      <c r="D136" s="498"/>
      <c r="E136" s="499"/>
      <c r="F136" s="499"/>
      <c r="G136" s="766"/>
      <c r="H136" s="766"/>
      <c r="I136" s="766"/>
      <c r="J136" s="766"/>
      <c r="K136" s="683"/>
      <c r="L136" s="683"/>
      <c r="M136" s="683"/>
      <c r="N136" s="683"/>
      <c r="O136" s="683"/>
      <c r="P136" s="683"/>
      <c r="Q136" s="683"/>
      <c r="R136" s="683"/>
      <c r="S136" s="683"/>
      <c r="T136" s="501"/>
      <c r="U136" s="501"/>
      <c r="V136" s="501"/>
      <c r="W136" s="501"/>
      <c r="X136" s="501"/>
      <c r="Y136" s="501"/>
      <c r="Z136" s="501"/>
      <c r="AA136" s="501"/>
      <c r="AB136" s="501"/>
      <c r="AC136" s="501"/>
      <c r="AD136" s="501"/>
      <c r="AE136" s="501"/>
      <c r="AF136" s="501"/>
      <c r="AG136" s="501"/>
      <c r="AH136" s="501"/>
      <c r="AI136" s="501"/>
      <c r="AJ136" s="501"/>
      <c r="AK136" s="501"/>
      <c r="AL136" s="501"/>
      <c r="AM136" s="501"/>
      <c r="AN136" s="501"/>
      <c r="AO136" s="501"/>
      <c r="AP136" s="501"/>
      <c r="AQ136" s="501"/>
      <c r="AR136" s="501"/>
      <c r="AS136" s="501"/>
      <c r="AT136" s="501"/>
      <c r="AU136" s="501"/>
      <c r="AV136" s="501"/>
      <c r="AW136" s="501"/>
      <c r="AX136" s="501"/>
      <c r="AY136" s="501"/>
      <c r="AZ136" s="501"/>
      <c r="BA136" s="501"/>
      <c r="BB136" s="501"/>
      <c r="BC136" s="501"/>
      <c r="BD136" s="501"/>
      <c r="BE136" s="501"/>
      <c r="BF136" s="501"/>
      <c r="BG136" s="501"/>
      <c r="BH136" s="501"/>
      <c r="BI136" s="501"/>
      <c r="BJ136" s="501"/>
      <c r="BK136" s="501"/>
      <c r="BL136" s="501"/>
      <c r="BM136" s="501"/>
      <c r="BN136" s="501"/>
      <c r="BO136" s="501"/>
      <c r="BP136" s="501"/>
      <c r="BQ136" s="501"/>
      <c r="BR136" s="501"/>
      <c r="BS136" s="501"/>
      <c r="BT136" s="501"/>
      <c r="BU136" s="501"/>
      <c r="BV136" s="501"/>
      <c r="BW136" s="501"/>
      <c r="BX136" s="501"/>
      <c r="BY136" s="501"/>
      <c r="BZ136" s="501"/>
      <c r="CA136" s="501"/>
      <c r="CB136" s="501"/>
      <c r="CC136" s="501"/>
      <c r="CD136" s="501"/>
      <c r="CE136" s="501"/>
      <c r="CF136" s="501"/>
      <c r="CG136" s="501"/>
      <c r="CH136" s="501"/>
      <c r="CI136" s="501"/>
      <c r="CJ136" s="501"/>
      <c r="CK136" s="501"/>
      <c r="CL136" s="501"/>
      <c r="CM136" s="501"/>
      <c r="CN136" s="501"/>
      <c r="CO136" s="501"/>
      <c r="CP136" s="501"/>
      <c r="CQ136" s="501"/>
      <c r="CR136" s="501"/>
      <c r="CS136" s="501"/>
      <c r="CT136" s="501"/>
    </row>
    <row r="137">
      <c r="A137" s="569"/>
      <c r="B137" s="569"/>
      <c r="C137" s="569"/>
      <c r="D137" s="498"/>
      <c r="E137" s="499"/>
      <c r="F137" s="499"/>
      <c r="G137" s="766"/>
      <c r="H137" s="766"/>
      <c r="I137" s="766"/>
      <c r="J137" s="766"/>
      <c r="K137" s="683"/>
      <c r="L137" s="683"/>
      <c r="M137" s="683"/>
      <c r="N137" s="683"/>
      <c r="O137" s="683"/>
      <c r="P137" s="683"/>
      <c r="Q137" s="683"/>
      <c r="R137" s="683"/>
      <c r="S137" s="683"/>
      <c r="T137" s="501"/>
      <c r="U137" s="501"/>
      <c r="V137" s="501"/>
      <c r="W137" s="501"/>
      <c r="X137" s="501"/>
      <c r="Y137" s="501"/>
      <c r="Z137" s="501"/>
      <c r="AA137" s="501"/>
      <c r="AB137" s="501"/>
      <c r="AC137" s="501"/>
      <c r="AD137" s="501"/>
      <c r="AE137" s="501"/>
      <c r="AF137" s="501"/>
      <c r="AG137" s="501"/>
      <c r="AH137" s="501"/>
      <c r="AI137" s="501"/>
      <c r="AJ137" s="501"/>
      <c r="AK137" s="501"/>
      <c r="AL137" s="501"/>
      <c r="AM137" s="501"/>
      <c r="AN137" s="501"/>
      <c r="AO137" s="501"/>
      <c r="AP137" s="501"/>
      <c r="AQ137" s="501"/>
      <c r="AR137" s="501"/>
      <c r="AS137" s="501"/>
      <c r="AT137" s="501"/>
      <c r="AU137" s="501"/>
      <c r="AV137" s="501"/>
      <c r="AW137" s="501"/>
      <c r="AX137" s="501"/>
      <c r="AY137" s="501"/>
      <c r="AZ137" s="501"/>
      <c r="BA137" s="501"/>
      <c r="BB137" s="501"/>
      <c r="BC137" s="501"/>
      <c r="BD137" s="501"/>
      <c r="BE137" s="501"/>
      <c r="BF137" s="501"/>
      <c r="BG137" s="501"/>
      <c r="BH137" s="501"/>
      <c r="BI137" s="501"/>
      <c r="BJ137" s="501"/>
      <c r="BK137" s="501"/>
      <c r="BL137" s="501"/>
      <c r="BM137" s="501"/>
      <c r="BN137" s="501"/>
      <c r="BO137" s="501"/>
      <c r="BP137" s="501"/>
      <c r="BQ137" s="501"/>
      <c r="BR137" s="501"/>
      <c r="BS137" s="501"/>
      <c r="BT137" s="501"/>
      <c r="BU137" s="501"/>
      <c r="BV137" s="501"/>
      <c r="BW137" s="501"/>
      <c r="BX137" s="501"/>
      <c r="BY137" s="501"/>
      <c r="BZ137" s="501"/>
      <c r="CA137" s="501"/>
      <c r="CB137" s="501"/>
      <c r="CC137" s="501"/>
      <c r="CD137" s="501"/>
      <c r="CE137" s="501"/>
      <c r="CF137" s="501"/>
      <c r="CG137" s="501"/>
      <c r="CH137" s="501"/>
      <c r="CI137" s="501"/>
      <c r="CJ137" s="501"/>
      <c r="CK137" s="501"/>
      <c r="CL137" s="501"/>
      <c r="CM137" s="501"/>
      <c r="CN137" s="501"/>
      <c r="CO137" s="501"/>
      <c r="CP137" s="501"/>
      <c r="CQ137" s="501"/>
      <c r="CR137" s="501"/>
      <c r="CS137" s="501"/>
      <c r="CT137" s="501"/>
    </row>
    <row r="138">
      <c r="A138" s="569"/>
      <c r="B138" s="569"/>
      <c r="C138" s="569"/>
      <c r="D138" s="498"/>
      <c r="E138" s="499"/>
      <c r="F138" s="499"/>
      <c r="G138" s="766"/>
      <c r="H138" s="766"/>
      <c r="I138" s="766"/>
      <c r="J138" s="766"/>
      <c r="K138" s="683"/>
      <c r="L138" s="683"/>
      <c r="M138" s="683"/>
      <c r="N138" s="683"/>
      <c r="O138" s="683"/>
      <c r="P138" s="683"/>
      <c r="Q138" s="683"/>
      <c r="R138" s="683"/>
      <c r="S138" s="683"/>
      <c r="T138" s="501"/>
      <c r="U138" s="501"/>
      <c r="V138" s="501"/>
      <c r="W138" s="501"/>
      <c r="X138" s="501"/>
      <c r="Y138" s="501"/>
      <c r="Z138" s="501"/>
      <c r="AA138" s="501"/>
      <c r="AB138" s="501"/>
      <c r="AC138" s="501"/>
      <c r="AD138" s="501"/>
      <c r="AE138" s="501"/>
      <c r="AF138" s="501"/>
      <c r="AG138" s="501"/>
      <c r="AH138" s="501"/>
      <c r="AI138" s="501"/>
      <c r="AJ138" s="501"/>
      <c r="AK138" s="501"/>
      <c r="AL138" s="501"/>
      <c r="AM138" s="501"/>
      <c r="AN138" s="501"/>
      <c r="AO138" s="501"/>
      <c r="AP138" s="501"/>
      <c r="AQ138" s="501"/>
      <c r="AR138" s="501"/>
      <c r="AS138" s="501"/>
      <c r="AT138" s="501"/>
      <c r="AU138" s="501"/>
      <c r="AV138" s="501"/>
      <c r="AW138" s="501"/>
      <c r="AX138" s="501"/>
      <c r="AY138" s="501"/>
      <c r="AZ138" s="501"/>
      <c r="BA138" s="501"/>
      <c r="BB138" s="501"/>
      <c r="BC138" s="501"/>
      <c r="BD138" s="501"/>
      <c r="BE138" s="501"/>
      <c r="BF138" s="501"/>
      <c r="BG138" s="501"/>
      <c r="BH138" s="501"/>
      <c r="BI138" s="501"/>
      <c r="BJ138" s="501"/>
      <c r="BK138" s="501"/>
      <c r="BL138" s="501"/>
      <c r="BM138" s="501"/>
      <c r="BN138" s="501"/>
      <c r="BO138" s="501"/>
      <c r="BP138" s="501"/>
      <c r="BQ138" s="501"/>
      <c r="BR138" s="501"/>
      <c r="BS138" s="501"/>
      <c r="BT138" s="501"/>
      <c r="BU138" s="501"/>
      <c r="BV138" s="501"/>
      <c r="BW138" s="501"/>
      <c r="BX138" s="501"/>
      <c r="BY138" s="501"/>
      <c r="BZ138" s="501"/>
      <c r="CA138" s="501"/>
      <c r="CB138" s="501"/>
      <c r="CC138" s="501"/>
      <c r="CD138" s="501"/>
      <c r="CE138" s="501"/>
      <c r="CF138" s="501"/>
      <c r="CG138" s="501"/>
      <c r="CH138" s="501"/>
      <c r="CI138" s="501"/>
      <c r="CJ138" s="501"/>
      <c r="CK138" s="501"/>
      <c r="CL138" s="501"/>
      <c r="CM138" s="501"/>
      <c r="CN138" s="501"/>
      <c r="CO138" s="501"/>
      <c r="CP138" s="501"/>
      <c r="CQ138" s="501"/>
      <c r="CR138" s="501"/>
      <c r="CS138" s="501"/>
      <c r="CT138" s="501"/>
    </row>
    <row r="139">
      <c r="A139" s="569"/>
      <c r="B139" s="569"/>
      <c r="C139" s="569"/>
      <c r="D139" s="498"/>
      <c r="E139" s="499"/>
      <c r="F139" s="499"/>
      <c r="G139" s="766"/>
      <c r="H139" s="766"/>
      <c r="I139" s="766"/>
      <c r="J139" s="766"/>
      <c r="K139" s="683"/>
      <c r="L139" s="683"/>
      <c r="M139" s="683"/>
      <c r="N139" s="683"/>
      <c r="O139" s="683"/>
      <c r="P139" s="683"/>
      <c r="Q139" s="683"/>
      <c r="R139" s="683"/>
      <c r="S139" s="683"/>
      <c r="T139" s="501"/>
      <c r="U139" s="501"/>
      <c r="V139" s="501"/>
      <c r="W139" s="501"/>
      <c r="X139" s="501"/>
      <c r="Y139" s="501"/>
      <c r="Z139" s="501"/>
      <c r="AA139" s="501"/>
      <c r="AB139" s="501"/>
      <c r="AC139" s="501"/>
      <c r="AD139" s="501"/>
      <c r="AE139" s="501"/>
      <c r="AF139" s="501"/>
      <c r="AG139" s="501"/>
      <c r="AH139" s="501"/>
      <c r="AI139" s="501"/>
      <c r="AJ139" s="501"/>
      <c r="AK139" s="501"/>
      <c r="AL139" s="501"/>
      <c r="AM139" s="501"/>
      <c r="AN139" s="501"/>
      <c r="AO139" s="501"/>
      <c r="AP139" s="501"/>
      <c r="AQ139" s="501"/>
      <c r="AR139" s="501"/>
      <c r="AS139" s="501"/>
      <c r="AT139" s="501"/>
      <c r="AU139" s="501"/>
      <c r="AV139" s="501"/>
      <c r="AW139" s="501"/>
      <c r="AX139" s="501"/>
      <c r="AY139" s="501"/>
      <c r="AZ139" s="501"/>
      <c r="BA139" s="501"/>
      <c r="BB139" s="501"/>
      <c r="BC139" s="501"/>
      <c r="BD139" s="501"/>
      <c r="BE139" s="501"/>
      <c r="BF139" s="501"/>
      <c r="BG139" s="501"/>
      <c r="BH139" s="501"/>
      <c r="BI139" s="501"/>
      <c r="BJ139" s="501"/>
      <c r="BK139" s="501"/>
      <c r="BL139" s="501"/>
      <c r="BM139" s="501"/>
      <c r="BN139" s="501"/>
      <c r="BO139" s="501"/>
      <c r="BP139" s="501"/>
      <c r="BQ139" s="501"/>
      <c r="BR139" s="501"/>
      <c r="BS139" s="501"/>
      <c r="BT139" s="501"/>
      <c r="BU139" s="501"/>
      <c r="BV139" s="501"/>
      <c r="BW139" s="501"/>
      <c r="BX139" s="501"/>
      <c r="BY139" s="501"/>
      <c r="BZ139" s="501"/>
      <c r="CA139" s="501"/>
      <c r="CB139" s="501"/>
      <c r="CC139" s="501"/>
      <c r="CD139" s="501"/>
      <c r="CE139" s="501"/>
      <c r="CF139" s="501"/>
      <c r="CG139" s="501"/>
      <c r="CH139" s="501"/>
      <c r="CI139" s="501"/>
      <c r="CJ139" s="501"/>
      <c r="CK139" s="501"/>
      <c r="CL139" s="501"/>
      <c r="CM139" s="501"/>
      <c r="CN139" s="501"/>
      <c r="CO139" s="501"/>
      <c r="CP139" s="501"/>
      <c r="CQ139" s="501"/>
      <c r="CR139" s="501"/>
      <c r="CS139" s="501"/>
      <c r="CT139" s="501"/>
    </row>
    <row r="140">
      <c r="A140" s="569"/>
      <c r="B140" s="569"/>
      <c r="C140" s="569"/>
      <c r="D140" s="498"/>
      <c r="E140" s="499"/>
      <c r="F140" s="499"/>
      <c r="G140" s="766"/>
      <c r="H140" s="766"/>
      <c r="I140" s="766"/>
      <c r="J140" s="766"/>
      <c r="K140" s="683"/>
      <c r="L140" s="683"/>
      <c r="M140" s="683"/>
      <c r="N140" s="683"/>
      <c r="O140" s="683"/>
      <c r="P140" s="683"/>
      <c r="Q140" s="683"/>
      <c r="R140" s="683"/>
      <c r="S140" s="683"/>
      <c r="T140" s="501"/>
      <c r="U140" s="501"/>
      <c r="V140" s="501"/>
      <c r="W140" s="501"/>
      <c r="X140" s="501"/>
      <c r="Y140" s="501"/>
      <c r="Z140" s="501"/>
      <c r="AA140" s="501"/>
      <c r="AB140" s="501"/>
      <c r="AC140" s="501"/>
      <c r="AD140" s="501"/>
      <c r="AE140" s="501"/>
      <c r="AF140" s="501"/>
      <c r="AG140" s="501"/>
      <c r="AH140" s="501"/>
      <c r="AI140" s="501"/>
      <c r="AJ140" s="501"/>
      <c r="AK140" s="501"/>
      <c r="AL140" s="501"/>
      <c r="AM140" s="501"/>
      <c r="AN140" s="501"/>
      <c r="AO140" s="501"/>
      <c r="AP140" s="501"/>
      <c r="AQ140" s="501"/>
      <c r="AR140" s="501"/>
      <c r="AS140" s="501"/>
      <c r="AT140" s="501"/>
      <c r="AU140" s="501"/>
      <c r="AV140" s="501"/>
      <c r="AW140" s="501"/>
      <c r="AX140" s="501"/>
      <c r="AY140" s="501"/>
      <c r="AZ140" s="501"/>
      <c r="BA140" s="501"/>
      <c r="BB140" s="501"/>
      <c r="BC140" s="501"/>
      <c r="BD140" s="501"/>
      <c r="BE140" s="501"/>
      <c r="BF140" s="501"/>
      <c r="BG140" s="501"/>
      <c r="BH140" s="501"/>
      <c r="BI140" s="501"/>
      <c r="BJ140" s="501"/>
      <c r="BK140" s="501"/>
      <c r="BL140" s="501"/>
      <c r="BM140" s="501"/>
      <c r="BN140" s="501"/>
      <c r="BO140" s="501"/>
      <c r="BP140" s="501"/>
      <c r="BQ140" s="501"/>
      <c r="BR140" s="501"/>
      <c r="BS140" s="501"/>
      <c r="BT140" s="501"/>
      <c r="BU140" s="501"/>
      <c r="BV140" s="501"/>
      <c r="BW140" s="501"/>
      <c r="BX140" s="501"/>
      <c r="BY140" s="501"/>
      <c r="BZ140" s="501"/>
      <c r="CA140" s="501"/>
      <c r="CB140" s="501"/>
      <c r="CC140" s="501"/>
      <c r="CD140" s="501"/>
      <c r="CE140" s="501"/>
      <c r="CF140" s="501"/>
      <c r="CG140" s="501"/>
      <c r="CH140" s="501"/>
      <c r="CI140" s="501"/>
      <c r="CJ140" s="501"/>
      <c r="CK140" s="501"/>
      <c r="CL140" s="501"/>
      <c r="CM140" s="501"/>
      <c r="CN140" s="501"/>
      <c r="CO140" s="501"/>
      <c r="CP140" s="501"/>
      <c r="CQ140" s="501"/>
      <c r="CR140" s="501"/>
      <c r="CS140" s="501"/>
      <c r="CT140" s="501"/>
    </row>
    <row r="141">
      <c r="A141" s="569"/>
      <c r="B141" s="569"/>
      <c r="C141" s="569"/>
      <c r="D141" s="498"/>
      <c r="E141" s="499"/>
      <c r="F141" s="499"/>
      <c r="G141" s="766"/>
      <c r="H141" s="766"/>
      <c r="I141" s="766"/>
      <c r="J141" s="766"/>
      <c r="K141" s="683"/>
      <c r="L141" s="683"/>
      <c r="M141" s="683"/>
      <c r="N141" s="683"/>
      <c r="O141" s="683"/>
      <c r="P141" s="683"/>
      <c r="Q141" s="683"/>
      <c r="R141" s="683"/>
      <c r="S141" s="683"/>
      <c r="T141" s="501"/>
      <c r="U141" s="501"/>
      <c r="V141" s="501"/>
      <c r="W141" s="501"/>
      <c r="X141" s="501"/>
      <c r="Y141" s="501"/>
      <c r="Z141" s="501"/>
      <c r="AA141" s="501"/>
      <c r="AB141" s="501"/>
      <c r="AC141" s="501"/>
      <c r="AD141" s="501"/>
      <c r="AE141" s="501"/>
      <c r="AF141" s="501"/>
      <c r="AG141" s="501"/>
      <c r="AH141" s="501"/>
      <c r="AI141" s="501"/>
      <c r="AJ141" s="501"/>
      <c r="AK141" s="501"/>
      <c r="AL141" s="501"/>
      <c r="AM141" s="501"/>
      <c r="AN141" s="501"/>
      <c r="AO141" s="501"/>
      <c r="AP141" s="501"/>
      <c r="AQ141" s="501"/>
      <c r="AR141" s="501"/>
      <c r="AS141" s="501"/>
      <c r="AT141" s="501"/>
      <c r="AU141" s="501"/>
      <c r="AV141" s="501"/>
      <c r="AW141" s="501"/>
      <c r="AX141" s="501"/>
      <c r="AY141" s="501"/>
      <c r="AZ141" s="501"/>
      <c r="BA141" s="501"/>
      <c r="BB141" s="501"/>
      <c r="BC141" s="501"/>
      <c r="BD141" s="501"/>
      <c r="BE141" s="501"/>
      <c r="BF141" s="501"/>
      <c r="BG141" s="501"/>
      <c r="BH141" s="501"/>
      <c r="BI141" s="501"/>
      <c r="BJ141" s="501"/>
      <c r="BK141" s="501"/>
      <c r="BL141" s="501"/>
      <c r="BM141" s="501"/>
      <c r="BN141" s="501"/>
      <c r="BO141" s="501"/>
      <c r="BP141" s="501"/>
      <c r="BQ141" s="501"/>
      <c r="BR141" s="501"/>
      <c r="BS141" s="501"/>
      <c r="BT141" s="501"/>
      <c r="BU141" s="501"/>
      <c r="BV141" s="501"/>
      <c r="BW141" s="501"/>
      <c r="BX141" s="501"/>
      <c r="BY141" s="501"/>
      <c r="BZ141" s="501"/>
      <c r="CA141" s="501"/>
      <c r="CB141" s="501"/>
      <c r="CC141" s="501"/>
      <c r="CD141" s="501"/>
      <c r="CE141" s="501"/>
      <c r="CF141" s="501"/>
      <c r="CG141" s="501"/>
      <c r="CH141" s="501"/>
      <c r="CI141" s="501"/>
      <c r="CJ141" s="501"/>
      <c r="CK141" s="501"/>
      <c r="CL141" s="501"/>
      <c r="CM141" s="501"/>
      <c r="CN141" s="501"/>
      <c r="CO141" s="501"/>
      <c r="CP141" s="501"/>
      <c r="CQ141" s="501"/>
      <c r="CR141" s="501"/>
      <c r="CS141" s="501"/>
      <c r="CT141" s="501"/>
    </row>
    <row r="142">
      <c r="A142" s="569"/>
      <c r="B142" s="569"/>
      <c r="C142" s="569"/>
      <c r="D142" s="498"/>
      <c r="E142" s="499"/>
      <c r="F142" s="499"/>
      <c r="G142" s="766"/>
      <c r="H142" s="766"/>
      <c r="I142" s="766"/>
      <c r="J142" s="766"/>
      <c r="K142" s="683"/>
      <c r="L142" s="683"/>
      <c r="M142" s="683"/>
      <c r="N142" s="683"/>
      <c r="O142" s="683"/>
      <c r="P142" s="683"/>
      <c r="Q142" s="683"/>
      <c r="R142" s="683"/>
      <c r="S142" s="683"/>
      <c r="T142" s="501"/>
      <c r="U142" s="501"/>
      <c r="V142" s="501"/>
      <c r="W142" s="501"/>
      <c r="X142" s="501"/>
      <c r="Y142" s="501"/>
      <c r="Z142" s="501"/>
      <c r="AA142" s="501"/>
      <c r="AB142" s="501"/>
      <c r="AC142" s="501"/>
      <c r="AD142" s="501"/>
      <c r="AE142" s="501"/>
      <c r="AF142" s="501"/>
      <c r="AG142" s="501"/>
      <c r="AH142" s="501"/>
      <c r="AI142" s="501"/>
      <c r="AJ142" s="501"/>
      <c r="AK142" s="501"/>
      <c r="AL142" s="501"/>
      <c r="AM142" s="501"/>
      <c r="AN142" s="501"/>
      <c r="AO142" s="501"/>
      <c r="AP142" s="501"/>
      <c r="AQ142" s="501"/>
      <c r="AR142" s="501"/>
      <c r="AS142" s="501"/>
      <c r="AT142" s="501"/>
      <c r="AU142" s="501"/>
      <c r="AV142" s="501"/>
      <c r="AW142" s="501"/>
      <c r="AX142" s="501"/>
      <c r="AY142" s="501"/>
      <c r="AZ142" s="501"/>
      <c r="BA142" s="501"/>
      <c r="BB142" s="501"/>
      <c r="BC142" s="501"/>
      <c r="BD142" s="501"/>
      <c r="BE142" s="501"/>
      <c r="BF142" s="501"/>
      <c r="BG142" s="501"/>
      <c r="BH142" s="501"/>
      <c r="BI142" s="501"/>
      <c r="BJ142" s="501"/>
      <c r="BK142" s="501"/>
      <c r="BL142" s="501"/>
      <c r="BM142" s="501"/>
      <c r="BN142" s="501"/>
      <c r="BO142" s="501"/>
      <c r="BP142" s="501"/>
      <c r="BQ142" s="501"/>
      <c r="BR142" s="501"/>
      <c r="BS142" s="501"/>
      <c r="BT142" s="501"/>
      <c r="BU142" s="501"/>
      <c r="BV142" s="501"/>
      <c r="BW142" s="501"/>
      <c r="BX142" s="501"/>
      <c r="BY142" s="501"/>
      <c r="BZ142" s="501"/>
      <c r="CA142" s="501"/>
      <c r="CB142" s="501"/>
      <c r="CC142" s="501"/>
      <c r="CD142" s="501"/>
      <c r="CE142" s="501"/>
      <c r="CF142" s="501"/>
      <c r="CG142" s="501"/>
      <c r="CH142" s="501"/>
      <c r="CI142" s="501"/>
      <c r="CJ142" s="501"/>
      <c r="CK142" s="501"/>
      <c r="CL142" s="501"/>
      <c r="CM142" s="501"/>
      <c r="CN142" s="501"/>
      <c r="CO142" s="501"/>
      <c r="CP142" s="501"/>
      <c r="CQ142" s="501"/>
      <c r="CR142" s="501"/>
      <c r="CS142" s="501"/>
      <c r="CT142" s="501"/>
    </row>
    <row r="143">
      <c r="A143" s="569"/>
      <c r="B143" s="569"/>
      <c r="C143" s="569"/>
      <c r="D143" s="498"/>
      <c r="E143" s="499"/>
      <c r="F143" s="499"/>
      <c r="G143" s="766"/>
      <c r="H143" s="766"/>
      <c r="I143" s="766"/>
      <c r="J143" s="766"/>
      <c r="K143" s="683"/>
      <c r="L143" s="683"/>
      <c r="M143" s="683"/>
      <c r="N143" s="683"/>
      <c r="O143" s="683"/>
      <c r="P143" s="683"/>
      <c r="Q143" s="683"/>
      <c r="R143" s="683"/>
      <c r="S143" s="683"/>
      <c r="T143" s="501"/>
      <c r="U143" s="501"/>
      <c r="V143" s="501"/>
      <c r="W143" s="501"/>
      <c r="X143" s="501"/>
      <c r="Y143" s="501"/>
      <c r="Z143" s="501"/>
      <c r="AA143" s="501"/>
      <c r="AB143" s="501"/>
      <c r="AC143" s="501"/>
      <c r="AD143" s="501"/>
      <c r="AE143" s="501"/>
      <c r="AF143" s="501"/>
      <c r="AG143" s="501"/>
      <c r="AH143" s="501"/>
      <c r="AI143" s="501"/>
      <c r="AJ143" s="501"/>
      <c r="AK143" s="501"/>
      <c r="AL143" s="501"/>
      <c r="AM143" s="501"/>
      <c r="AN143" s="501"/>
      <c r="AO143" s="501"/>
      <c r="AP143" s="501"/>
      <c r="AQ143" s="501"/>
      <c r="AR143" s="501"/>
      <c r="AS143" s="501"/>
      <c r="AT143" s="501"/>
      <c r="AU143" s="501"/>
      <c r="AV143" s="501"/>
      <c r="AW143" s="501"/>
      <c r="AX143" s="501"/>
      <c r="AY143" s="501"/>
      <c r="AZ143" s="501"/>
      <c r="BA143" s="501"/>
      <c r="BB143" s="501"/>
      <c r="BC143" s="501"/>
      <c r="BD143" s="501"/>
      <c r="BE143" s="501"/>
      <c r="BF143" s="501"/>
      <c r="BG143" s="501"/>
      <c r="BH143" s="501"/>
      <c r="BI143" s="501"/>
      <c r="BJ143" s="501"/>
      <c r="BK143" s="501"/>
      <c r="BL143" s="501"/>
      <c r="BM143" s="501"/>
      <c r="BN143" s="501"/>
      <c r="BO143" s="501"/>
      <c r="BP143" s="501"/>
      <c r="BQ143" s="501"/>
      <c r="BR143" s="501"/>
      <c r="BS143" s="501"/>
      <c r="BT143" s="501"/>
      <c r="BU143" s="501"/>
      <c r="BV143" s="501"/>
      <c r="BW143" s="501"/>
      <c r="BX143" s="501"/>
      <c r="BY143" s="501"/>
      <c r="BZ143" s="501"/>
      <c r="CA143" s="501"/>
      <c r="CB143" s="501"/>
      <c r="CC143" s="501"/>
      <c r="CD143" s="501"/>
      <c r="CE143" s="501"/>
      <c r="CF143" s="501"/>
      <c r="CG143" s="501"/>
      <c r="CH143" s="501"/>
      <c r="CI143" s="501"/>
      <c r="CJ143" s="501"/>
      <c r="CK143" s="501"/>
      <c r="CL143" s="501"/>
      <c r="CM143" s="501"/>
      <c r="CN143" s="501"/>
      <c r="CO143" s="501"/>
      <c r="CP143" s="501"/>
      <c r="CQ143" s="501"/>
      <c r="CR143" s="501"/>
      <c r="CS143" s="501"/>
      <c r="CT143" s="501"/>
    </row>
    <row r="144">
      <c r="A144" s="569"/>
      <c r="B144" s="569"/>
      <c r="C144" s="569"/>
      <c r="D144" s="498"/>
      <c r="E144" s="499"/>
      <c r="F144" s="499"/>
      <c r="G144" s="766"/>
      <c r="H144" s="766"/>
      <c r="I144" s="766"/>
      <c r="J144" s="766"/>
      <c r="K144" s="683"/>
      <c r="L144" s="683"/>
      <c r="M144" s="683"/>
      <c r="N144" s="683"/>
      <c r="O144" s="683"/>
      <c r="P144" s="683"/>
      <c r="Q144" s="683"/>
      <c r="R144" s="683"/>
      <c r="S144" s="683"/>
      <c r="T144" s="501"/>
      <c r="U144" s="501"/>
      <c r="V144" s="501"/>
      <c r="W144" s="501"/>
      <c r="X144" s="501"/>
      <c r="Y144" s="501"/>
      <c r="Z144" s="501"/>
      <c r="AA144" s="501"/>
      <c r="AB144" s="501"/>
      <c r="AC144" s="501"/>
      <c r="AD144" s="501"/>
      <c r="AE144" s="501"/>
      <c r="AF144" s="501"/>
      <c r="AG144" s="501"/>
      <c r="AH144" s="501"/>
      <c r="AI144" s="501"/>
      <c r="AJ144" s="501"/>
      <c r="AK144" s="501"/>
      <c r="AL144" s="501"/>
      <c r="AM144" s="501"/>
      <c r="AN144" s="501"/>
      <c r="AO144" s="501"/>
      <c r="AP144" s="501"/>
      <c r="AQ144" s="501"/>
      <c r="AR144" s="501"/>
      <c r="AS144" s="501"/>
      <c r="AT144" s="501"/>
      <c r="AU144" s="501"/>
      <c r="AV144" s="501"/>
      <c r="AW144" s="501"/>
      <c r="AX144" s="501"/>
      <c r="AY144" s="501"/>
      <c r="AZ144" s="501"/>
      <c r="BA144" s="501"/>
      <c r="BB144" s="501"/>
      <c r="BC144" s="501"/>
      <c r="BD144" s="501"/>
      <c r="BE144" s="501"/>
      <c r="BF144" s="501"/>
      <c r="BG144" s="501"/>
      <c r="BH144" s="501"/>
      <c r="BI144" s="501"/>
      <c r="BJ144" s="501"/>
      <c r="BK144" s="501"/>
      <c r="BL144" s="501"/>
      <c r="BM144" s="501"/>
      <c r="BN144" s="501"/>
      <c r="BO144" s="501"/>
      <c r="BP144" s="501"/>
      <c r="BQ144" s="501"/>
      <c r="BR144" s="501"/>
      <c r="BS144" s="501"/>
      <c r="BT144" s="501"/>
      <c r="BU144" s="501"/>
      <c r="BV144" s="501"/>
      <c r="BW144" s="501"/>
      <c r="BX144" s="501"/>
      <c r="BY144" s="501"/>
      <c r="BZ144" s="501"/>
      <c r="CA144" s="501"/>
      <c r="CB144" s="501"/>
      <c r="CC144" s="501"/>
      <c r="CD144" s="501"/>
      <c r="CE144" s="501"/>
      <c r="CF144" s="501"/>
      <c r="CG144" s="501"/>
      <c r="CH144" s="501"/>
      <c r="CI144" s="501"/>
      <c r="CJ144" s="501"/>
      <c r="CK144" s="501"/>
      <c r="CL144" s="501"/>
      <c r="CM144" s="501"/>
      <c r="CN144" s="501"/>
      <c r="CO144" s="501"/>
      <c r="CP144" s="501"/>
      <c r="CQ144" s="501"/>
      <c r="CR144" s="501"/>
      <c r="CS144" s="501"/>
      <c r="CT144" s="501"/>
    </row>
    <row r="145">
      <c r="A145" s="569"/>
      <c r="B145" s="569"/>
      <c r="C145" s="569"/>
      <c r="D145" s="498"/>
      <c r="E145" s="499"/>
      <c r="F145" s="499"/>
      <c r="G145" s="766"/>
      <c r="H145" s="766"/>
      <c r="I145" s="766"/>
      <c r="J145" s="766"/>
      <c r="K145" s="683"/>
      <c r="L145" s="683"/>
      <c r="M145" s="683"/>
      <c r="N145" s="683"/>
      <c r="O145" s="683"/>
      <c r="P145" s="683"/>
      <c r="Q145" s="683"/>
      <c r="R145" s="683"/>
      <c r="S145" s="683"/>
      <c r="T145" s="501"/>
      <c r="U145" s="501"/>
      <c r="V145" s="501"/>
      <c r="W145" s="501"/>
      <c r="X145" s="501"/>
      <c r="Y145" s="501"/>
      <c r="Z145" s="501"/>
      <c r="AA145" s="501"/>
      <c r="AB145" s="501"/>
      <c r="AC145" s="501"/>
      <c r="AD145" s="501"/>
      <c r="AE145" s="501"/>
      <c r="AF145" s="501"/>
      <c r="AG145" s="501"/>
      <c r="AH145" s="501"/>
      <c r="AI145" s="501"/>
      <c r="AJ145" s="501"/>
      <c r="AK145" s="501"/>
      <c r="AL145" s="501"/>
      <c r="AM145" s="501"/>
      <c r="AN145" s="501"/>
      <c r="AO145" s="501"/>
      <c r="AP145" s="501"/>
      <c r="AQ145" s="501"/>
      <c r="AR145" s="501"/>
      <c r="AS145" s="501"/>
      <c r="AT145" s="501"/>
      <c r="AU145" s="501"/>
      <c r="AV145" s="501"/>
      <c r="AW145" s="501"/>
      <c r="AX145" s="501"/>
      <c r="AY145" s="501"/>
      <c r="AZ145" s="501"/>
      <c r="BA145" s="501"/>
      <c r="BB145" s="501"/>
      <c r="BC145" s="501"/>
      <c r="BD145" s="501"/>
      <c r="BE145" s="501"/>
      <c r="BF145" s="501"/>
      <c r="BG145" s="501"/>
      <c r="BH145" s="501"/>
      <c r="BI145" s="501"/>
      <c r="BJ145" s="501"/>
      <c r="BK145" s="501"/>
      <c r="BL145" s="501"/>
      <c r="BM145" s="501"/>
      <c r="BN145" s="501"/>
      <c r="BO145" s="501"/>
      <c r="BP145" s="501"/>
      <c r="BQ145" s="501"/>
      <c r="BR145" s="501"/>
      <c r="BS145" s="501"/>
      <c r="BT145" s="501"/>
      <c r="BU145" s="501"/>
      <c r="BV145" s="501"/>
      <c r="BW145" s="501"/>
      <c r="BX145" s="501"/>
      <c r="BY145" s="501"/>
      <c r="BZ145" s="501"/>
      <c r="CA145" s="501"/>
      <c r="CB145" s="501"/>
      <c r="CC145" s="501"/>
      <c r="CD145" s="501"/>
      <c r="CE145" s="501"/>
      <c r="CF145" s="501"/>
      <c r="CG145" s="501"/>
      <c r="CH145" s="501"/>
      <c r="CI145" s="501"/>
      <c r="CJ145" s="501"/>
      <c r="CK145" s="501"/>
      <c r="CL145" s="501"/>
      <c r="CM145" s="501"/>
      <c r="CN145" s="501"/>
      <c r="CO145" s="501"/>
      <c r="CP145" s="501"/>
      <c r="CQ145" s="501"/>
      <c r="CR145" s="501"/>
      <c r="CS145" s="501"/>
      <c r="CT145" s="501"/>
    </row>
    <row r="146">
      <c r="A146" s="569"/>
      <c r="B146" s="569"/>
      <c r="C146" s="569"/>
      <c r="D146" s="498"/>
      <c r="E146" s="499"/>
      <c r="F146" s="499"/>
      <c r="G146" s="766"/>
      <c r="H146" s="766"/>
      <c r="I146" s="766"/>
      <c r="J146" s="766"/>
      <c r="K146" s="683"/>
      <c r="L146" s="683"/>
      <c r="M146" s="683"/>
      <c r="N146" s="683"/>
      <c r="O146" s="683"/>
      <c r="P146" s="683"/>
      <c r="Q146" s="683"/>
      <c r="R146" s="683"/>
      <c r="S146" s="683"/>
      <c r="T146" s="501"/>
      <c r="U146" s="501"/>
      <c r="V146" s="501"/>
      <c r="W146" s="501"/>
      <c r="X146" s="501"/>
      <c r="Y146" s="501"/>
      <c r="Z146" s="501"/>
      <c r="AA146" s="501"/>
      <c r="AB146" s="501"/>
      <c r="AC146" s="501"/>
      <c r="AD146" s="501"/>
      <c r="AE146" s="501"/>
      <c r="AF146" s="501"/>
      <c r="AG146" s="501"/>
      <c r="AH146" s="501"/>
      <c r="AI146" s="501"/>
      <c r="AJ146" s="501"/>
      <c r="AK146" s="501"/>
      <c r="AL146" s="501"/>
      <c r="AM146" s="501"/>
      <c r="AN146" s="501"/>
      <c r="AO146" s="501"/>
      <c r="AP146" s="501"/>
      <c r="AQ146" s="501"/>
      <c r="AR146" s="501"/>
      <c r="AS146" s="501"/>
      <c r="AT146" s="501"/>
      <c r="AU146" s="501"/>
      <c r="AV146" s="501"/>
      <c r="AW146" s="501"/>
      <c r="AX146" s="501"/>
      <c r="AY146" s="501"/>
      <c r="AZ146" s="501"/>
      <c r="BA146" s="501"/>
      <c r="BB146" s="501"/>
      <c r="BC146" s="501"/>
      <c r="BD146" s="501"/>
      <c r="BE146" s="501"/>
      <c r="BF146" s="501"/>
      <c r="BG146" s="501"/>
      <c r="BH146" s="501"/>
      <c r="BI146" s="501"/>
      <c r="BJ146" s="501"/>
      <c r="BK146" s="501"/>
      <c r="BL146" s="501"/>
      <c r="BM146" s="501"/>
      <c r="BN146" s="501"/>
      <c r="BO146" s="501"/>
      <c r="BP146" s="501"/>
      <c r="BQ146" s="501"/>
      <c r="BR146" s="501"/>
      <c r="BS146" s="501"/>
      <c r="BT146" s="501"/>
      <c r="BU146" s="501"/>
      <c r="BV146" s="501"/>
      <c r="BW146" s="501"/>
      <c r="BX146" s="501"/>
      <c r="BY146" s="501"/>
      <c r="BZ146" s="501"/>
      <c r="CA146" s="501"/>
      <c r="CB146" s="501"/>
      <c r="CC146" s="501"/>
      <c r="CD146" s="501"/>
      <c r="CE146" s="501"/>
      <c r="CF146" s="501"/>
      <c r="CG146" s="501"/>
      <c r="CH146" s="501"/>
      <c r="CI146" s="501"/>
      <c r="CJ146" s="501"/>
      <c r="CK146" s="501"/>
      <c r="CL146" s="501"/>
      <c r="CM146" s="501"/>
      <c r="CN146" s="501"/>
      <c r="CO146" s="501"/>
      <c r="CP146" s="501"/>
      <c r="CQ146" s="501"/>
      <c r="CR146" s="501"/>
      <c r="CS146" s="501"/>
      <c r="CT146" s="501"/>
    </row>
    <row r="147">
      <c r="A147" s="569"/>
      <c r="B147" s="569"/>
      <c r="C147" s="569"/>
      <c r="D147" s="498"/>
      <c r="E147" s="499"/>
      <c r="F147" s="499"/>
      <c r="G147" s="766"/>
      <c r="H147" s="766"/>
      <c r="I147" s="766"/>
      <c r="J147" s="766"/>
      <c r="K147" s="683"/>
      <c r="L147" s="683"/>
      <c r="M147" s="683"/>
      <c r="N147" s="683"/>
      <c r="O147" s="683"/>
      <c r="P147" s="683"/>
      <c r="Q147" s="683"/>
      <c r="R147" s="683"/>
      <c r="S147" s="683"/>
      <c r="T147" s="501"/>
      <c r="U147" s="501"/>
      <c r="V147" s="501"/>
      <c r="W147" s="501"/>
      <c r="X147" s="501"/>
      <c r="Y147" s="501"/>
      <c r="Z147" s="501"/>
      <c r="AA147" s="501"/>
      <c r="AB147" s="501"/>
      <c r="AC147" s="501"/>
      <c r="AD147" s="501"/>
      <c r="AE147" s="501"/>
      <c r="AF147" s="501"/>
      <c r="AG147" s="501"/>
      <c r="AH147" s="501"/>
      <c r="AI147" s="501"/>
      <c r="AJ147" s="501"/>
      <c r="AK147" s="501"/>
      <c r="AL147" s="501"/>
      <c r="AM147" s="501"/>
      <c r="AN147" s="501"/>
      <c r="AO147" s="501"/>
      <c r="AP147" s="501"/>
      <c r="AQ147" s="501"/>
      <c r="AR147" s="501"/>
      <c r="AS147" s="501"/>
      <c r="AT147" s="501"/>
      <c r="AU147" s="501"/>
      <c r="AV147" s="501"/>
      <c r="AW147" s="501"/>
      <c r="AX147" s="501"/>
      <c r="AY147" s="501"/>
      <c r="AZ147" s="501"/>
      <c r="BA147" s="501"/>
      <c r="BB147" s="501"/>
      <c r="BC147" s="501"/>
      <c r="BD147" s="501"/>
      <c r="BE147" s="501"/>
      <c r="BF147" s="501"/>
      <c r="BG147" s="501"/>
      <c r="BH147" s="501"/>
      <c r="BI147" s="501"/>
      <c r="BJ147" s="501"/>
      <c r="BK147" s="501"/>
      <c r="BL147" s="501"/>
      <c r="BM147" s="501"/>
      <c r="BN147" s="501"/>
      <c r="BO147" s="501"/>
      <c r="BP147" s="501"/>
      <c r="BQ147" s="501"/>
      <c r="BR147" s="501"/>
      <c r="BS147" s="501"/>
      <c r="BT147" s="501"/>
      <c r="BU147" s="501"/>
      <c r="BV147" s="501"/>
      <c r="BW147" s="501"/>
      <c r="BX147" s="501"/>
      <c r="BY147" s="501"/>
      <c r="BZ147" s="501"/>
      <c r="CA147" s="501"/>
      <c r="CB147" s="501"/>
      <c r="CC147" s="501"/>
      <c r="CD147" s="501"/>
      <c r="CE147" s="501"/>
      <c r="CF147" s="501"/>
      <c r="CG147" s="501"/>
      <c r="CH147" s="501"/>
      <c r="CI147" s="501"/>
      <c r="CJ147" s="501"/>
      <c r="CK147" s="501"/>
      <c r="CL147" s="501"/>
      <c r="CM147" s="501"/>
      <c r="CN147" s="501"/>
      <c r="CO147" s="501"/>
      <c r="CP147" s="501"/>
      <c r="CQ147" s="501"/>
      <c r="CR147" s="501"/>
      <c r="CS147" s="501"/>
      <c r="CT147" s="501"/>
    </row>
    <row r="148">
      <c r="A148" s="569"/>
      <c r="B148" s="569"/>
      <c r="C148" s="569"/>
      <c r="D148" s="498"/>
      <c r="E148" s="499"/>
      <c r="F148" s="499"/>
      <c r="G148" s="766"/>
      <c r="H148" s="766"/>
      <c r="I148" s="766"/>
      <c r="J148" s="766"/>
      <c r="K148" s="683"/>
      <c r="L148" s="683"/>
      <c r="M148" s="683"/>
      <c r="N148" s="683"/>
      <c r="O148" s="683"/>
      <c r="P148" s="683"/>
      <c r="Q148" s="683"/>
      <c r="R148" s="683"/>
      <c r="S148" s="683"/>
      <c r="T148" s="501"/>
      <c r="U148" s="501"/>
      <c r="V148" s="501"/>
      <c r="W148" s="501"/>
      <c r="X148" s="501"/>
      <c r="Y148" s="501"/>
      <c r="Z148" s="501"/>
      <c r="AA148" s="501"/>
      <c r="AB148" s="501"/>
      <c r="AC148" s="501"/>
      <c r="AD148" s="501"/>
      <c r="AE148" s="501"/>
      <c r="AF148" s="501"/>
      <c r="AG148" s="501"/>
      <c r="AH148" s="501"/>
      <c r="AI148" s="501"/>
      <c r="AJ148" s="501"/>
      <c r="AK148" s="501"/>
      <c r="AL148" s="501"/>
      <c r="AM148" s="501"/>
      <c r="AN148" s="501"/>
      <c r="AO148" s="501"/>
      <c r="AP148" s="501"/>
      <c r="AQ148" s="501"/>
      <c r="AR148" s="501"/>
      <c r="AS148" s="501"/>
      <c r="AT148" s="501"/>
      <c r="AU148" s="501"/>
      <c r="AV148" s="501"/>
      <c r="AW148" s="501"/>
      <c r="AX148" s="501"/>
      <c r="AY148" s="501"/>
      <c r="AZ148" s="501"/>
      <c r="BA148" s="501"/>
      <c r="BB148" s="501"/>
      <c r="BC148" s="501"/>
      <c r="BD148" s="501"/>
      <c r="BE148" s="501"/>
      <c r="BF148" s="501"/>
      <c r="BG148" s="501"/>
      <c r="BH148" s="501"/>
      <c r="BI148" s="501"/>
      <c r="BJ148" s="501"/>
      <c r="BK148" s="501"/>
      <c r="BL148" s="501"/>
      <c r="BM148" s="501"/>
      <c r="BN148" s="501"/>
      <c r="BO148" s="501"/>
      <c r="BP148" s="501"/>
      <c r="BQ148" s="501"/>
      <c r="BR148" s="501"/>
      <c r="BS148" s="501"/>
      <c r="BT148" s="501"/>
      <c r="BU148" s="501"/>
      <c r="BV148" s="501"/>
      <c r="BW148" s="501"/>
      <c r="BX148" s="501"/>
      <c r="BY148" s="501"/>
      <c r="BZ148" s="501"/>
      <c r="CA148" s="501"/>
      <c r="CB148" s="501"/>
      <c r="CC148" s="501"/>
      <c r="CD148" s="501"/>
      <c r="CE148" s="501"/>
      <c r="CF148" s="501"/>
      <c r="CG148" s="501"/>
      <c r="CH148" s="501"/>
      <c r="CI148" s="501"/>
      <c r="CJ148" s="501"/>
      <c r="CK148" s="501"/>
      <c r="CL148" s="501"/>
      <c r="CM148" s="501"/>
      <c r="CN148" s="501"/>
      <c r="CO148" s="501"/>
      <c r="CP148" s="501"/>
      <c r="CQ148" s="501"/>
      <c r="CR148" s="501"/>
      <c r="CS148" s="501"/>
      <c r="CT148" s="501"/>
    </row>
    <row r="149">
      <c r="A149" s="569"/>
      <c r="B149" s="569"/>
      <c r="C149" s="569"/>
      <c r="D149" s="498"/>
      <c r="E149" s="499"/>
      <c r="F149" s="499"/>
      <c r="G149" s="766"/>
      <c r="H149" s="766"/>
      <c r="I149" s="766"/>
      <c r="J149" s="766"/>
      <c r="K149" s="683"/>
      <c r="L149" s="683"/>
      <c r="M149" s="683"/>
      <c r="N149" s="683"/>
      <c r="O149" s="683"/>
      <c r="P149" s="683"/>
      <c r="Q149" s="683"/>
      <c r="R149" s="683"/>
      <c r="S149" s="683"/>
      <c r="T149" s="501"/>
      <c r="U149" s="501"/>
      <c r="V149" s="501"/>
      <c r="W149" s="501"/>
      <c r="X149" s="501"/>
      <c r="Y149" s="501"/>
      <c r="Z149" s="501"/>
      <c r="AA149" s="501"/>
      <c r="AB149" s="501"/>
      <c r="AC149" s="501"/>
      <c r="AD149" s="501"/>
      <c r="AE149" s="501"/>
      <c r="AF149" s="501"/>
      <c r="AG149" s="501"/>
      <c r="AH149" s="501"/>
      <c r="AI149" s="501"/>
      <c r="AJ149" s="501"/>
      <c r="AK149" s="501"/>
      <c r="AL149" s="501"/>
      <c r="AM149" s="501"/>
      <c r="AN149" s="501"/>
      <c r="AO149" s="501"/>
      <c r="AP149" s="501"/>
      <c r="AQ149" s="501"/>
      <c r="AR149" s="501"/>
      <c r="AS149" s="501"/>
      <c r="AT149" s="501"/>
      <c r="AU149" s="501"/>
      <c r="AV149" s="501"/>
      <c r="AW149" s="501"/>
      <c r="AX149" s="501"/>
      <c r="AY149" s="501"/>
      <c r="AZ149" s="501"/>
      <c r="BA149" s="501"/>
      <c r="BB149" s="501"/>
      <c r="BC149" s="501"/>
      <c r="BD149" s="501"/>
      <c r="BE149" s="501"/>
      <c r="BF149" s="501"/>
      <c r="BG149" s="501"/>
      <c r="BH149" s="501"/>
      <c r="BI149" s="501"/>
      <c r="BJ149" s="501"/>
      <c r="BK149" s="501"/>
      <c r="BL149" s="501"/>
      <c r="BM149" s="501"/>
      <c r="BN149" s="501"/>
      <c r="BO149" s="501"/>
      <c r="BP149" s="501"/>
      <c r="BQ149" s="501"/>
      <c r="BR149" s="501"/>
      <c r="BS149" s="501"/>
      <c r="BT149" s="501"/>
      <c r="BU149" s="501"/>
      <c r="BV149" s="501"/>
      <c r="BW149" s="501"/>
      <c r="BX149" s="501"/>
      <c r="BY149" s="501"/>
      <c r="BZ149" s="501"/>
      <c r="CA149" s="501"/>
      <c r="CB149" s="501"/>
      <c r="CC149" s="501"/>
      <c r="CD149" s="501"/>
      <c r="CE149" s="501"/>
      <c r="CF149" s="501"/>
      <c r="CG149" s="501"/>
      <c r="CH149" s="501"/>
      <c r="CI149" s="501"/>
      <c r="CJ149" s="501"/>
      <c r="CK149" s="501"/>
      <c r="CL149" s="501"/>
      <c r="CM149" s="501"/>
      <c r="CN149" s="501"/>
      <c r="CO149" s="501"/>
      <c r="CP149" s="501"/>
      <c r="CQ149" s="501"/>
      <c r="CR149" s="501"/>
      <c r="CS149" s="501"/>
      <c r="CT149" s="501"/>
    </row>
    <row r="150">
      <c r="A150" s="569"/>
      <c r="B150" s="569"/>
      <c r="C150" s="569"/>
      <c r="D150" s="498"/>
      <c r="E150" s="499"/>
      <c r="F150" s="499"/>
      <c r="G150" s="766"/>
      <c r="H150" s="766"/>
      <c r="I150" s="766"/>
      <c r="J150" s="766"/>
      <c r="K150" s="683"/>
      <c r="L150" s="683"/>
      <c r="M150" s="683"/>
      <c r="N150" s="683"/>
      <c r="O150" s="683"/>
      <c r="P150" s="683"/>
      <c r="Q150" s="683"/>
      <c r="R150" s="683"/>
      <c r="S150" s="683"/>
      <c r="T150" s="501"/>
      <c r="U150" s="501"/>
      <c r="V150" s="501"/>
      <c r="W150" s="501"/>
      <c r="X150" s="501"/>
      <c r="Y150" s="501"/>
      <c r="Z150" s="501"/>
      <c r="AA150" s="501"/>
      <c r="AB150" s="501"/>
      <c r="AC150" s="501"/>
      <c r="AD150" s="501"/>
      <c r="AE150" s="501"/>
      <c r="AF150" s="501"/>
      <c r="AG150" s="501"/>
      <c r="AH150" s="501"/>
      <c r="AI150" s="501"/>
      <c r="AJ150" s="501"/>
      <c r="AK150" s="501"/>
      <c r="AL150" s="501"/>
      <c r="AM150" s="501"/>
      <c r="AN150" s="501"/>
      <c r="AO150" s="501"/>
      <c r="AP150" s="501"/>
      <c r="AQ150" s="501"/>
      <c r="AR150" s="501"/>
      <c r="AS150" s="501"/>
      <c r="AT150" s="501"/>
      <c r="AU150" s="501"/>
      <c r="AV150" s="501"/>
      <c r="AW150" s="501"/>
      <c r="AX150" s="501"/>
      <c r="AY150" s="501"/>
      <c r="AZ150" s="501"/>
      <c r="BA150" s="501"/>
      <c r="BB150" s="501"/>
      <c r="BC150" s="501"/>
      <c r="BD150" s="501"/>
      <c r="BE150" s="501"/>
      <c r="BF150" s="501"/>
      <c r="BG150" s="501"/>
      <c r="BH150" s="501"/>
      <c r="BI150" s="501"/>
      <c r="BJ150" s="501"/>
      <c r="BK150" s="501"/>
      <c r="BL150" s="501"/>
      <c r="BM150" s="501"/>
      <c r="BN150" s="501"/>
      <c r="BO150" s="501"/>
      <c r="BP150" s="501"/>
      <c r="BQ150" s="501"/>
      <c r="BR150" s="501"/>
      <c r="BS150" s="501"/>
      <c r="BT150" s="501"/>
      <c r="BU150" s="501"/>
      <c r="BV150" s="501"/>
      <c r="BW150" s="501"/>
      <c r="BX150" s="501"/>
      <c r="BY150" s="501"/>
      <c r="BZ150" s="501"/>
      <c r="CA150" s="501"/>
      <c r="CB150" s="501"/>
      <c r="CC150" s="501"/>
      <c r="CD150" s="501"/>
      <c r="CE150" s="501"/>
      <c r="CF150" s="501"/>
      <c r="CG150" s="501"/>
      <c r="CH150" s="501"/>
      <c r="CI150" s="501"/>
      <c r="CJ150" s="501"/>
      <c r="CK150" s="501"/>
      <c r="CL150" s="501"/>
      <c r="CM150" s="501"/>
      <c r="CN150" s="501"/>
      <c r="CO150" s="501"/>
      <c r="CP150" s="501"/>
      <c r="CQ150" s="501"/>
      <c r="CR150" s="501"/>
      <c r="CS150" s="501"/>
      <c r="CT150" s="501"/>
    </row>
    <row r="151">
      <c r="A151" s="569"/>
      <c r="B151" s="569"/>
      <c r="C151" s="569"/>
      <c r="D151" s="498"/>
      <c r="E151" s="499"/>
      <c r="F151" s="499"/>
      <c r="G151" s="766"/>
      <c r="H151" s="766"/>
      <c r="I151" s="766"/>
      <c r="J151" s="766"/>
      <c r="K151" s="683"/>
      <c r="L151" s="683"/>
      <c r="M151" s="683"/>
      <c r="N151" s="683"/>
      <c r="O151" s="683"/>
      <c r="P151" s="683"/>
      <c r="Q151" s="683"/>
      <c r="R151" s="683"/>
      <c r="S151" s="683"/>
      <c r="T151" s="501"/>
      <c r="U151" s="501"/>
      <c r="V151" s="501"/>
      <c r="W151" s="501"/>
      <c r="X151" s="501"/>
      <c r="Y151" s="501"/>
      <c r="Z151" s="501"/>
      <c r="AA151" s="501"/>
      <c r="AB151" s="501"/>
      <c r="AC151" s="501"/>
      <c r="AD151" s="501"/>
      <c r="AE151" s="501"/>
      <c r="AF151" s="501"/>
      <c r="AG151" s="501"/>
      <c r="AH151" s="501"/>
      <c r="AI151" s="501"/>
      <c r="AJ151" s="501"/>
      <c r="AK151" s="501"/>
      <c r="AL151" s="501"/>
      <c r="AM151" s="501"/>
      <c r="AN151" s="501"/>
      <c r="AO151" s="501"/>
      <c r="AP151" s="501"/>
      <c r="AQ151" s="501"/>
      <c r="AR151" s="501"/>
      <c r="AS151" s="501"/>
      <c r="AT151" s="501"/>
      <c r="AU151" s="501"/>
      <c r="AV151" s="501"/>
      <c r="AW151" s="501"/>
      <c r="AX151" s="501"/>
      <c r="AY151" s="501"/>
      <c r="AZ151" s="501"/>
      <c r="BA151" s="501"/>
      <c r="BB151" s="501"/>
      <c r="BC151" s="501"/>
      <c r="BD151" s="501"/>
      <c r="BE151" s="501"/>
      <c r="BF151" s="501"/>
      <c r="BG151" s="501"/>
      <c r="BH151" s="501"/>
      <c r="BI151" s="501"/>
      <c r="BJ151" s="501"/>
      <c r="BK151" s="501"/>
      <c r="BL151" s="501"/>
      <c r="BM151" s="501"/>
      <c r="BN151" s="501"/>
      <c r="BO151" s="501"/>
      <c r="BP151" s="501"/>
      <c r="BQ151" s="501"/>
      <c r="BR151" s="501"/>
      <c r="BS151" s="501"/>
      <c r="BT151" s="501"/>
      <c r="BU151" s="501"/>
      <c r="BV151" s="501"/>
      <c r="BW151" s="501"/>
      <c r="BX151" s="501"/>
      <c r="BY151" s="501"/>
      <c r="BZ151" s="501"/>
      <c r="CA151" s="501"/>
      <c r="CB151" s="501"/>
      <c r="CC151" s="501"/>
      <c r="CD151" s="501"/>
      <c r="CE151" s="501"/>
      <c r="CF151" s="501"/>
      <c r="CG151" s="501"/>
      <c r="CH151" s="501"/>
      <c r="CI151" s="501"/>
      <c r="CJ151" s="501"/>
      <c r="CK151" s="501"/>
      <c r="CL151" s="501"/>
      <c r="CM151" s="501"/>
      <c r="CN151" s="501"/>
      <c r="CO151" s="501"/>
      <c r="CP151" s="501"/>
      <c r="CQ151" s="501"/>
      <c r="CR151" s="501"/>
      <c r="CS151" s="501"/>
      <c r="CT151" s="501"/>
    </row>
    <row r="152">
      <c r="A152" s="569"/>
      <c r="B152" s="569"/>
      <c r="C152" s="569"/>
      <c r="D152" s="498"/>
      <c r="E152" s="499"/>
      <c r="F152" s="499"/>
      <c r="G152" s="766"/>
      <c r="H152" s="766"/>
      <c r="I152" s="766"/>
      <c r="J152" s="766"/>
      <c r="K152" s="683"/>
      <c r="L152" s="683"/>
      <c r="M152" s="683"/>
      <c r="N152" s="683"/>
      <c r="O152" s="683"/>
      <c r="P152" s="683"/>
      <c r="Q152" s="683"/>
      <c r="R152" s="683"/>
      <c r="S152" s="683"/>
      <c r="T152" s="501"/>
      <c r="U152" s="501"/>
      <c r="V152" s="501"/>
      <c r="W152" s="501"/>
      <c r="X152" s="501"/>
      <c r="Y152" s="501"/>
      <c r="Z152" s="501"/>
      <c r="AA152" s="501"/>
      <c r="AB152" s="501"/>
      <c r="AC152" s="501"/>
      <c r="AD152" s="501"/>
      <c r="AE152" s="501"/>
      <c r="AF152" s="501"/>
      <c r="AG152" s="501"/>
      <c r="AH152" s="501"/>
      <c r="AI152" s="501"/>
      <c r="AJ152" s="501"/>
      <c r="AK152" s="501"/>
      <c r="AL152" s="501"/>
      <c r="AM152" s="501"/>
      <c r="AN152" s="501"/>
      <c r="AO152" s="501"/>
      <c r="AP152" s="501"/>
      <c r="AQ152" s="501"/>
      <c r="AR152" s="501"/>
      <c r="AS152" s="501"/>
      <c r="AT152" s="501"/>
      <c r="AU152" s="501"/>
      <c r="AV152" s="501"/>
      <c r="AW152" s="501"/>
      <c r="AX152" s="501"/>
      <c r="AY152" s="501"/>
      <c r="AZ152" s="501"/>
      <c r="BA152" s="501"/>
      <c r="BB152" s="501"/>
      <c r="BC152" s="501"/>
      <c r="BD152" s="501"/>
      <c r="BE152" s="501"/>
      <c r="BF152" s="501"/>
      <c r="BG152" s="501"/>
      <c r="BH152" s="501"/>
      <c r="BI152" s="501"/>
      <c r="BJ152" s="501"/>
      <c r="BK152" s="501"/>
      <c r="BL152" s="501"/>
      <c r="BM152" s="501"/>
      <c r="BN152" s="501"/>
      <c r="BO152" s="501"/>
      <c r="BP152" s="501"/>
      <c r="BQ152" s="501"/>
      <c r="BR152" s="501"/>
      <c r="BS152" s="501"/>
      <c r="BT152" s="501"/>
      <c r="BU152" s="501"/>
      <c r="BV152" s="501"/>
      <c r="BW152" s="501"/>
      <c r="BX152" s="501"/>
      <c r="BY152" s="501"/>
      <c r="BZ152" s="501"/>
      <c r="CA152" s="501"/>
      <c r="CB152" s="501"/>
      <c r="CC152" s="501"/>
      <c r="CD152" s="501"/>
      <c r="CE152" s="501"/>
      <c r="CF152" s="501"/>
      <c r="CG152" s="501"/>
      <c r="CH152" s="501"/>
      <c r="CI152" s="501"/>
      <c r="CJ152" s="501"/>
      <c r="CK152" s="501"/>
      <c r="CL152" s="501"/>
      <c r="CM152" s="501"/>
      <c r="CN152" s="501"/>
      <c r="CO152" s="501"/>
      <c r="CP152" s="501"/>
      <c r="CQ152" s="501"/>
      <c r="CR152" s="501"/>
      <c r="CS152" s="501"/>
      <c r="CT152" s="501"/>
    </row>
    <row r="153">
      <c r="A153" s="569"/>
      <c r="B153" s="569"/>
      <c r="C153" s="569"/>
      <c r="D153" s="498"/>
      <c r="E153" s="499"/>
      <c r="F153" s="499"/>
      <c r="G153" s="766"/>
      <c r="H153" s="766"/>
      <c r="I153" s="766"/>
      <c r="J153" s="766"/>
      <c r="K153" s="683"/>
      <c r="L153" s="683"/>
      <c r="M153" s="683"/>
      <c r="N153" s="683"/>
      <c r="O153" s="683"/>
      <c r="P153" s="683"/>
      <c r="Q153" s="683"/>
      <c r="R153" s="683"/>
      <c r="S153" s="683"/>
      <c r="T153" s="501"/>
      <c r="U153" s="501"/>
      <c r="V153" s="501"/>
      <c r="W153" s="501"/>
      <c r="X153" s="501"/>
      <c r="Y153" s="501"/>
      <c r="Z153" s="501"/>
      <c r="AA153" s="501"/>
      <c r="AB153" s="501"/>
      <c r="AC153" s="501"/>
      <c r="AD153" s="501"/>
      <c r="AE153" s="501"/>
      <c r="AF153" s="501"/>
      <c r="AG153" s="501"/>
      <c r="AH153" s="501"/>
      <c r="AI153" s="501"/>
      <c r="AJ153" s="501"/>
      <c r="AK153" s="501"/>
      <c r="AL153" s="501"/>
      <c r="AM153" s="501"/>
      <c r="AN153" s="501"/>
      <c r="AO153" s="501"/>
      <c r="AP153" s="501"/>
      <c r="AQ153" s="501"/>
      <c r="AR153" s="501"/>
      <c r="AS153" s="501"/>
      <c r="AT153" s="501"/>
      <c r="AU153" s="501"/>
      <c r="AV153" s="501"/>
      <c r="AW153" s="501"/>
      <c r="AX153" s="501"/>
      <c r="AY153" s="501"/>
      <c r="AZ153" s="501"/>
      <c r="BA153" s="501"/>
      <c r="BB153" s="501"/>
      <c r="BC153" s="501"/>
      <c r="BD153" s="501"/>
      <c r="BE153" s="501"/>
      <c r="BF153" s="501"/>
      <c r="BG153" s="501"/>
      <c r="BH153" s="501"/>
      <c r="BI153" s="501"/>
      <c r="BJ153" s="501"/>
      <c r="BK153" s="501"/>
      <c r="BL153" s="501"/>
      <c r="BM153" s="501"/>
      <c r="BN153" s="501"/>
      <c r="BO153" s="501"/>
      <c r="BP153" s="501"/>
      <c r="BQ153" s="501"/>
      <c r="BR153" s="501"/>
      <c r="BS153" s="501"/>
      <c r="BT153" s="501"/>
      <c r="BU153" s="501"/>
      <c r="BV153" s="501"/>
      <c r="BW153" s="501"/>
      <c r="BX153" s="501"/>
      <c r="BY153" s="501"/>
      <c r="BZ153" s="501"/>
      <c r="CA153" s="501"/>
      <c r="CB153" s="501"/>
      <c r="CC153" s="501"/>
      <c r="CD153" s="501"/>
      <c r="CE153" s="501"/>
      <c r="CF153" s="501"/>
      <c r="CG153" s="501"/>
      <c r="CH153" s="501"/>
      <c r="CI153" s="501"/>
      <c r="CJ153" s="501"/>
      <c r="CK153" s="501"/>
      <c r="CL153" s="501"/>
      <c r="CM153" s="501"/>
      <c r="CN153" s="501"/>
      <c r="CO153" s="501"/>
      <c r="CP153" s="501"/>
      <c r="CQ153" s="501"/>
      <c r="CR153" s="501"/>
      <c r="CS153" s="501"/>
      <c r="CT153" s="501"/>
    </row>
    <row r="154">
      <c r="A154" s="569"/>
      <c r="B154" s="569"/>
      <c r="C154" s="569"/>
      <c r="D154" s="498"/>
      <c r="E154" s="499"/>
      <c r="F154" s="499"/>
      <c r="G154" s="766"/>
      <c r="H154" s="766"/>
      <c r="I154" s="766"/>
      <c r="J154" s="766"/>
      <c r="K154" s="683"/>
      <c r="L154" s="683"/>
      <c r="M154" s="683"/>
      <c r="N154" s="683"/>
      <c r="O154" s="683"/>
      <c r="P154" s="683"/>
      <c r="Q154" s="683"/>
      <c r="R154" s="683"/>
      <c r="S154" s="683"/>
      <c r="T154" s="501"/>
      <c r="U154" s="501"/>
      <c r="V154" s="501"/>
      <c r="W154" s="501"/>
      <c r="X154" s="501"/>
      <c r="Y154" s="501"/>
      <c r="Z154" s="501"/>
      <c r="AA154" s="501"/>
      <c r="AB154" s="501"/>
      <c r="AC154" s="501"/>
      <c r="AD154" s="501"/>
      <c r="AE154" s="501"/>
      <c r="AF154" s="501"/>
      <c r="AG154" s="501"/>
      <c r="AH154" s="501"/>
      <c r="AI154" s="501"/>
      <c r="AJ154" s="501"/>
      <c r="AK154" s="501"/>
      <c r="AL154" s="501"/>
      <c r="AM154" s="501"/>
      <c r="AN154" s="501"/>
      <c r="AO154" s="501"/>
      <c r="AP154" s="501"/>
      <c r="AQ154" s="501"/>
      <c r="AR154" s="501"/>
      <c r="AS154" s="501"/>
      <c r="AT154" s="501"/>
      <c r="AU154" s="501"/>
      <c r="AV154" s="501"/>
      <c r="AW154" s="501"/>
      <c r="AX154" s="501"/>
      <c r="AY154" s="501"/>
      <c r="AZ154" s="501"/>
      <c r="BA154" s="501"/>
      <c r="BB154" s="501"/>
      <c r="BC154" s="501"/>
      <c r="BD154" s="501"/>
      <c r="BE154" s="501"/>
      <c r="BF154" s="501"/>
      <c r="BG154" s="501"/>
      <c r="BH154" s="501"/>
      <c r="BI154" s="501"/>
      <c r="BJ154" s="501"/>
      <c r="BK154" s="501"/>
      <c r="BL154" s="501"/>
      <c r="BM154" s="501"/>
      <c r="BN154" s="501"/>
      <c r="BO154" s="501"/>
      <c r="BP154" s="501"/>
      <c r="BQ154" s="501"/>
      <c r="BR154" s="501"/>
      <c r="BS154" s="501"/>
      <c r="BT154" s="501"/>
      <c r="BU154" s="501"/>
      <c r="BV154" s="501"/>
      <c r="BW154" s="501"/>
      <c r="BX154" s="501"/>
      <c r="BY154" s="501"/>
      <c r="BZ154" s="501"/>
      <c r="CA154" s="501"/>
      <c r="CB154" s="501"/>
      <c r="CC154" s="501"/>
      <c r="CD154" s="501"/>
      <c r="CE154" s="501"/>
      <c r="CF154" s="501"/>
      <c r="CG154" s="501"/>
      <c r="CH154" s="501"/>
      <c r="CI154" s="501"/>
      <c r="CJ154" s="501"/>
      <c r="CK154" s="501"/>
      <c r="CL154" s="501"/>
      <c r="CM154" s="501"/>
      <c r="CN154" s="501"/>
      <c r="CO154" s="501"/>
      <c r="CP154" s="501"/>
      <c r="CQ154" s="501"/>
      <c r="CR154" s="501"/>
      <c r="CS154" s="501"/>
      <c r="CT154" s="501"/>
    </row>
    <row r="155">
      <c r="A155" s="569"/>
      <c r="B155" s="569"/>
      <c r="C155" s="569"/>
      <c r="D155" s="498"/>
      <c r="E155" s="499"/>
      <c r="F155" s="499"/>
      <c r="G155" s="766"/>
      <c r="H155" s="766"/>
      <c r="I155" s="766"/>
      <c r="J155" s="766"/>
      <c r="K155" s="683"/>
      <c r="L155" s="683"/>
      <c r="M155" s="683"/>
      <c r="N155" s="683"/>
      <c r="O155" s="683"/>
      <c r="P155" s="683"/>
      <c r="Q155" s="683"/>
      <c r="R155" s="683"/>
      <c r="S155" s="683"/>
      <c r="T155" s="501"/>
      <c r="U155" s="501"/>
      <c r="V155" s="501"/>
      <c r="W155" s="501"/>
      <c r="X155" s="501"/>
      <c r="Y155" s="501"/>
      <c r="Z155" s="501"/>
      <c r="AA155" s="501"/>
      <c r="AB155" s="501"/>
      <c r="AC155" s="501"/>
      <c r="AD155" s="501"/>
      <c r="AE155" s="501"/>
      <c r="AF155" s="501"/>
      <c r="AG155" s="501"/>
      <c r="AH155" s="501"/>
      <c r="AI155" s="501"/>
      <c r="AJ155" s="501"/>
      <c r="AK155" s="501"/>
      <c r="AL155" s="501"/>
      <c r="AM155" s="501"/>
      <c r="AN155" s="501"/>
      <c r="AO155" s="501"/>
      <c r="AP155" s="501"/>
      <c r="AQ155" s="501"/>
      <c r="AR155" s="501"/>
      <c r="AS155" s="501"/>
      <c r="AT155" s="501"/>
      <c r="AU155" s="501"/>
      <c r="AV155" s="501"/>
      <c r="AW155" s="501"/>
      <c r="AX155" s="501"/>
      <c r="AY155" s="501"/>
      <c r="AZ155" s="501"/>
      <c r="BA155" s="501"/>
      <c r="BB155" s="501"/>
      <c r="BC155" s="501"/>
      <c r="BD155" s="501"/>
      <c r="BE155" s="501"/>
      <c r="BF155" s="501"/>
      <c r="BG155" s="501"/>
      <c r="BH155" s="501"/>
      <c r="BI155" s="501"/>
      <c r="BJ155" s="501"/>
      <c r="BK155" s="501"/>
      <c r="BL155" s="501"/>
      <c r="BM155" s="501"/>
      <c r="BN155" s="501"/>
      <c r="BO155" s="501"/>
      <c r="BP155" s="501"/>
      <c r="BQ155" s="501"/>
      <c r="BR155" s="501"/>
      <c r="BS155" s="501"/>
      <c r="BT155" s="501"/>
      <c r="BU155" s="501"/>
      <c r="BV155" s="501"/>
      <c r="BW155" s="501"/>
      <c r="BX155" s="501"/>
      <c r="BY155" s="501"/>
      <c r="BZ155" s="501"/>
      <c r="CA155" s="501"/>
      <c r="CB155" s="501"/>
      <c r="CC155" s="501"/>
      <c r="CD155" s="501"/>
      <c r="CE155" s="501"/>
      <c r="CF155" s="501"/>
      <c r="CG155" s="501"/>
      <c r="CH155" s="501"/>
      <c r="CI155" s="501"/>
      <c r="CJ155" s="501"/>
      <c r="CK155" s="501"/>
      <c r="CL155" s="501"/>
      <c r="CM155" s="501"/>
      <c r="CN155" s="501"/>
      <c r="CO155" s="501"/>
      <c r="CP155" s="501"/>
      <c r="CQ155" s="501"/>
      <c r="CR155" s="501"/>
      <c r="CS155" s="501"/>
      <c r="CT155" s="501"/>
    </row>
    <row r="156">
      <c r="A156" s="569"/>
      <c r="B156" s="569"/>
      <c r="C156" s="569"/>
      <c r="D156" s="498"/>
      <c r="E156" s="499"/>
      <c r="F156" s="499"/>
      <c r="G156" s="766"/>
      <c r="H156" s="766"/>
      <c r="I156" s="766"/>
      <c r="J156" s="766"/>
      <c r="K156" s="683"/>
      <c r="L156" s="683"/>
      <c r="M156" s="683"/>
      <c r="N156" s="683"/>
      <c r="O156" s="683"/>
      <c r="P156" s="683"/>
      <c r="Q156" s="683"/>
      <c r="R156" s="683"/>
      <c r="S156" s="683"/>
      <c r="T156" s="501"/>
      <c r="U156" s="501"/>
      <c r="V156" s="501"/>
      <c r="W156" s="501"/>
      <c r="X156" s="501"/>
      <c r="Y156" s="501"/>
      <c r="Z156" s="501"/>
      <c r="AA156" s="501"/>
      <c r="AB156" s="501"/>
      <c r="AC156" s="501"/>
      <c r="AD156" s="501"/>
      <c r="AE156" s="501"/>
      <c r="AF156" s="501"/>
      <c r="AG156" s="501"/>
      <c r="AH156" s="501"/>
      <c r="AI156" s="501"/>
      <c r="AJ156" s="501"/>
      <c r="AK156" s="501"/>
      <c r="AL156" s="501"/>
      <c r="AM156" s="501"/>
      <c r="AN156" s="501"/>
      <c r="AO156" s="501"/>
      <c r="AP156" s="501"/>
      <c r="AQ156" s="501"/>
      <c r="AR156" s="501"/>
      <c r="AS156" s="501"/>
      <c r="AT156" s="501"/>
      <c r="AU156" s="501"/>
      <c r="AV156" s="501"/>
      <c r="AW156" s="501"/>
      <c r="AX156" s="501"/>
      <c r="AY156" s="501"/>
      <c r="AZ156" s="501"/>
      <c r="BA156" s="501"/>
      <c r="BB156" s="501"/>
      <c r="BC156" s="501"/>
      <c r="BD156" s="501"/>
      <c r="BE156" s="501"/>
      <c r="BF156" s="501"/>
      <c r="BG156" s="501"/>
      <c r="BH156" s="501"/>
      <c r="BI156" s="501"/>
      <c r="BJ156" s="501"/>
      <c r="BK156" s="501"/>
      <c r="BL156" s="501"/>
      <c r="BM156" s="501"/>
      <c r="BN156" s="501"/>
      <c r="BO156" s="501"/>
      <c r="BP156" s="501"/>
      <c r="BQ156" s="501"/>
      <c r="BR156" s="501"/>
      <c r="BS156" s="501"/>
      <c r="BT156" s="501"/>
      <c r="BU156" s="501"/>
      <c r="BV156" s="501"/>
      <c r="BW156" s="501"/>
      <c r="BX156" s="501"/>
      <c r="BY156" s="501"/>
      <c r="BZ156" s="501"/>
      <c r="CA156" s="501"/>
      <c r="CB156" s="501"/>
      <c r="CC156" s="501"/>
      <c r="CD156" s="501"/>
      <c r="CE156" s="501"/>
      <c r="CF156" s="501"/>
      <c r="CG156" s="501"/>
      <c r="CH156" s="501"/>
      <c r="CI156" s="501"/>
      <c r="CJ156" s="501"/>
      <c r="CK156" s="501"/>
      <c r="CL156" s="501"/>
      <c r="CM156" s="501"/>
      <c r="CN156" s="501"/>
      <c r="CO156" s="501"/>
      <c r="CP156" s="501"/>
      <c r="CQ156" s="501"/>
      <c r="CR156" s="501"/>
      <c r="CS156" s="501"/>
      <c r="CT156" s="501"/>
    </row>
    <row r="157">
      <c r="A157" s="569"/>
      <c r="B157" s="569"/>
      <c r="C157" s="569"/>
      <c r="D157" s="498"/>
      <c r="E157" s="499"/>
      <c r="F157" s="499"/>
      <c r="G157" s="766"/>
      <c r="H157" s="766"/>
      <c r="I157" s="766"/>
      <c r="J157" s="766"/>
      <c r="K157" s="683"/>
      <c r="L157" s="683"/>
      <c r="M157" s="683"/>
      <c r="N157" s="683"/>
      <c r="O157" s="683"/>
      <c r="P157" s="683"/>
      <c r="Q157" s="683"/>
      <c r="R157" s="683"/>
      <c r="S157" s="683"/>
      <c r="T157" s="501"/>
      <c r="U157" s="501"/>
      <c r="V157" s="501"/>
      <c r="W157" s="501"/>
      <c r="X157" s="501"/>
      <c r="Y157" s="501"/>
      <c r="Z157" s="501"/>
      <c r="AA157" s="501"/>
      <c r="AB157" s="501"/>
      <c r="AC157" s="501"/>
      <c r="AD157" s="501"/>
      <c r="AE157" s="501"/>
      <c r="AF157" s="501"/>
      <c r="AG157" s="501"/>
      <c r="AH157" s="501"/>
      <c r="AI157" s="501"/>
      <c r="AJ157" s="501"/>
      <c r="AK157" s="501"/>
      <c r="AL157" s="501"/>
      <c r="AM157" s="501"/>
      <c r="AN157" s="501"/>
      <c r="AO157" s="501"/>
      <c r="AP157" s="501"/>
      <c r="AQ157" s="501"/>
      <c r="AR157" s="501"/>
      <c r="AS157" s="501"/>
      <c r="AT157" s="501"/>
      <c r="AU157" s="501"/>
      <c r="AV157" s="501"/>
      <c r="AW157" s="501"/>
      <c r="AX157" s="501"/>
      <c r="AY157" s="501"/>
      <c r="AZ157" s="501"/>
      <c r="BA157" s="501"/>
      <c r="BB157" s="501"/>
      <c r="BC157" s="501"/>
      <c r="BD157" s="501"/>
      <c r="BE157" s="501"/>
      <c r="BF157" s="501"/>
      <c r="BG157" s="501"/>
      <c r="BH157" s="501"/>
      <c r="BI157" s="501"/>
      <c r="BJ157" s="501"/>
      <c r="BK157" s="501"/>
      <c r="BL157" s="501"/>
      <c r="BM157" s="501"/>
      <c r="BN157" s="501"/>
      <c r="BO157" s="501"/>
      <c r="BP157" s="501"/>
      <c r="BQ157" s="501"/>
      <c r="BR157" s="501"/>
      <c r="BS157" s="501"/>
      <c r="BT157" s="501"/>
      <c r="BU157" s="501"/>
      <c r="BV157" s="501"/>
      <c r="BW157" s="501"/>
      <c r="BX157" s="501"/>
      <c r="BY157" s="501"/>
      <c r="BZ157" s="501"/>
      <c r="CA157" s="501"/>
      <c r="CB157" s="501"/>
      <c r="CC157" s="501"/>
      <c r="CD157" s="501"/>
      <c r="CE157" s="501"/>
      <c r="CF157" s="501"/>
      <c r="CG157" s="501"/>
      <c r="CH157" s="501"/>
      <c r="CI157" s="501"/>
      <c r="CJ157" s="501"/>
      <c r="CK157" s="501"/>
      <c r="CL157" s="501"/>
      <c r="CM157" s="501"/>
      <c r="CN157" s="501"/>
      <c r="CO157" s="501"/>
      <c r="CP157" s="501"/>
      <c r="CQ157" s="501"/>
      <c r="CR157" s="501"/>
      <c r="CS157" s="501"/>
      <c r="CT157" s="501"/>
    </row>
    <row r="158">
      <c r="A158" s="569"/>
      <c r="B158" s="569"/>
      <c r="C158" s="569"/>
      <c r="D158" s="498"/>
      <c r="E158" s="499"/>
      <c r="F158" s="499"/>
      <c r="G158" s="766"/>
      <c r="H158" s="766"/>
      <c r="I158" s="766"/>
      <c r="J158" s="766"/>
      <c r="K158" s="683"/>
      <c r="L158" s="683"/>
      <c r="M158" s="683"/>
      <c r="N158" s="683"/>
      <c r="O158" s="683"/>
      <c r="P158" s="683"/>
      <c r="Q158" s="683"/>
      <c r="R158" s="683"/>
      <c r="S158" s="683"/>
      <c r="T158" s="501"/>
      <c r="U158" s="501"/>
      <c r="V158" s="501"/>
      <c r="W158" s="501"/>
      <c r="X158" s="501"/>
      <c r="Y158" s="501"/>
      <c r="Z158" s="501"/>
      <c r="AA158" s="501"/>
      <c r="AB158" s="501"/>
      <c r="AC158" s="501"/>
      <c r="AD158" s="501"/>
      <c r="AE158" s="501"/>
      <c r="AF158" s="501"/>
      <c r="AG158" s="501"/>
      <c r="AH158" s="501"/>
      <c r="AI158" s="501"/>
      <c r="AJ158" s="501"/>
      <c r="AK158" s="501"/>
      <c r="AL158" s="501"/>
      <c r="AM158" s="501"/>
      <c r="AN158" s="501"/>
      <c r="AO158" s="501"/>
      <c r="AP158" s="501"/>
      <c r="AQ158" s="501"/>
      <c r="AR158" s="501"/>
      <c r="AS158" s="501"/>
      <c r="AT158" s="501"/>
      <c r="AU158" s="501"/>
      <c r="AV158" s="501"/>
      <c r="AW158" s="501"/>
      <c r="AX158" s="501"/>
      <c r="AY158" s="501"/>
      <c r="AZ158" s="501"/>
      <c r="BA158" s="501"/>
      <c r="BB158" s="501"/>
      <c r="BC158" s="501"/>
      <c r="BD158" s="501"/>
      <c r="BE158" s="501"/>
      <c r="BF158" s="501"/>
      <c r="BG158" s="501"/>
      <c r="BH158" s="501"/>
      <c r="BI158" s="501"/>
      <c r="BJ158" s="501"/>
      <c r="BK158" s="501"/>
      <c r="BL158" s="501"/>
      <c r="BM158" s="501"/>
      <c r="BN158" s="501"/>
      <c r="BO158" s="501"/>
      <c r="BP158" s="501"/>
      <c r="BQ158" s="501"/>
      <c r="BR158" s="501"/>
      <c r="BS158" s="501"/>
      <c r="BT158" s="501"/>
      <c r="BU158" s="501"/>
      <c r="BV158" s="501"/>
      <c r="BW158" s="501"/>
      <c r="BX158" s="501"/>
      <c r="BY158" s="501"/>
      <c r="BZ158" s="501"/>
      <c r="CA158" s="501"/>
      <c r="CB158" s="501"/>
      <c r="CC158" s="501"/>
      <c r="CD158" s="501"/>
      <c r="CE158" s="501"/>
      <c r="CF158" s="501"/>
      <c r="CG158" s="501"/>
      <c r="CH158" s="501"/>
      <c r="CI158" s="501"/>
      <c r="CJ158" s="501"/>
      <c r="CK158" s="501"/>
      <c r="CL158" s="501"/>
      <c r="CM158" s="501"/>
      <c r="CN158" s="501"/>
      <c r="CO158" s="501"/>
      <c r="CP158" s="501"/>
      <c r="CQ158" s="501"/>
      <c r="CR158" s="501"/>
      <c r="CS158" s="501"/>
      <c r="CT158" s="501"/>
    </row>
    <row r="159">
      <c r="A159" s="569"/>
      <c r="B159" s="569"/>
      <c r="C159" s="569"/>
      <c r="D159" s="498"/>
      <c r="E159" s="499"/>
      <c r="F159" s="499"/>
      <c r="G159" s="766"/>
      <c r="H159" s="766"/>
      <c r="I159" s="766"/>
      <c r="J159" s="766"/>
      <c r="K159" s="683"/>
      <c r="L159" s="683"/>
      <c r="M159" s="683"/>
      <c r="N159" s="683"/>
      <c r="O159" s="683"/>
      <c r="P159" s="683"/>
      <c r="Q159" s="683"/>
      <c r="R159" s="683"/>
      <c r="S159" s="683"/>
      <c r="T159" s="501"/>
      <c r="U159" s="501"/>
      <c r="V159" s="501"/>
      <c r="W159" s="501"/>
      <c r="X159" s="501"/>
      <c r="Y159" s="501"/>
      <c r="Z159" s="501"/>
      <c r="AA159" s="501"/>
      <c r="AB159" s="501"/>
      <c r="AC159" s="501"/>
      <c r="AD159" s="501"/>
      <c r="AE159" s="501"/>
      <c r="AF159" s="501"/>
      <c r="AG159" s="501"/>
      <c r="AH159" s="501"/>
      <c r="AI159" s="501"/>
      <c r="AJ159" s="501"/>
      <c r="AK159" s="501"/>
      <c r="AL159" s="501"/>
      <c r="AM159" s="501"/>
      <c r="AN159" s="501"/>
      <c r="AO159" s="501"/>
      <c r="AP159" s="501"/>
      <c r="AQ159" s="501"/>
      <c r="AR159" s="501"/>
      <c r="AS159" s="501"/>
      <c r="AT159" s="501"/>
      <c r="AU159" s="501"/>
      <c r="AV159" s="501"/>
      <c r="AW159" s="501"/>
      <c r="AX159" s="501"/>
      <c r="AY159" s="501"/>
      <c r="AZ159" s="501"/>
      <c r="BA159" s="501"/>
      <c r="BB159" s="501"/>
      <c r="BC159" s="501"/>
      <c r="BD159" s="501"/>
      <c r="BE159" s="501"/>
      <c r="BF159" s="501"/>
      <c r="BG159" s="501"/>
      <c r="BH159" s="501"/>
      <c r="BI159" s="501"/>
      <c r="BJ159" s="501"/>
      <c r="BK159" s="501"/>
      <c r="BL159" s="501"/>
      <c r="BM159" s="501"/>
      <c r="BN159" s="501"/>
      <c r="BO159" s="501"/>
      <c r="BP159" s="501"/>
      <c r="BQ159" s="501"/>
      <c r="BR159" s="501"/>
      <c r="BS159" s="501"/>
      <c r="BT159" s="501"/>
      <c r="BU159" s="501"/>
      <c r="BV159" s="501"/>
      <c r="BW159" s="501"/>
      <c r="BX159" s="501"/>
      <c r="BY159" s="501"/>
      <c r="BZ159" s="501"/>
      <c r="CA159" s="501"/>
      <c r="CB159" s="501"/>
      <c r="CC159" s="501"/>
      <c r="CD159" s="501"/>
      <c r="CE159" s="501"/>
      <c r="CF159" s="501"/>
      <c r="CG159" s="501"/>
      <c r="CH159" s="501"/>
      <c r="CI159" s="501"/>
      <c r="CJ159" s="501"/>
      <c r="CK159" s="501"/>
      <c r="CL159" s="501"/>
      <c r="CM159" s="501"/>
      <c r="CN159" s="501"/>
      <c r="CO159" s="501"/>
      <c r="CP159" s="501"/>
      <c r="CQ159" s="501"/>
      <c r="CR159" s="501"/>
      <c r="CS159" s="501"/>
      <c r="CT159" s="501"/>
    </row>
    <row r="160">
      <c r="A160" s="569"/>
      <c r="B160" s="569"/>
      <c r="C160" s="569"/>
      <c r="D160" s="498"/>
      <c r="E160" s="499"/>
      <c r="F160" s="499"/>
      <c r="G160" s="766"/>
      <c r="H160" s="766"/>
      <c r="I160" s="766"/>
      <c r="J160" s="766"/>
      <c r="K160" s="683"/>
      <c r="L160" s="683"/>
      <c r="M160" s="683"/>
      <c r="N160" s="683"/>
      <c r="O160" s="683"/>
      <c r="P160" s="683"/>
      <c r="Q160" s="683"/>
      <c r="R160" s="683"/>
      <c r="S160" s="683"/>
      <c r="T160" s="501"/>
      <c r="U160" s="501"/>
      <c r="V160" s="501"/>
      <c r="W160" s="501"/>
      <c r="X160" s="501"/>
      <c r="Y160" s="501"/>
      <c r="Z160" s="501"/>
      <c r="AA160" s="501"/>
      <c r="AB160" s="501"/>
      <c r="AC160" s="501"/>
      <c r="AD160" s="501"/>
      <c r="AE160" s="501"/>
      <c r="AF160" s="501"/>
      <c r="AG160" s="501"/>
      <c r="AH160" s="501"/>
      <c r="AI160" s="501"/>
      <c r="AJ160" s="501"/>
      <c r="AK160" s="501"/>
      <c r="AL160" s="501"/>
      <c r="AM160" s="501"/>
      <c r="AN160" s="501"/>
      <c r="AO160" s="501"/>
      <c r="AP160" s="501"/>
      <c r="AQ160" s="501"/>
      <c r="AR160" s="501"/>
      <c r="AS160" s="501"/>
      <c r="AT160" s="501"/>
      <c r="AU160" s="501"/>
      <c r="AV160" s="501"/>
      <c r="AW160" s="501"/>
      <c r="AX160" s="501"/>
      <c r="AY160" s="501"/>
      <c r="AZ160" s="501"/>
      <c r="BA160" s="501"/>
      <c r="BB160" s="501"/>
      <c r="BC160" s="501"/>
      <c r="BD160" s="501"/>
      <c r="BE160" s="501"/>
      <c r="BF160" s="501"/>
      <c r="BG160" s="501"/>
      <c r="BH160" s="501"/>
      <c r="BI160" s="501"/>
      <c r="BJ160" s="501"/>
      <c r="BK160" s="501"/>
      <c r="BL160" s="501"/>
      <c r="BM160" s="501"/>
      <c r="BN160" s="501"/>
      <c r="BO160" s="501"/>
      <c r="BP160" s="501"/>
      <c r="BQ160" s="501"/>
      <c r="BR160" s="501"/>
      <c r="BS160" s="501"/>
      <c r="BT160" s="501"/>
      <c r="BU160" s="501"/>
      <c r="BV160" s="501"/>
      <c r="BW160" s="501"/>
      <c r="BX160" s="501"/>
      <c r="BY160" s="501"/>
      <c r="BZ160" s="501"/>
      <c r="CA160" s="501"/>
      <c r="CB160" s="501"/>
      <c r="CC160" s="501"/>
      <c r="CD160" s="501"/>
      <c r="CE160" s="501"/>
      <c r="CF160" s="501"/>
      <c r="CG160" s="501"/>
      <c r="CH160" s="501"/>
      <c r="CI160" s="501"/>
      <c r="CJ160" s="501"/>
      <c r="CK160" s="501"/>
      <c r="CL160" s="501"/>
      <c r="CM160" s="501"/>
      <c r="CN160" s="501"/>
      <c r="CO160" s="501"/>
      <c r="CP160" s="501"/>
      <c r="CQ160" s="501"/>
      <c r="CR160" s="501"/>
      <c r="CS160" s="501"/>
      <c r="CT160" s="501"/>
    </row>
    <row r="161">
      <c r="A161" s="569"/>
      <c r="B161" s="569"/>
      <c r="C161" s="569"/>
      <c r="D161" s="498"/>
      <c r="E161" s="499"/>
      <c r="F161" s="499"/>
      <c r="G161" s="766"/>
      <c r="H161" s="766"/>
      <c r="I161" s="766"/>
      <c r="J161" s="766"/>
      <c r="K161" s="683"/>
      <c r="L161" s="683"/>
      <c r="M161" s="683"/>
      <c r="N161" s="683"/>
      <c r="O161" s="683"/>
      <c r="P161" s="683"/>
      <c r="Q161" s="683"/>
      <c r="R161" s="683"/>
      <c r="S161" s="683"/>
      <c r="T161" s="501"/>
      <c r="U161" s="501"/>
      <c r="V161" s="501"/>
      <c r="W161" s="501"/>
      <c r="X161" s="501"/>
      <c r="Y161" s="501"/>
      <c r="Z161" s="501"/>
      <c r="AA161" s="501"/>
      <c r="AB161" s="501"/>
      <c r="AC161" s="501"/>
      <c r="AD161" s="501"/>
      <c r="AE161" s="501"/>
      <c r="AF161" s="501"/>
      <c r="AG161" s="501"/>
      <c r="AH161" s="501"/>
      <c r="AI161" s="501"/>
      <c r="AJ161" s="501"/>
      <c r="AK161" s="501"/>
      <c r="AL161" s="501"/>
      <c r="AM161" s="501"/>
      <c r="AN161" s="501"/>
      <c r="AO161" s="501"/>
      <c r="AP161" s="501"/>
      <c r="AQ161" s="501"/>
      <c r="AR161" s="501"/>
      <c r="AS161" s="501"/>
      <c r="AT161" s="501"/>
      <c r="AU161" s="501"/>
      <c r="AV161" s="501"/>
      <c r="AW161" s="501"/>
      <c r="AX161" s="501"/>
      <c r="AY161" s="501"/>
      <c r="AZ161" s="501"/>
      <c r="BA161" s="501"/>
      <c r="BB161" s="501"/>
      <c r="BC161" s="501"/>
      <c r="BD161" s="501"/>
      <c r="BE161" s="501"/>
      <c r="BF161" s="501"/>
      <c r="BG161" s="501"/>
      <c r="BH161" s="501"/>
      <c r="BI161" s="501"/>
      <c r="BJ161" s="501"/>
      <c r="BK161" s="501"/>
      <c r="BL161" s="501"/>
      <c r="BM161" s="501"/>
      <c r="BN161" s="501"/>
      <c r="BO161" s="501"/>
      <c r="BP161" s="501"/>
      <c r="BQ161" s="501"/>
      <c r="BR161" s="501"/>
      <c r="BS161" s="501"/>
      <c r="BT161" s="501"/>
      <c r="BU161" s="501"/>
      <c r="BV161" s="501"/>
      <c r="BW161" s="501"/>
      <c r="BX161" s="501"/>
      <c r="BY161" s="501"/>
      <c r="BZ161" s="501"/>
      <c r="CA161" s="501"/>
      <c r="CB161" s="501"/>
      <c r="CC161" s="501"/>
      <c r="CD161" s="501"/>
      <c r="CE161" s="501"/>
      <c r="CF161" s="501"/>
      <c r="CG161" s="501"/>
      <c r="CH161" s="501"/>
      <c r="CI161" s="501"/>
      <c r="CJ161" s="501"/>
      <c r="CK161" s="501"/>
      <c r="CL161" s="501"/>
      <c r="CM161" s="501"/>
      <c r="CN161" s="501"/>
      <c r="CO161" s="501"/>
      <c r="CP161" s="501"/>
      <c r="CQ161" s="501"/>
      <c r="CR161" s="501"/>
      <c r="CS161" s="501"/>
      <c r="CT161" s="501"/>
    </row>
    <row r="162">
      <c r="A162" s="569"/>
      <c r="B162" s="569"/>
      <c r="C162" s="569"/>
      <c r="D162" s="498"/>
      <c r="E162" s="499"/>
      <c r="F162" s="499"/>
      <c r="G162" s="766"/>
      <c r="H162" s="766"/>
      <c r="I162" s="766"/>
      <c r="J162" s="766"/>
      <c r="K162" s="683"/>
      <c r="L162" s="683"/>
      <c r="M162" s="683"/>
      <c r="N162" s="683"/>
      <c r="O162" s="683"/>
      <c r="P162" s="683"/>
      <c r="Q162" s="683"/>
      <c r="R162" s="683"/>
      <c r="S162" s="683"/>
      <c r="T162" s="501"/>
      <c r="U162" s="501"/>
      <c r="V162" s="501"/>
      <c r="W162" s="501"/>
      <c r="X162" s="501"/>
      <c r="Y162" s="501"/>
      <c r="Z162" s="501"/>
      <c r="AA162" s="501"/>
      <c r="AB162" s="501"/>
      <c r="AC162" s="501"/>
      <c r="AD162" s="501"/>
      <c r="AE162" s="501"/>
      <c r="AF162" s="501"/>
      <c r="AG162" s="501"/>
      <c r="AH162" s="501"/>
      <c r="AI162" s="501"/>
      <c r="AJ162" s="501"/>
      <c r="AK162" s="501"/>
      <c r="AL162" s="501"/>
      <c r="AM162" s="501"/>
      <c r="AN162" s="501"/>
      <c r="AO162" s="501"/>
      <c r="AP162" s="501"/>
      <c r="AQ162" s="501"/>
      <c r="AR162" s="501"/>
      <c r="AS162" s="501"/>
      <c r="AT162" s="501"/>
      <c r="AU162" s="501"/>
      <c r="AV162" s="501"/>
      <c r="AW162" s="501"/>
      <c r="AX162" s="501"/>
      <c r="AY162" s="501"/>
      <c r="AZ162" s="501"/>
      <c r="BA162" s="501"/>
      <c r="BB162" s="501"/>
      <c r="BC162" s="501"/>
      <c r="BD162" s="501"/>
      <c r="BE162" s="501"/>
      <c r="BF162" s="501"/>
      <c r="BG162" s="501"/>
      <c r="BH162" s="501"/>
      <c r="BI162" s="501"/>
      <c r="BJ162" s="501"/>
      <c r="BK162" s="501"/>
      <c r="BL162" s="501"/>
      <c r="BM162" s="501"/>
      <c r="BN162" s="501"/>
      <c r="BO162" s="501"/>
      <c r="BP162" s="501"/>
      <c r="BQ162" s="501"/>
      <c r="BR162" s="501"/>
      <c r="BS162" s="501"/>
      <c r="BT162" s="501"/>
      <c r="BU162" s="501"/>
      <c r="BV162" s="501"/>
      <c r="BW162" s="501"/>
      <c r="BX162" s="501"/>
      <c r="BY162" s="501"/>
      <c r="BZ162" s="501"/>
      <c r="CA162" s="501"/>
      <c r="CB162" s="501"/>
      <c r="CC162" s="501"/>
      <c r="CD162" s="501"/>
      <c r="CE162" s="501"/>
      <c r="CF162" s="501"/>
      <c r="CG162" s="501"/>
      <c r="CH162" s="501"/>
      <c r="CI162" s="501"/>
      <c r="CJ162" s="501"/>
      <c r="CK162" s="501"/>
      <c r="CL162" s="501"/>
      <c r="CM162" s="501"/>
      <c r="CN162" s="501"/>
      <c r="CO162" s="501"/>
      <c r="CP162" s="501"/>
      <c r="CQ162" s="501"/>
      <c r="CR162" s="501"/>
      <c r="CS162" s="501"/>
      <c r="CT162" s="501"/>
    </row>
    <row r="163">
      <c r="A163" s="569"/>
      <c r="B163" s="569"/>
      <c r="C163" s="569"/>
      <c r="D163" s="498"/>
      <c r="E163" s="499"/>
      <c r="F163" s="499"/>
      <c r="G163" s="766"/>
      <c r="H163" s="766"/>
      <c r="I163" s="766"/>
      <c r="J163" s="766"/>
      <c r="K163" s="683"/>
      <c r="L163" s="683"/>
      <c r="M163" s="683"/>
      <c r="N163" s="683"/>
      <c r="O163" s="683"/>
      <c r="P163" s="683"/>
      <c r="Q163" s="683"/>
      <c r="R163" s="683"/>
      <c r="S163" s="683"/>
      <c r="T163" s="501"/>
      <c r="U163" s="501"/>
      <c r="V163" s="501"/>
      <c r="W163" s="501"/>
      <c r="X163" s="501"/>
      <c r="Y163" s="501"/>
      <c r="Z163" s="501"/>
      <c r="AA163" s="501"/>
      <c r="AB163" s="501"/>
      <c r="AC163" s="501"/>
      <c r="AD163" s="501"/>
      <c r="AE163" s="501"/>
      <c r="AF163" s="501"/>
      <c r="AG163" s="501"/>
      <c r="AH163" s="501"/>
      <c r="AI163" s="501"/>
      <c r="AJ163" s="501"/>
      <c r="AK163" s="501"/>
      <c r="AL163" s="501"/>
      <c r="AM163" s="501"/>
      <c r="AN163" s="501"/>
      <c r="AO163" s="501"/>
      <c r="AP163" s="501"/>
      <c r="AQ163" s="501"/>
      <c r="AR163" s="501"/>
      <c r="AS163" s="501"/>
      <c r="AT163" s="501"/>
      <c r="AU163" s="501"/>
      <c r="AV163" s="501"/>
      <c r="AW163" s="501"/>
      <c r="AX163" s="501"/>
      <c r="AY163" s="501"/>
      <c r="AZ163" s="501"/>
      <c r="BA163" s="501"/>
      <c r="BB163" s="501"/>
      <c r="BC163" s="501"/>
      <c r="BD163" s="501"/>
      <c r="BE163" s="501"/>
      <c r="BF163" s="501"/>
      <c r="BG163" s="501"/>
      <c r="BH163" s="501"/>
      <c r="BI163" s="501"/>
      <c r="BJ163" s="501"/>
      <c r="BK163" s="501"/>
      <c r="BL163" s="501"/>
      <c r="BM163" s="501"/>
      <c r="BN163" s="501"/>
      <c r="BO163" s="501"/>
      <c r="BP163" s="501"/>
      <c r="BQ163" s="501"/>
      <c r="BR163" s="501"/>
      <c r="BS163" s="501"/>
      <c r="BT163" s="501"/>
      <c r="BU163" s="501"/>
      <c r="BV163" s="501"/>
      <c r="BW163" s="501"/>
      <c r="BX163" s="501"/>
      <c r="BY163" s="501"/>
      <c r="BZ163" s="501"/>
      <c r="CA163" s="501"/>
      <c r="CB163" s="501"/>
      <c r="CC163" s="501"/>
      <c r="CD163" s="501"/>
      <c r="CE163" s="501"/>
      <c r="CF163" s="501"/>
      <c r="CG163" s="501"/>
      <c r="CH163" s="501"/>
      <c r="CI163" s="501"/>
      <c r="CJ163" s="501"/>
      <c r="CK163" s="501"/>
      <c r="CL163" s="501"/>
      <c r="CM163" s="501"/>
      <c r="CN163" s="501"/>
      <c r="CO163" s="501"/>
      <c r="CP163" s="501"/>
      <c r="CQ163" s="501"/>
      <c r="CR163" s="501"/>
      <c r="CS163" s="501"/>
      <c r="CT163" s="501"/>
    </row>
    <row r="164">
      <c r="A164" s="569"/>
      <c r="B164" s="569"/>
      <c r="C164" s="569"/>
      <c r="D164" s="498"/>
      <c r="E164" s="499"/>
      <c r="F164" s="499"/>
      <c r="G164" s="766"/>
      <c r="H164" s="766"/>
      <c r="I164" s="766"/>
      <c r="J164" s="766"/>
      <c r="K164" s="683"/>
      <c r="L164" s="683"/>
      <c r="M164" s="683"/>
      <c r="N164" s="683"/>
      <c r="O164" s="683"/>
      <c r="P164" s="683"/>
      <c r="Q164" s="683"/>
      <c r="R164" s="683"/>
      <c r="S164" s="683"/>
      <c r="T164" s="501"/>
      <c r="U164" s="501"/>
      <c r="V164" s="501"/>
      <c r="W164" s="501"/>
      <c r="X164" s="501"/>
      <c r="Y164" s="501"/>
      <c r="Z164" s="501"/>
      <c r="AA164" s="501"/>
      <c r="AB164" s="501"/>
      <c r="AC164" s="501"/>
      <c r="AD164" s="501"/>
      <c r="AE164" s="501"/>
      <c r="AF164" s="501"/>
      <c r="AG164" s="501"/>
      <c r="AH164" s="501"/>
      <c r="AI164" s="501"/>
      <c r="AJ164" s="501"/>
      <c r="AK164" s="501"/>
      <c r="AL164" s="501"/>
      <c r="AM164" s="501"/>
      <c r="AN164" s="501"/>
      <c r="AO164" s="501"/>
      <c r="AP164" s="501"/>
      <c r="AQ164" s="501"/>
      <c r="AR164" s="501"/>
      <c r="AS164" s="501"/>
      <c r="AT164" s="501"/>
      <c r="AU164" s="501"/>
      <c r="AV164" s="501"/>
      <c r="AW164" s="501"/>
      <c r="AX164" s="501"/>
      <c r="AY164" s="501"/>
      <c r="AZ164" s="501"/>
      <c r="BA164" s="501"/>
      <c r="BB164" s="501"/>
      <c r="BC164" s="501"/>
      <c r="BD164" s="501"/>
      <c r="BE164" s="501"/>
      <c r="BF164" s="501"/>
      <c r="BG164" s="501"/>
      <c r="BH164" s="501"/>
      <c r="BI164" s="501"/>
      <c r="BJ164" s="501"/>
      <c r="BK164" s="501"/>
      <c r="BL164" s="501"/>
      <c r="BM164" s="501"/>
      <c r="BN164" s="501"/>
      <c r="BO164" s="501"/>
      <c r="BP164" s="501"/>
      <c r="BQ164" s="501"/>
      <c r="BR164" s="501"/>
      <c r="BS164" s="501"/>
      <c r="BT164" s="501"/>
      <c r="BU164" s="501"/>
      <c r="BV164" s="501"/>
      <c r="BW164" s="501"/>
      <c r="BX164" s="501"/>
      <c r="BY164" s="501"/>
      <c r="BZ164" s="501"/>
      <c r="CA164" s="501"/>
      <c r="CB164" s="501"/>
      <c r="CC164" s="501"/>
      <c r="CD164" s="501"/>
      <c r="CE164" s="501"/>
      <c r="CF164" s="501"/>
      <c r="CG164" s="501"/>
      <c r="CH164" s="501"/>
      <c r="CI164" s="501"/>
      <c r="CJ164" s="501"/>
      <c r="CK164" s="501"/>
      <c r="CL164" s="501"/>
      <c r="CM164" s="501"/>
      <c r="CN164" s="501"/>
      <c r="CO164" s="501"/>
      <c r="CP164" s="501"/>
      <c r="CQ164" s="501"/>
      <c r="CR164" s="501"/>
      <c r="CS164" s="501"/>
      <c r="CT164" s="501"/>
    </row>
    <row r="165">
      <c r="A165" s="569"/>
      <c r="B165" s="569"/>
      <c r="C165" s="569"/>
      <c r="D165" s="498"/>
      <c r="E165" s="499"/>
      <c r="F165" s="499"/>
      <c r="G165" s="766"/>
      <c r="H165" s="766"/>
      <c r="I165" s="766"/>
      <c r="J165" s="766"/>
      <c r="K165" s="683"/>
      <c r="L165" s="683"/>
      <c r="M165" s="683"/>
      <c r="N165" s="683"/>
      <c r="O165" s="683"/>
      <c r="P165" s="683"/>
      <c r="Q165" s="683"/>
      <c r="R165" s="683"/>
      <c r="S165" s="683"/>
      <c r="T165" s="501"/>
      <c r="U165" s="501"/>
      <c r="V165" s="501"/>
      <c r="W165" s="501"/>
      <c r="X165" s="501"/>
      <c r="Y165" s="501"/>
      <c r="Z165" s="501"/>
      <c r="AA165" s="501"/>
      <c r="AB165" s="501"/>
      <c r="AC165" s="501"/>
      <c r="AD165" s="501"/>
      <c r="AE165" s="501"/>
      <c r="AF165" s="501"/>
      <c r="AG165" s="501"/>
      <c r="AH165" s="501"/>
      <c r="AI165" s="501"/>
      <c r="AJ165" s="501"/>
      <c r="AK165" s="501"/>
      <c r="AL165" s="501"/>
      <c r="AM165" s="501"/>
      <c r="AN165" s="501"/>
      <c r="AO165" s="501"/>
      <c r="AP165" s="501"/>
      <c r="AQ165" s="501"/>
      <c r="AR165" s="501"/>
      <c r="AS165" s="501"/>
      <c r="AT165" s="501"/>
      <c r="AU165" s="501"/>
      <c r="AV165" s="501"/>
      <c r="AW165" s="501"/>
      <c r="AX165" s="501"/>
      <c r="AY165" s="501"/>
      <c r="AZ165" s="501"/>
      <c r="BA165" s="501"/>
      <c r="BB165" s="501"/>
      <c r="BC165" s="501"/>
      <c r="BD165" s="501"/>
      <c r="BE165" s="501"/>
      <c r="BF165" s="501"/>
      <c r="BG165" s="501"/>
      <c r="BH165" s="501"/>
      <c r="BI165" s="501"/>
      <c r="BJ165" s="501"/>
      <c r="BK165" s="501"/>
      <c r="BL165" s="501"/>
      <c r="BM165" s="501"/>
      <c r="BN165" s="501"/>
      <c r="BO165" s="501"/>
      <c r="BP165" s="501"/>
      <c r="BQ165" s="501"/>
      <c r="BR165" s="501"/>
      <c r="BS165" s="501"/>
      <c r="BT165" s="501"/>
      <c r="BU165" s="501"/>
      <c r="BV165" s="501"/>
      <c r="BW165" s="501"/>
      <c r="BX165" s="501"/>
      <c r="BY165" s="501"/>
      <c r="BZ165" s="501"/>
      <c r="CA165" s="501"/>
      <c r="CB165" s="501"/>
      <c r="CC165" s="501"/>
      <c r="CD165" s="501"/>
      <c r="CE165" s="501"/>
      <c r="CF165" s="501"/>
      <c r="CG165" s="501"/>
      <c r="CH165" s="501"/>
      <c r="CI165" s="501"/>
      <c r="CJ165" s="501"/>
      <c r="CK165" s="501"/>
      <c r="CL165" s="501"/>
      <c r="CM165" s="501"/>
      <c r="CN165" s="501"/>
      <c r="CO165" s="501"/>
      <c r="CP165" s="501"/>
      <c r="CQ165" s="501"/>
      <c r="CR165" s="501"/>
      <c r="CS165" s="501"/>
      <c r="CT165" s="501"/>
    </row>
    <row r="166">
      <c r="A166" s="569"/>
      <c r="B166" s="569"/>
      <c r="C166" s="569"/>
      <c r="D166" s="498"/>
      <c r="E166" s="499"/>
      <c r="F166" s="499"/>
      <c r="G166" s="766"/>
      <c r="H166" s="766"/>
      <c r="I166" s="766"/>
      <c r="J166" s="766"/>
      <c r="K166" s="683"/>
      <c r="L166" s="683"/>
      <c r="M166" s="683"/>
      <c r="N166" s="683"/>
      <c r="O166" s="683"/>
      <c r="P166" s="683"/>
      <c r="Q166" s="683"/>
      <c r="R166" s="683"/>
      <c r="S166" s="683"/>
      <c r="T166" s="501"/>
      <c r="U166" s="501"/>
      <c r="V166" s="501"/>
      <c r="W166" s="501"/>
      <c r="X166" s="501"/>
      <c r="Y166" s="501"/>
      <c r="Z166" s="501"/>
      <c r="AA166" s="501"/>
      <c r="AB166" s="501"/>
      <c r="AC166" s="501"/>
      <c r="AD166" s="501"/>
      <c r="AE166" s="501"/>
      <c r="AF166" s="501"/>
      <c r="AG166" s="501"/>
      <c r="AH166" s="501"/>
      <c r="AI166" s="501"/>
      <c r="AJ166" s="501"/>
      <c r="AK166" s="501"/>
      <c r="AL166" s="501"/>
      <c r="AM166" s="501"/>
      <c r="AN166" s="501"/>
      <c r="AO166" s="501"/>
      <c r="AP166" s="501"/>
      <c r="AQ166" s="501"/>
      <c r="AR166" s="501"/>
      <c r="AS166" s="501"/>
      <c r="AT166" s="501"/>
      <c r="AU166" s="501"/>
      <c r="AV166" s="501"/>
      <c r="AW166" s="501"/>
      <c r="AX166" s="501"/>
      <c r="AY166" s="501"/>
      <c r="AZ166" s="501"/>
      <c r="BA166" s="501"/>
      <c r="BB166" s="501"/>
      <c r="BC166" s="501"/>
      <c r="BD166" s="501"/>
      <c r="BE166" s="501"/>
      <c r="BF166" s="501"/>
      <c r="BG166" s="501"/>
      <c r="BH166" s="501"/>
      <c r="BI166" s="501"/>
      <c r="BJ166" s="501"/>
      <c r="BK166" s="501"/>
      <c r="BL166" s="501"/>
      <c r="BM166" s="501"/>
      <c r="BN166" s="501"/>
      <c r="BO166" s="501"/>
      <c r="BP166" s="501"/>
      <c r="BQ166" s="501"/>
      <c r="BR166" s="501"/>
      <c r="BS166" s="501"/>
      <c r="BT166" s="501"/>
      <c r="BU166" s="501"/>
      <c r="BV166" s="501"/>
      <c r="BW166" s="501"/>
      <c r="BX166" s="501"/>
      <c r="BY166" s="501"/>
      <c r="BZ166" s="501"/>
      <c r="CA166" s="501"/>
      <c r="CB166" s="501"/>
      <c r="CC166" s="501"/>
      <c r="CD166" s="501"/>
      <c r="CE166" s="501"/>
      <c r="CF166" s="501"/>
      <c r="CG166" s="501"/>
      <c r="CH166" s="501"/>
      <c r="CI166" s="501"/>
      <c r="CJ166" s="501"/>
      <c r="CK166" s="501"/>
      <c r="CL166" s="501"/>
      <c r="CM166" s="501"/>
      <c r="CN166" s="501"/>
      <c r="CO166" s="501"/>
      <c r="CP166" s="501"/>
      <c r="CQ166" s="501"/>
      <c r="CR166" s="501"/>
      <c r="CS166" s="501"/>
      <c r="CT166" s="501"/>
    </row>
    <row r="167">
      <c r="A167" s="569"/>
      <c r="B167" s="569"/>
      <c r="C167" s="569"/>
      <c r="D167" s="498"/>
      <c r="E167" s="499"/>
      <c r="F167" s="499"/>
      <c r="G167" s="766"/>
      <c r="H167" s="766"/>
      <c r="I167" s="766"/>
      <c r="J167" s="766"/>
      <c r="K167" s="683"/>
      <c r="L167" s="683"/>
      <c r="M167" s="683"/>
      <c r="N167" s="683"/>
      <c r="O167" s="683"/>
      <c r="P167" s="683"/>
      <c r="Q167" s="683"/>
      <c r="R167" s="683"/>
      <c r="S167" s="683"/>
      <c r="T167" s="501"/>
      <c r="U167" s="501"/>
      <c r="V167" s="501"/>
      <c r="W167" s="501"/>
      <c r="X167" s="501"/>
      <c r="Y167" s="501"/>
      <c r="Z167" s="501"/>
      <c r="AA167" s="501"/>
      <c r="AB167" s="501"/>
      <c r="AC167" s="501"/>
      <c r="AD167" s="501"/>
      <c r="AE167" s="501"/>
      <c r="AF167" s="501"/>
      <c r="AG167" s="501"/>
      <c r="AH167" s="501"/>
      <c r="AI167" s="501"/>
      <c r="AJ167" s="501"/>
      <c r="AK167" s="501"/>
      <c r="AL167" s="501"/>
      <c r="AM167" s="501"/>
      <c r="AN167" s="501"/>
      <c r="AO167" s="501"/>
      <c r="AP167" s="501"/>
      <c r="AQ167" s="501"/>
      <c r="AR167" s="501"/>
      <c r="AS167" s="501"/>
      <c r="AT167" s="501"/>
      <c r="AU167" s="501"/>
      <c r="AV167" s="501"/>
      <c r="AW167" s="501"/>
      <c r="AX167" s="501"/>
      <c r="AY167" s="501"/>
      <c r="AZ167" s="501"/>
      <c r="BA167" s="501"/>
      <c r="BB167" s="501"/>
      <c r="BC167" s="501"/>
      <c r="BD167" s="501"/>
      <c r="BE167" s="501"/>
      <c r="BF167" s="501"/>
      <c r="BG167" s="501"/>
      <c r="BH167" s="501"/>
      <c r="BI167" s="501"/>
      <c r="BJ167" s="501"/>
      <c r="BK167" s="501"/>
      <c r="BL167" s="501"/>
      <c r="BM167" s="501"/>
      <c r="BN167" s="501"/>
      <c r="BO167" s="501"/>
      <c r="BP167" s="501"/>
      <c r="BQ167" s="501"/>
      <c r="BR167" s="501"/>
      <c r="BS167" s="501"/>
      <c r="BT167" s="501"/>
      <c r="BU167" s="501"/>
      <c r="BV167" s="501"/>
      <c r="BW167" s="501"/>
      <c r="BX167" s="501"/>
      <c r="BY167" s="501"/>
      <c r="BZ167" s="501"/>
      <c r="CA167" s="501"/>
      <c r="CB167" s="501"/>
      <c r="CC167" s="501"/>
      <c r="CD167" s="501"/>
      <c r="CE167" s="501"/>
      <c r="CF167" s="501"/>
      <c r="CG167" s="501"/>
      <c r="CH167" s="501"/>
      <c r="CI167" s="501"/>
      <c r="CJ167" s="501"/>
      <c r="CK167" s="501"/>
      <c r="CL167" s="501"/>
      <c r="CM167" s="501"/>
      <c r="CN167" s="501"/>
      <c r="CO167" s="501"/>
      <c r="CP167" s="501"/>
      <c r="CQ167" s="501"/>
      <c r="CR167" s="501"/>
      <c r="CS167" s="501"/>
      <c r="CT167" s="501"/>
    </row>
    <row r="168">
      <c r="A168" s="569"/>
      <c r="B168" s="569"/>
      <c r="C168" s="569"/>
      <c r="D168" s="498"/>
      <c r="E168" s="499"/>
      <c r="F168" s="499"/>
      <c r="G168" s="766"/>
      <c r="H168" s="766"/>
      <c r="I168" s="766"/>
      <c r="J168" s="766"/>
      <c r="K168" s="683"/>
      <c r="L168" s="683"/>
      <c r="M168" s="683"/>
      <c r="N168" s="683"/>
      <c r="O168" s="683"/>
      <c r="P168" s="683"/>
      <c r="Q168" s="683"/>
      <c r="R168" s="683"/>
      <c r="S168" s="683"/>
      <c r="T168" s="501"/>
      <c r="U168" s="501"/>
      <c r="V168" s="501"/>
      <c r="W168" s="501"/>
      <c r="X168" s="501"/>
      <c r="Y168" s="501"/>
      <c r="Z168" s="501"/>
      <c r="AA168" s="501"/>
      <c r="AB168" s="501"/>
      <c r="AC168" s="501"/>
      <c r="AD168" s="501"/>
      <c r="AE168" s="501"/>
      <c r="AF168" s="501"/>
      <c r="AG168" s="501"/>
      <c r="AH168" s="501"/>
      <c r="AI168" s="501"/>
      <c r="AJ168" s="501"/>
      <c r="AK168" s="501"/>
      <c r="AL168" s="501"/>
      <c r="AM168" s="501"/>
      <c r="AN168" s="501"/>
      <c r="AO168" s="501"/>
      <c r="AP168" s="501"/>
      <c r="AQ168" s="501"/>
      <c r="AR168" s="501"/>
      <c r="AS168" s="501"/>
      <c r="AT168" s="501"/>
      <c r="AU168" s="501"/>
      <c r="AV168" s="501"/>
      <c r="AW168" s="501"/>
      <c r="AX168" s="501"/>
      <c r="AY168" s="501"/>
      <c r="AZ168" s="501"/>
      <c r="BA168" s="501"/>
      <c r="BB168" s="501"/>
      <c r="BC168" s="501"/>
      <c r="BD168" s="501"/>
      <c r="BE168" s="501"/>
      <c r="BF168" s="501"/>
      <c r="BG168" s="501"/>
      <c r="BH168" s="501"/>
      <c r="BI168" s="501"/>
      <c r="BJ168" s="501"/>
      <c r="BK168" s="501"/>
      <c r="BL168" s="501"/>
      <c r="BM168" s="501"/>
      <c r="BN168" s="501"/>
      <c r="BO168" s="501"/>
      <c r="BP168" s="501"/>
      <c r="BQ168" s="501"/>
      <c r="BR168" s="501"/>
      <c r="BS168" s="501"/>
      <c r="BT168" s="501"/>
      <c r="BU168" s="501"/>
      <c r="BV168" s="501"/>
      <c r="BW168" s="501"/>
      <c r="BX168" s="501"/>
      <c r="BY168" s="501"/>
      <c r="BZ168" s="501"/>
      <c r="CA168" s="501"/>
      <c r="CB168" s="501"/>
      <c r="CC168" s="501"/>
      <c r="CD168" s="501"/>
      <c r="CE168" s="501"/>
      <c r="CF168" s="501"/>
      <c r="CG168" s="501"/>
      <c r="CH168" s="501"/>
      <c r="CI168" s="501"/>
      <c r="CJ168" s="501"/>
      <c r="CK168" s="501"/>
      <c r="CL168" s="501"/>
      <c r="CM168" s="501"/>
      <c r="CN168" s="501"/>
      <c r="CO168" s="501"/>
      <c r="CP168" s="501"/>
      <c r="CQ168" s="501"/>
      <c r="CR168" s="501"/>
      <c r="CS168" s="501"/>
      <c r="CT168" s="501"/>
    </row>
    <row r="169">
      <c r="A169" s="569"/>
      <c r="B169" s="569"/>
      <c r="C169" s="569"/>
      <c r="D169" s="498"/>
      <c r="E169" s="499"/>
      <c r="F169" s="499"/>
      <c r="G169" s="766"/>
      <c r="H169" s="766"/>
      <c r="I169" s="766"/>
      <c r="J169" s="766"/>
      <c r="K169" s="683"/>
      <c r="L169" s="683"/>
      <c r="M169" s="683"/>
      <c r="N169" s="683"/>
      <c r="O169" s="683"/>
      <c r="P169" s="683"/>
      <c r="Q169" s="683"/>
      <c r="R169" s="683"/>
      <c r="S169" s="683"/>
      <c r="T169" s="501"/>
      <c r="U169" s="501"/>
      <c r="V169" s="501"/>
      <c r="W169" s="501"/>
      <c r="X169" s="501"/>
      <c r="Y169" s="501"/>
      <c r="Z169" s="501"/>
      <c r="AA169" s="501"/>
      <c r="AB169" s="501"/>
      <c r="AC169" s="501"/>
      <c r="AD169" s="501"/>
      <c r="AE169" s="501"/>
      <c r="AF169" s="501"/>
      <c r="AG169" s="501"/>
      <c r="AH169" s="501"/>
      <c r="AI169" s="501"/>
      <c r="AJ169" s="501"/>
      <c r="AK169" s="501"/>
      <c r="AL169" s="501"/>
      <c r="AM169" s="501"/>
      <c r="AN169" s="501"/>
      <c r="AO169" s="501"/>
      <c r="AP169" s="501"/>
      <c r="AQ169" s="501"/>
      <c r="AR169" s="501"/>
      <c r="AS169" s="501"/>
      <c r="AT169" s="501"/>
      <c r="AU169" s="501"/>
      <c r="AV169" s="501"/>
      <c r="AW169" s="501"/>
      <c r="AX169" s="501"/>
      <c r="AY169" s="501"/>
      <c r="AZ169" s="501"/>
      <c r="BA169" s="501"/>
      <c r="BB169" s="501"/>
      <c r="BC169" s="501"/>
      <c r="BD169" s="501"/>
      <c r="BE169" s="501"/>
      <c r="BF169" s="501"/>
      <c r="BG169" s="501"/>
      <c r="BH169" s="501"/>
      <c r="BI169" s="501"/>
      <c r="BJ169" s="501"/>
      <c r="BK169" s="501"/>
      <c r="BL169" s="501"/>
      <c r="BM169" s="501"/>
      <c r="BN169" s="501"/>
      <c r="BO169" s="501"/>
      <c r="BP169" s="501"/>
      <c r="BQ169" s="501"/>
      <c r="BR169" s="501"/>
      <c r="BS169" s="501"/>
      <c r="BT169" s="501"/>
      <c r="BU169" s="501"/>
      <c r="BV169" s="501"/>
      <c r="BW169" s="501"/>
      <c r="BX169" s="501"/>
      <c r="BY169" s="501"/>
      <c r="BZ169" s="501"/>
      <c r="CA169" s="501"/>
      <c r="CB169" s="501"/>
      <c r="CC169" s="501"/>
      <c r="CD169" s="501"/>
      <c r="CE169" s="501"/>
      <c r="CF169" s="501"/>
      <c r="CG169" s="501"/>
      <c r="CH169" s="501"/>
      <c r="CI169" s="501"/>
      <c r="CJ169" s="501"/>
      <c r="CK169" s="501"/>
      <c r="CL169" s="501"/>
      <c r="CM169" s="501"/>
      <c r="CN169" s="501"/>
      <c r="CO169" s="501"/>
      <c r="CP169" s="501"/>
      <c r="CQ169" s="501"/>
      <c r="CR169" s="501"/>
      <c r="CS169" s="501"/>
      <c r="CT169" s="501"/>
    </row>
    <row r="170">
      <c r="A170" s="569"/>
      <c r="B170" s="569"/>
      <c r="C170" s="569"/>
      <c r="D170" s="498"/>
      <c r="E170" s="499"/>
      <c r="F170" s="499"/>
      <c r="G170" s="766"/>
      <c r="H170" s="766"/>
      <c r="I170" s="766"/>
      <c r="J170" s="766"/>
      <c r="K170" s="683"/>
      <c r="L170" s="683"/>
      <c r="M170" s="683"/>
      <c r="N170" s="683"/>
      <c r="O170" s="683"/>
      <c r="P170" s="683"/>
      <c r="Q170" s="683"/>
      <c r="R170" s="683"/>
      <c r="S170" s="683"/>
      <c r="T170" s="501"/>
      <c r="U170" s="501"/>
      <c r="V170" s="501"/>
      <c r="W170" s="501"/>
      <c r="X170" s="501"/>
      <c r="Y170" s="501"/>
      <c r="Z170" s="501"/>
      <c r="AA170" s="501"/>
      <c r="AB170" s="501"/>
      <c r="AC170" s="501"/>
      <c r="AD170" s="501"/>
      <c r="AE170" s="501"/>
      <c r="AF170" s="501"/>
      <c r="AG170" s="501"/>
      <c r="AH170" s="501"/>
      <c r="AI170" s="501"/>
      <c r="AJ170" s="501"/>
      <c r="AK170" s="501"/>
      <c r="AL170" s="501"/>
      <c r="AM170" s="501"/>
      <c r="AN170" s="501"/>
      <c r="AO170" s="501"/>
      <c r="AP170" s="501"/>
      <c r="AQ170" s="501"/>
      <c r="AR170" s="501"/>
      <c r="AS170" s="501"/>
      <c r="AT170" s="501"/>
      <c r="AU170" s="501"/>
      <c r="AV170" s="501"/>
      <c r="AW170" s="501"/>
      <c r="AX170" s="501"/>
      <c r="AY170" s="501"/>
      <c r="AZ170" s="501"/>
      <c r="BA170" s="501"/>
      <c r="BB170" s="501"/>
      <c r="BC170" s="501"/>
      <c r="BD170" s="501"/>
      <c r="BE170" s="501"/>
      <c r="BF170" s="501"/>
      <c r="BG170" s="501"/>
      <c r="BH170" s="501"/>
      <c r="BI170" s="501"/>
      <c r="BJ170" s="501"/>
      <c r="BK170" s="501"/>
      <c r="BL170" s="501"/>
      <c r="BM170" s="501"/>
      <c r="BN170" s="501"/>
      <c r="BO170" s="501"/>
      <c r="BP170" s="501"/>
      <c r="BQ170" s="501"/>
      <c r="BR170" s="501"/>
      <c r="BS170" s="501"/>
      <c r="BT170" s="501"/>
      <c r="BU170" s="501"/>
      <c r="BV170" s="501"/>
      <c r="BW170" s="501"/>
      <c r="BX170" s="501"/>
      <c r="BY170" s="501"/>
      <c r="BZ170" s="501"/>
      <c r="CA170" s="501"/>
      <c r="CB170" s="501"/>
      <c r="CC170" s="501"/>
      <c r="CD170" s="501"/>
      <c r="CE170" s="501"/>
      <c r="CF170" s="501"/>
      <c r="CG170" s="501"/>
      <c r="CH170" s="501"/>
      <c r="CI170" s="501"/>
      <c r="CJ170" s="501"/>
      <c r="CK170" s="501"/>
      <c r="CL170" s="501"/>
      <c r="CM170" s="501"/>
      <c r="CN170" s="501"/>
      <c r="CO170" s="501"/>
      <c r="CP170" s="501"/>
      <c r="CQ170" s="501"/>
      <c r="CR170" s="501"/>
      <c r="CS170" s="501"/>
      <c r="CT170" s="501"/>
    </row>
    <row r="171">
      <c r="A171" s="569"/>
      <c r="B171" s="569"/>
      <c r="C171" s="569"/>
      <c r="D171" s="498"/>
      <c r="E171" s="499"/>
      <c r="F171" s="499"/>
      <c r="G171" s="766"/>
      <c r="H171" s="766"/>
      <c r="I171" s="766"/>
      <c r="J171" s="766"/>
      <c r="K171" s="683"/>
      <c r="L171" s="683"/>
      <c r="M171" s="683"/>
      <c r="N171" s="683"/>
      <c r="O171" s="683"/>
      <c r="P171" s="683"/>
      <c r="Q171" s="683"/>
      <c r="R171" s="683"/>
      <c r="S171" s="683"/>
      <c r="T171" s="501"/>
      <c r="U171" s="501"/>
      <c r="V171" s="501"/>
      <c r="W171" s="501"/>
      <c r="X171" s="501"/>
      <c r="Y171" s="501"/>
      <c r="Z171" s="501"/>
      <c r="AA171" s="501"/>
      <c r="AB171" s="501"/>
      <c r="AC171" s="501"/>
      <c r="AD171" s="501"/>
      <c r="AE171" s="501"/>
      <c r="AF171" s="501"/>
      <c r="AG171" s="501"/>
      <c r="AH171" s="501"/>
      <c r="AI171" s="501"/>
      <c r="AJ171" s="501"/>
      <c r="AK171" s="501"/>
      <c r="AL171" s="501"/>
      <c r="AM171" s="501"/>
      <c r="AN171" s="501"/>
      <c r="AO171" s="501"/>
      <c r="AP171" s="501"/>
      <c r="AQ171" s="501"/>
      <c r="AR171" s="501"/>
      <c r="AS171" s="501"/>
      <c r="AT171" s="501"/>
      <c r="AU171" s="501"/>
      <c r="AV171" s="501"/>
      <c r="AW171" s="501"/>
      <c r="AX171" s="501"/>
      <c r="AY171" s="501"/>
      <c r="AZ171" s="501"/>
      <c r="BA171" s="501"/>
      <c r="BB171" s="501"/>
      <c r="BC171" s="501"/>
      <c r="BD171" s="501"/>
      <c r="BE171" s="501"/>
      <c r="BF171" s="501"/>
      <c r="BG171" s="501"/>
      <c r="BH171" s="501"/>
      <c r="BI171" s="501"/>
      <c r="BJ171" s="501"/>
      <c r="BK171" s="501"/>
      <c r="BL171" s="501"/>
      <c r="BM171" s="501"/>
      <c r="BN171" s="501"/>
      <c r="BO171" s="501"/>
      <c r="BP171" s="501"/>
      <c r="BQ171" s="501"/>
      <c r="BR171" s="501"/>
      <c r="BS171" s="501"/>
      <c r="BT171" s="501"/>
      <c r="BU171" s="501"/>
      <c r="BV171" s="501"/>
      <c r="BW171" s="501"/>
      <c r="BX171" s="501"/>
      <c r="BY171" s="501"/>
      <c r="BZ171" s="501"/>
      <c r="CA171" s="501"/>
      <c r="CB171" s="501"/>
      <c r="CC171" s="501"/>
      <c r="CD171" s="501"/>
      <c r="CE171" s="501"/>
      <c r="CF171" s="501"/>
      <c r="CG171" s="501"/>
      <c r="CH171" s="501"/>
      <c r="CI171" s="501"/>
      <c r="CJ171" s="501"/>
      <c r="CK171" s="501"/>
      <c r="CL171" s="501"/>
      <c r="CM171" s="501"/>
      <c r="CN171" s="501"/>
      <c r="CO171" s="501"/>
      <c r="CP171" s="501"/>
      <c r="CQ171" s="501"/>
      <c r="CR171" s="501"/>
      <c r="CS171" s="501"/>
      <c r="CT171" s="501"/>
    </row>
    <row r="172">
      <c r="A172" s="569"/>
      <c r="B172" s="569"/>
      <c r="C172" s="569"/>
      <c r="D172" s="498"/>
      <c r="E172" s="499"/>
      <c r="F172" s="499"/>
      <c r="G172" s="766"/>
      <c r="H172" s="766"/>
      <c r="I172" s="766"/>
      <c r="J172" s="766"/>
      <c r="K172" s="683"/>
      <c r="L172" s="683"/>
      <c r="M172" s="683"/>
      <c r="N172" s="683"/>
      <c r="O172" s="683"/>
      <c r="P172" s="683"/>
      <c r="Q172" s="683"/>
      <c r="R172" s="683"/>
      <c r="S172" s="683"/>
      <c r="T172" s="501"/>
      <c r="U172" s="501"/>
      <c r="V172" s="501"/>
      <c r="W172" s="501"/>
      <c r="X172" s="501"/>
      <c r="Y172" s="501"/>
      <c r="Z172" s="501"/>
      <c r="AA172" s="501"/>
      <c r="AB172" s="501"/>
      <c r="AC172" s="501"/>
      <c r="AD172" s="501"/>
      <c r="AE172" s="501"/>
      <c r="AF172" s="501"/>
      <c r="AG172" s="501"/>
      <c r="AH172" s="501"/>
      <c r="AI172" s="501"/>
      <c r="AJ172" s="501"/>
      <c r="AK172" s="501"/>
      <c r="AL172" s="501"/>
      <c r="AM172" s="501"/>
      <c r="AN172" s="501"/>
      <c r="AO172" s="501"/>
      <c r="AP172" s="501"/>
      <c r="AQ172" s="501"/>
      <c r="AR172" s="501"/>
      <c r="AS172" s="501"/>
      <c r="AT172" s="501"/>
      <c r="AU172" s="501"/>
      <c r="AV172" s="501"/>
      <c r="AW172" s="501"/>
      <c r="AX172" s="501"/>
      <c r="AY172" s="501"/>
      <c r="AZ172" s="501"/>
      <c r="BA172" s="501"/>
      <c r="BB172" s="501"/>
      <c r="BC172" s="501"/>
      <c r="BD172" s="501"/>
      <c r="BE172" s="501"/>
      <c r="BF172" s="501"/>
      <c r="BG172" s="501"/>
      <c r="BH172" s="501"/>
      <c r="BI172" s="501"/>
      <c r="BJ172" s="501"/>
      <c r="BK172" s="501"/>
      <c r="BL172" s="501"/>
      <c r="BM172" s="501"/>
      <c r="BN172" s="501"/>
      <c r="BO172" s="501"/>
      <c r="BP172" s="501"/>
      <c r="BQ172" s="501"/>
      <c r="BR172" s="501"/>
      <c r="BS172" s="501"/>
      <c r="BT172" s="501"/>
      <c r="BU172" s="501"/>
      <c r="BV172" s="501"/>
      <c r="BW172" s="501"/>
      <c r="BX172" s="501"/>
      <c r="BY172" s="501"/>
      <c r="BZ172" s="501"/>
      <c r="CA172" s="501"/>
      <c r="CB172" s="501"/>
      <c r="CC172" s="501"/>
      <c r="CD172" s="501"/>
      <c r="CE172" s="501"/>
      <c r="CF172" s="501"/>
      <c r="CG172" s="501"/>
      <c r="CH172" s="501"/>
      <c r="CI172" s="501"/>
      <c r="CJ172" s="501"/>
      <c r="CK172" s="501"/>
      <c r="CL172" s="501"/>
      <c r="CM172" s="501"/>
      <c r="CN172" s="501"/>
      <c r="CO172" s="501"/>
      <c r="CP172" s="501"/>
      <c r="CQ172" s="501"/>
      <c r="CR172" s="501"/>
      <c r="CS172" s="501"/>
      <c r="CT172" s="501"/>
    </row>
    <row r="173">
      <c r="A173" s="569"/>
      <c r="B173" s="569"/>
      <c r="C173" s="569"/>
      <c r="D173" s="498"/>
      <c r="E173" s="499"/>
      <c r="F173" s="499"/>
      <c r="G173" s="766"/>
      <c r="H173" s="766"/>
      <c r="I173" s="766"/>
      <c r="J173" s="766"/>
      <c r="K173" s="683"/>
      <c r="L173" s="683"/>
      <c r="M173" s="683"/>
      <c r="N173" s="683"/>
      <c r="O173" s="683"/>
      <c r="P173" s="683"/>
      <c r="Q173" s="683"/>
      <c r="R173" s="683"/>
      <c r="S173" s="683"/>
      <c r="T173" s="501"/>
      <c r="U173" s="501"/>
      <c r="V173" s="501"/>
      <c r="W173" s="501"/>
      <c r="X173" s="501"/>
      <c r="Y173" s="501"/>
      <c r="Z173" s="501"/>
      <c r="AA173" s="501"/>
      <c r="AB173" s="501"/>
      <c r="AC173" s="501"/>
      <c r="AD173" s="501"/>
      <c r="AE173" s="501"/>
      <c r="AF173" s="501"/>
      <c r="AG173" s="501"/>
      <c r="AH173" s="501"/>
      <c r="AI173" s="501"/>
      <c r="AJ173" s="501"/>
      <c r="AK173" s="501"/>
      <c r="AL173" s="501"/>
      <c r="AM173" s="501"/>
      <c r="AN173" s="501"/>
      <c r="AO173" s="501"/>
      <c r="AP173" s="501"/>
      <c r="AQ173" s="501"/>
      <c r="AR173" s="501"/>
      <c r="AS173" s="501"/>
      <c r="AT173" s="501"/>
      <c r="AU173" s="501"/>
      <c r="AV173" s="501"/>
      <c r="AW173" s="501"/>
      <c r="AX173" s="501"/>
      <c r="AY173" s="501"/>
      <c r="AZ173" s="501"/>
      <c r="BA173" s="501"/>
      <c r="BB173" s="501"/>
      <c r="BC173" s="501"/>
      <c r="BD173" s="501"/>
      <c r="BE173" s="501"/>
      <c r="BF173" s="501"/>
      <c r="BG173" s="501"/>
      <c r="BH173" s="501"/>
      <c r="BI173" s="501"/>
      <c r="BJ173" s="501"/>
      <c r="BK173" s="501"/>
      <c r="BL173" s="501"/>
      <c r="BM173" s="501"/>
      <c r="BN173" s="501"/>
      <c r="BO173" s="501"/>
      <c r="BP173" s="501"/>
      <c r="BQ173" s="501"/>
      <c r="BR173" s="501"/>
      <c r="BS173" s="501"/>
      <c r="BT173" s="501"/>
      <c r="BU173" s="501"/>
      <c r="BV173" s="501"/>
      <c r="BW173" s="501"/>
      <c r="BX173" s="501"/>
      <c r="BY173" s="501"/>
      <c r="BZ173" s="501"/>
      <c r="CA173" s="501"/>
      <c r="CB173" s="501"/>
      <c r="CC173" s="501"/>
      <c r="CD173" s="501"/>
      <c r="CE173" s="501"/>
      <c r="CF173" s="501"/>
      <c r="CG173" s="501"/>
      <c r="CH173" s="501"/>
      <c r="CI173" s="501"/>
      <c r="CJ173" s="501"/>
      <c r="CK173" s="501"/>
      <c r="CL173" s="501"/>
      <c r="CM173" s="501"/>
      <c r="CN173" s="501"/>
      <c r="CO173" s="501"/>
      <c r="CP173" s="501"/>
      <c r="CQ173" s="501"/>
      <c r="CR173" s="501"/>
      <c r="CS173" s="501"/>
      <c r="CT173" s="501"/>
    </row>
    <row r="174">
      <c r="A174" s="569"/>
      <c r="B174" s="569"/>
      <c r="C174" s="569"/>
      <c r="D174" s="498"/>
      <c r="E174" s="499"/>
      <c r="F174" s="499"/>
      <c r="G174" s="766"/>
      <c r="H174" s="766"/>
      <c r="I174" s="766"/>
      <c r="J174" s="766"/>
      <c r="K174" s="683"/>
      <c r="L174" s="683"/>
      <c r="M174" s="683"/>
      <c r="N174" s="683"/>
      <c r="O174" s="683"/>
      <c r="P174" s="683"/>
      <c r="Q174" s="683"/>
      <c r="R174" s="683"/>
      <c r="S174" s="683"/>
      <c r="T174" s="501"/>
      <c r="U174" s="501"/>
      <c r="V174" s="501"/>
      <c r="W174" s="501"/>
      <c r="X174" s="501"/>
      <c r="Y174" s="501"/>
      <c r="Z174" s="501"/>
      <c r="AA174" s="501"/>
      <c r="AB174" s="501"/>
      <c r="AC174" s="501"/>
      <c r="AD174" s="501"/>
      <c r="AE174" s="501"/>
      <c r="AF174" s="501"/>
      <c r="AG174" s="501"/>
      <c r="AH174" s="501"/>
      <c r="AI174" s="501"/>
      <c r="AJ174" s="501"/>
      <c r="AK174" s="501"/>
      <c r="AL174" s="501"/>
      <c r="AM174" s="501"/>
      <c r="AN174" s="501"/>
      <c r="AO174" s="501"/>
      <c r="AP174" s="501"/>
      <c r="AQ174" s="501"/>
      <c r="AR174" s="501"/>
      <c r="AS174" s="501"/>
      <c r="AT174" s="501"/>
      <c r="AU174" s="501"/>
      <c r="AV174" s="501"/>
      <c r="AW174" s="501"/>
      <c r="AX174" s="501"/>
      <c r="AY174" s="501"/>
      <c r="AZ174" s="501"/>
      <c r="BA174" s="501"/>
      <c r="BB174" s="501"/>
      <c r="BC174" s="501"/>
      <c r="BD174" s="501"/>
      <c r="BE174" s="501"/>
      <c r="BF174" s="501"/>
      <c r="BG174" s="501"/>
      <c r="BH174" s="501"/>
      <c r="BI174" s="501"/>
      <c r="BJ174" s="501"/>
      <c r="BK174" s="501"/>
      <c r="BL174" s="501"/>
      <c r="BM174" s="501"/>
      <c r="BN174" s="501"/>
      <c r="BO174" s="501"/>
      <c r="BP174" s="501"/>
      <c r="BQ174" s="501"/>
      <c r="BR174" s="501"/>
      <c r="BS174" s="501"/>
      <c r="BT174" s="501"/>
      <c r="BU174" s="501"/>
      <c r="BV174" s="501"/>
      <c r="BW174" s="501"/>
      <c r="BX174" s="501"/>
      <c r="BY174" s="501"/>
      <c r="BZ174" s="501"/>
      <c r="CA174" s="501"/>
      <c r="CB174" s="501"/>
      <c r="CC174" s="501"/>
      <c r="CD174" s="501"/>
      <c r="CE174" s="501"/>
      <c r="CF174" s="501"/>
      <c r="CG174" s="501"/>
      <c r="CH174" s="501"/>
      <c r="CI174" s="501"/>
      <c r="CJ174" s="501"/>
      <c r="CK174" s="501"/>
      <c r="CL174" s="501"/>
      <c r="CM174" s="501"/>
      <c r="CN174" s="501"/>
      <c r="CO174" s="501"/>
      <c r="CP174" s="501"/>
      <c r="CQ174" s="501"/>
      <c r="CR174" s="501"/>
      <c r="CS174" s="501"/>
      <c r="CT174" s="501"/>
    </row>
    <row r="175">
      <c r="A175" s="569"/>
      <c r="B175" s="569"/>
      <c r="C175" s="569"/>
      <c r="D175" s="498"/>
      <c r="E175" s="499"/>
      <c r="F175" s="499"/>
      <c r="G175" s="766"/>
      <c r="H175" s="766"/>
      <c r="I175" s="766"/>
      <c r="J175" s="766"/>
      <c r="K175" s="683"/>
      <c r="L175" s="683"/>
      <c r="M175" s="683"/>
      <c r="N175" s="683"/>
      <c r="O175" s="683"/>
      <c r="P175" s="683"/>
      <c r="Q175" s="683"/>
      <c r="R175" s="683"/>
      <c r="S175" s="683"/>
      <c r="T175" s="501"/>
      <c r="U175" s="501"/>
      <c r="V175" s="501"/>
      <c r="W175" s="501"/>
      <c r="X175" s="501"/>
      <c r="Y175" s="501"/>
      <c r="Z175" s="501"/>
      <c r="AA175" s="501"/>
      <c r="AB175" s="501"/>
      <c r="AC175" s="501"/>
      <c r="AD175" s="501"/>
      <c r="AE175" s="501"/>
      <c r="AF175" s="501"/>
      <c r="AG175" s="501"/>
      <c r="AH175" s="501"/>
      <c r="AI175" s="501"/>
      <c r="AJ175" s="501"/>
      <c r="AK175" s="501"/>
      <c r="AL175" s="501"/>
      <c r="AM175" s="501"/>
      <c r="AN175" s="501"/>
      <c r="AO175" s="501"/>
      <c r="AP175" s="501"/>
      <c r="AQ175" s="501"/>
      <c r="AR175" s="501"/>
      <c r="AS175" s="501"/>
      <c r="AT175" s="501"/>
      <c r="AU175" s="501"/>
      <c r="AV175" s="501"/>
      <c r="AW175" s="501"/>
      <c r="AX175" s="501"/>
      <c r="AY175" s="501"/>
      <c r="AZ175" s="501"/>
      <c r="BA175" s="501"/>
      <c r="BB175" s="501"/>
      <c r="BC175" s="501"/>
      <c r="BD175" s="501"/>
      <c r="BE175" s="501"/>
      <c r="BF175" s="501"/>
      <c r="BG175" s="501"/>
      <c r="BH175" s="501"/>
      <c r="BI175" s="501"/>
      <c r="BJ175" s="501"/>
      <c r="BK175" s="501"/>
      <c r="BL175" s="501"/>
      <c r="BM175" s="501"/>
      <c r="BN175" s="501"/>
      <c r="BO175" s="501"/>
      <c r="BP175" s="501"/>
      <c r="BQ175" s="501"/>
      <c r="BR175" s="501"/>
      <c r="BS175" s="501"/>
      <c r="BT175" s="501"/>
      <c r="BU175" s="501"/>
      <c r="BV175" s="501"/>
      <c r="BW175" s="501"/>
      <c r="BX175" s="501"/>
      <c r="BY175" s="501"/>
      <c r="BZ175" s="501"/>
      <c r="CA175" s="501"/>
      <c r="CB175" s="501"/>
      <c r="CC175" s="501"/>
      <c r="CD175" s="501"/>
      <c r="CE175" s="501"/>
      <c r="CF175" s="501"/>
      <c r="CG175" s="501"/>
      <c r="CH175" s="501"/>
      <c r="CI175" s="501"/>
      <c r="CJ175" s="501"/>
      <c r="CK175" s="501"/>
      <c r="CL175" s="501"/>
      <c r="CM175" s="501"/>
      <c r="CN175" s="501"/>
      <c r="CO175" s="501"/>
      <c r="CP175" s="501"/>
      <c r="CQ175" s="501"/>
      <c r="CR175" s="501"/>
      <c r="CS175" s="501"/>
      <c r="CT175" s="501"/>
    </row>
    <row r="176">
      <c r="A176" s="569"/>
      <c r="B176" s="569"/>
      <c r="C176" s="569"/>
      <c r="D176" s="498"/>
      <c r="E176" s="499"/>
      <c r="F176" s="499"/>
      <c r="G176" s="766"/>
      <c r="H176" s="766"/>
      <c r="I176" s="766"/>
      <c r="J176" s="766"/>
      <c r="K176" s="683"/>
      <c r="L176" s="683"/>
      <c r="M176" s="683"/>
      <c r="N176" s="683"/>
      <c r="O176" s="683"/>
      <c r="P176" s="683"/>
      <c r="Q176" s="683"/>
      <c r="R176" s="683"/>
      <c r="S176" s="683"/>
      <c r="T176" s="501"/>
      <c r="U176" s="501"/>
      <c r="V176" s="501"/>
      <c r="W176" s="501"/>
      <c r="X176" s="501"/>
      <c r="Y176" s="501"/>
      <c r="Z176" s="501"/>
      <c r="AA176" s="501"/>
      <c r="AB176" s="501"/>
      <c r="AC176" s="501"/>
      <c r="AD176" s="501"/>
      <c r="AE176" s="501"/>
      <c r="AF176" s="501"/>
      <c r="AG176" s="501"/>
      <c r="AH176" s="501"/>
      <c r="AI176" s="501"/>
      <c r="AJ176" s="501"/>
      <c r="AK176" s="501"/>
      <c r="AL176" s="501"/>
      <c r="AM176" s="501"/>
      <c r="AN176" s="501"/>
      <c r="AO176" s="501"/>
      <c r="AP176" s="501"/>
      <c r="AQ176" s="501"/>
      <c r="AR176" s="501"/>
      <c r="AS176" s="501"/>
      <c r="AT176" s="501"/>
      <c r="AU176" s="501"/>
      <c r="AV176" s="501"/>
      <c r="AW176" s="501"/>
      <c r="AX176" s="501"/>
      <c r="AY176" s="501"/>
      <c r="AZ176" s="501"/>
      <c r="BA176" s="501"/>
      <c r="BB176" s="501"/>
      <c r="BC176" s="501"/>
      <c r="BD176" s="501"/>
      <c r="BE176" s="501"/>
      <c r="BF176" s="501"/>
      <c r="BG176" s="501"/>
      <c r="BH176" s="501"/>
      <c r="BI176" s="501"/>
      <c r="BJ176" s="501"/>
      <c r="BK176" s="501"/>
      <c r="BL176" s="501"/>
      <c r="BM176" s="501"/>
      <c r="BN176" s="501"/>
      <c r="BO176" s="501"/>
      <c r="BP176" s="501"/>
      <c r="BQ176" s="501"/>
      <c r="BR176" s="501"/>
      <c r="BS176" s="501"/>
      <c r="BT176" s="501"/>
      <c r="BU176" s="501"/>
      <c r="BV176" s="501"/>
      <c r="BW176" s="501"/>
      <c r="BX176" s="501"/>
      <c r="BY176" s="501"/>
      <c r="BZ176" s="501"/>
      <c r="CA176" s="501"/>
      <c r="CB176" s="501"/>
      <c r="CC176" s="501"/>
      <c r="CD176" s="501"/>
      <c r="CE176" s="501"/>
      <c r="CF176" s="501"/>
      <c r="CG176" s="501"/>
      <c r="CH176" s="501"/>
      <c r="CI176" s="501"/>
      <c r="CJ176" s="501"/>
      <c r="CK176" s="501"/>
      <c r="CL176" s="501"/>
      <c r="CM176" s="501"/>
      <c r="CN176" s="501"/>
      <c r="CO176" s="501"/>
      <c r="CP176" s="501"/>
      <c r="CQ176" s="501"/>
      <c r="CR176" s="501"/>
      <c r="CS176" s="501"/>
      <c r="CT176" s="501"/>
    </row>
    <row r="177">
      <c r="A177" s="569"/>
      <c r="B177" s="569"/>
      <c r="C177" s="569"/>
      <c r="D177" s="498"/>
      <c r="E177" s="499"/>
      <c r="F177" s="499"/>
      <c r="G177" s="766"/>
      <c r="H177" s="766"/>
      <c r="I177" s="766"/>
      <c r="J177" s="766"/>
      <c r="K177" s="683"/>
      <c r="L177" s="683"/>
      <c r="M177" s="683"/>
      <c r="N177" s="683"/>
      <c r="O177" s="683"/>
      <c r="P177" s="683"/>
      <c r="Q177" s="683"/>
      <c r="R177" s="683"/>
      <c r="S177" s="683"/>
      <c r="T177" s="501"/>
      <c r="U177" s="501"/>
      <c r="V177" s="501"/>
      <c r="W177" s="501"/>
      <c r="X177" s="501"/>
      <c r="Y177" s="501"/>
      <c r="Z177" s="501"/>
      <c r="AA177" s="501"/>
      <c r="AB177" s="501"/>
      <c r="AC177" s="501"/>
      <c r="AD177" s="501"/>
      <c r="AE177" s="501"/>
      <c r="AF177" s="501"/>
      <c r="AG177" s="501"/>
      <c r="AH177" s="501"/>
      <c r="AI177" s="501"/>
      <c r="AJ177" s="501"/>
      <c r="AK177" s="501"/>
      <c r="AL177" s="501"/>
      <c r="AM177" s="501"/>
      <c r="AN177" s="501"/>
      <c r="AO177" s="501"/>
      <c r="AP177" s="501"/>
      <c r="AQ177" s="501"/>
      <c r="AR177" s="501"/>
      <c r="AS177" s="501"/>
      <c r="AT177" s="501"/>
      <c r="AU177" s="501"/>
      <c r="AV177" s="501"/>
      <c r="AW177" s="501"/>
      <c r="AX177" s="501"/>
      <c r="AY177" s="501"/>
      <c r="AZ177" s="501"/>
      <c r="BA177" s="501"/>
      <c r="BB177" s="501"/>
      <c r="BC177" s="501"/>
      <c r="BD177" s="501"/>
      <c r="BE177" s="501"/>
      <c r="BF177" s="501"/>
      <c r="BG177" s="501"/>
      <c r="BH177" s="501"/>
      <c r="BI177" s="501"/>
      <c r="BJ177" s="501"/>
      <c r="BK177" s="501"/>
      <c r="BL177" s="501"/>
      <c r="BM177" s="501"/>
      <c r="BN177" s="501"/>
      <c r="BO177" s="501"/>
      <c r="BP177" s="501"/>
      <c r="BQ177" s="501"/>
      <c r="BR177" s="501"/>
      <c r="BS177" s="501"/>
      <c r="BT177" s="501"/>
      <c r="BU177" s="501"/>
      <c r="BV177" s="501"/>
      <c r="BW177" s="501"/>
      <c r="BX177" s="501"/>
      <c r="BY177" s="501"/>
      <c r="BZ177" s="501"/>
      <c r="CA177" s="501"/>
      <c r="CB177" s="501"/>
      <c r="CC177" s="501"/>
      <c r="CD177" s="501"/>
      <c r="CE177" s="501"/>
      <c r="CF177" s="501"/>
      <c r="CG177" s="501"/>
      <c r="CH177" s="501"/>
      <c r="CI177" s="501"/>
      <c r="CJ177" s="501"/>
      <c r="CK177" s="501"/>
      <c r="CL177" s="501"/>
      <c r="CM177" s="501"/>
      <c r="CN177" s="501"/>
      <c r="CO177" s="501"/>
      <c r="CP177" s="501"/>
      <c r="CQ177" s="501"/>
      <c r="CR177" s="501"/>
      <c r="CS177" s="501"/>
      <c r="CT177" s="501"/>
    </row>
    <row r="178">
      <c r="A178" s="569"/>
      <c r="B178" s="569"/>
      <c r="C178" s="569"/>
      <c r="D178" s="498"/>
      <c r="E178" s="499"/>
      <c r="F178" s="499"/>
      <c r="G178" s="766"/>
      <c r="H178" s="766"/>
      <c r="I178" s="766"/>
      <c r="J178" s="766"/>
      <c r="K178" s="683"/>
      <c r="L178" s="683"/>
      <c r="M178" s="683"/>
      <c r="N178" s="683"/>
      <c r="O178" s="683"/>
      <c r="P178" s="683"/>
      <c r="Q178" s="683"/>
      <c r="R178" s="683"/>
      <c r="S178" s="683"/>
      <c r="T178" s="501"/>
      <c r="U178" s="501"/>
      <c r="V178" s="501"/>
      <c r="W178" s="501"/>
      <c r="X178" s="501"/>
      <c r="Y178" s="501"/>
      <c r="Z178" s="501"/>
      <c r="AA178" s="501"/>
      <c r="AB178" s="501"/>
      <c r="AC178" s="501"/>
      <c r="AD178" s="501"/>
      <c r="AE178" s="501"/>
      <c r="AF178" s="501"/>
      <c r="AG178" s="501"/>
      <c r="AH178" s="501"/>
      <c r="AI178" s="501"/>
      <c r="AJ178" s="501"/>
      <c r="AK178" s="501"/>
      <c r="AL178" s="501"/>
      <c r="AM178" s="501"/>
      <c r="AN178" s="501"/>
      <c r="AO178" s="501"/>
      <c r="AP178" s="501"/>
      <c r="AQ178" s="501"/>
      <c r="AR178" s="501"/>
      <c r="AS178" s="501"/>
      <c r="AT178" s="501"/>
      <c r="AU178" s="501"/>
      <c r="AV178" s="501"/>
      <c r="AW178" s="501"/>
      <c r="AX178" s="501"/>
      <c r="AY178" s="501"/>
      <c r="AZ178" s="501"/>
      <c r="BA178" s="501"/>
      <c r="BB178" s="501"/>
      <c r="BC178" s="501"/>
      <c r="BD178" s="501"/>
      <c r="BE178" s="501"/>
      <c r="BF178" s="501"/>
      <c r="BG178" s="501"/>
      <c r="BH178" s="501"/>
      <c r="BI178" s="501"/>
      <c r="BJ178" s="501"/>
      <c r="BK178" s="501"/>
      <c r="BL178" s="501"/>
      <c r="BM178" s="501"/>
      <c r="BN178" s="501"/>
      <c r="BO178" s="501"/>
      <c r="BP178" s="501"/>
      <c r="BQ178" s="501"/>
      <c r="BR178" s="501"/>
      <c r="BS178" s="501"/>
      <c r="BT178" s="501"/>
      <c r="BU178" s="501"/>
      <c r="BV178" s="501"/>
      <c r="BW178" s="501"/>
      <c r="BX178" s="501"/>
      <c r="BY178" s="501"/>
      <c r="BZ178" s="501"/>
      <c r="CA178" s="501"/>
      <c r="CB178" s="501"/>
      <c r="CC178" s="501"/>
      <c r="CD178" s="501"/>
      <c r="CE178" s="501"/>
      <c r="CF178" s="501"/>
      <c r="CG178" s="501"/>
      <c r="CH178" s="501"/>
      <c r="CI178" s="501"/>
      <c r="CJ178" s="501"/>
      <c r="CK178" s="501"/>
      <c r="CL178" s="501"/>
      <c r="CM178" s="501"/>
      <c r="CN178" s="501"/>
      <c r="CO178" s="501"/>
      <c r="CP178" s="501"/>
      <c r="CQ178" s="501"/>
      <c r="CR178" s="501"/>
      <c r="CS178" s="501"/>
      <c r="CT178" s="501"/>
    </row>
    <row r="179">
      <c r="A179" s="569"/>
      <c r="B179" s="569"/>
      <c r="C179" s="569"/>
      <c r="D179" s="498"/>
      <c r="E179" s="499"/>
      <c r="F179" s="499"/>
      <c r="G179" s="766"/>
      <c r="H179" s="766"/>
      <c r="I179" s="766"/>
      <c r="J179" s="766"/>
      <c r="K179" s="683"/>
      <c r="L179" s="683"/>
      <c r="M179" s="683"/>
      <c r="N179" s="683"/>
      <c r="O179" s="683"/>
      <c r="P179" s="683"/>
      <c r="Q179" s="683"/>
      <c r="R179" s="683"/>
      <c r="S179" s="683"/>
      <c r="T179" s="501"/>
      <c r="U179" s="501"/>
      <c r="V179" s="501"/>
      <c r="W179" s="501"/>
      <c r="X179" s="501"/>
      <c r="Y179" s="501"/>
      <c r="Z179" s="501"/>
      <c r="AA179" s="501"/>
      <c r="AB179" s="501"/>
      <c r="AC179" s="501"/>
      <c r="AD179" s="501"/>
      <c r="AE179" s="501"/>
      <c r="AF179" s="501"/>
      <c r="AG179" s="501"/>
      <c r="AH179" s="501"/>
      <c r="AI179" s="501"/>
      <c r="AJ179" s="501"/>
      <c r="AK179" s="501"/>
      <c r="AL179" s="501"/>
      <c r="AM179" s="501"/>
      <c r="AN179" s="501"/>
      <c r="AO179" s="501"/>
      <c r="AP179" s="501"/>
      <c r="AQ179" s="501"/>
      <c r="AR179" s="501"/>
      <c r="AS179" s="501"/>
      <c r="AT179" s="501"/>
      <c r="AU179" s="501"/>
      <c r="AV179" s="501"/>
      <c r="AW179" s="501"/>
      <c r="AX179" s="501"/>
      <c r="AY179" s="501"/>
      <c r="AZ179" s="501"/>
      <c r="BA179" s="501"/>
      <c r="BB179" s="501"/>
      <c r="BC179" s="501"/>
      <c r="BD179" s="501"/>
      <c r="BE179" s="501"/>
      <c r="BF179" s="501"/>
      <c r="BG179" s="501"/>
      <c r="BH179" s="501"/>
      <c r="BI179" s="501"/>
      <c r="BJ179" s="501"/>
      <c r="BK179" s="501"/>
      <c r="BL179" s="501"/>
      <c r="BM179" s="501"/>
      <c r="BN179" s="501"/>
      <c r="BO179" s="501"/>
      <c r="BP179" s="501"/>
      <c r="BQ179" s="501"/>
      <c r="BR179" s="501"/>
      <c r="BS179" s="501"/>
      <c r="BT179" s="501"/>
      <c r="BU179" s="501"/>
      <c r="BV179" s="501"/>
      <c r="BW179" s="501"/>
      <c r="BX179" s="501"/>
      <c r="BY179" s="501"/>
      <c r="BZ179" s="501"/>
      <c r="CA179" s="501"/>
      <c r="CB179" s="501"/>
      <c r="CC179" s="501"/>
      <c r="CD179" s="501"/>
      <c r="CE179" s="501"/>
      <c r="CF179" s="501"/>
      <c r="CG179" s="501"/>
      <c r="CH179" s="501"/>
      <c r="CI179" s="501"/>
      <c r="CJ179" s="501"/>
      <c r="CK179" s="501"/>
      <c r="CL179" s="501"/>
      <c r="CM179" s="501"/>
      <c r="CN179" s="501"/>
      <c r="CO179" s="501"/>
      <c r="CP179" s="501"/>
      <c r="CQ179" s="501"/>
      <c r="CR179" s="501"/>
      <c r="CS179" s="501"/>
      <c r="CT179" s="501"/>
    </row>
    <row r="180">
      <c r="A180" s="569"/>
      <c r="B180" s="569"/>
      <c r="C180" s="569"/>
      <c r="D180" s="498"/>
      <c r="E180" s="499"/>
      <c r="F180" s="499"/>
      <c r="G180" s="766"/>
      <c r="H180" s="766"/>
      <c r="I180" s="766"/>
      <c r="J180" s="766"/>
      <c r="K180" s="683"/>
      <c r="L180" s="683"/>
      <c r="M180" s="683"/>
      <c r="N180" s="683"/>
      <c r="O180" s="683"/>
      <c r="P180" s="683"/>
      <c r="Q180" s="683"/>
      <c r="R180" s="683"/>
      <c r="S180" s="683"/>
      <c r="T180" s="501"/>
      <c r="U180" s="501"/>
      <c r="V180" s="501"/>
      <c r="W180" s="501"/>
      <c r="X180" s="501"/>
      <c r="Y180" s="501"/>
      <c r="Z180" s="501"/>
      <c r="AA180" s="501"/>
      <c r="AB180" s="501"/>
      <c r="AC180" s="501"/>
      <c r="AD180" s="501"/>
      <c r="AE180" s="501"/>
      <c r="AF180" s="501"/>
      <c r="AG180" s="501"/>
      <c r="AH180" s="501"/>
      <c r="AI180" s="501"/>
      <c r="AJ180" s="501"/>
      <c r="AK180" s="501"/>
      <c r="AL180" s="501"/>
      <c r="AM180" s="501"/>
      <c r="AN180" s="501"/>
      <c r="AO180" s="501"/>
      <c r="AP180" s="501"/>
      <c r="AQ180" s="501"/>
      <c r="AR180" s="501"/>
      <c r="AS180" s="501"/>
      <c r="AT180" s="501"/>
      <c r="AU180" s="501"/>
      <c r="AV180" s="501"/>
      <c r="AW180" s="501"/>
      <c r="AX180" s="501"/>
      <c r="AY180" s="501"/>
      <c r="AZ180" s="501"/>
      <c r="BA180" s="501"/>
      <c r="BB180" s="501"/>
      <c r="BC180" s="501"/>
      <c r="BD180" s="501"/>
      <c r="BE180" s="501"/>
      <c r="BF180" s="501"/>
      <c r="BG180" s="501"/>
      <c r="BH180" s="501"/>
      <c r="BI180" s="501"/>
      <c r="BJ180" s="501"/>
      <c r="BK180" s="501"/>
      <c r="BL180" s="501"/>
      <c r="BM180" s="501"/>
      <c r="BN180" s="501"/>
      <c r="BO180" s="501"/>
      <c r="BP180" s="501"/>
      <c r="BQ180" s="501"/>
      <c r="BR180" s="501"/>
      <c r="BS180" s="501"/>
      <c r="BT180" s="501"/>
      <c r="BU180" s="501"/>
      <c r="BV180" s="501"/>
      <c r="BW180" s="501"/>
      <c r="BX180" s="501"/>
      <c r="BY180" s="501"/>
      <c r="BZ180" s="501"/>
      <c r="CA180" s="501"/>
      <c r="CB180" s="501"/>
      <c r="CC180" s="501"/>
      <c r="CD180" s="501"/>
      <c r="CE180" s="501"/>
      <c r="CF180" s="501"/>
      <c r="CG180" s="501"/>
      <c r="CH180" s="501"/>
      <c r="CI180" s="501"/>
      <c r="CJ180" s="501"/>
      <c r="CK180" s="501"/>
      <c r="CL180" s="501"/>
      <c r="CM180" s="501"/>
      <c r="CN180" s="501"/>
      <c r="CO180" s="501"/>
      <c r="CP180" s="501"/>
      <c r="CQ180" s="501"/>
      <c r="CR180" s="501"/>
      <c r="CS180" s="501"/>
      <c r="CT180" s="501"/>
    </row>
    <row r="181">
      <c r="A181" s="569"/>
      <c r="B181" s="569"/>
      <c r="C181" s="569"/>
      <c r="D181" s="498"/>
      <c r="E181" s="499"/>
      <c r="F181" s="499"/>
      <c r="G181" s="766"/>
      <c r="H181" s="766"/>
      <c r="I181" s="766"/>
      <c r="J181" s="766"/>
      <c r="K181" s="683"/>
      <c r="L181" s="683"/>
      <c r="M181" s="683"/>
      <c r="N181" s="683"/>
      <c r="O181" s="683"/>
      <c r="P181" s="683"/>
      <c r="Q181" s="683"/>
      <c r="R181" s="683"/>
      <c r="S181" s="683"/>
      <c r="T181" s="501"/>
      <c r="U181" s="501"/>
      <c r="V181" s="501"/>
      <c r="W181" s="501"/>
      <c r="X181" s="501"/>
      <c r="Y181" s="501"/>
      <c r="Z181" s="501"/>
      <c r="AA181" s="501"/>
      <c r="AB181" s="501"/>
      <c r="AC181" s="501"/>
      <c r="AD181" s="501"/>
      <c r="AE181" s="501"/>
      <c r="AF181" s="501"/>
      <c r="AG181" s="501"/>
      <c r="AH181" s="501"/>
      <c r="AI181" s="501"/>
      <c r="AJ181" s="501"/>
      <c r="AK181" s="501"/>
      <c r="AL181" s="501"/>
      <c r="AM181" s="501"/>
      <c r="AN181" s="501"/>
      <c r="AO181" s="501"/>
      <c r="AP181" s="501"/>
      <c r="AQ181" s="501"/>
      <c r="AR181" s="501"/>
      <c r="AS181" s="501"/>
      <c r="AT181" s="501"/>
      <c r="AU181" s="501"/>
      <c r="AV181" s="501"/>
      <c r="AW181" s="501"/>
      <c r="AX181" s="501"/>
      <c r="AY181" s="501"/>
      <c r="AZ181" s="501"/>
      <c r="BA181" s="501"/>
      <c r="BB181" s="501"/>
      <c r="BC181" s="501"/>
      <c r="BD181" s="501"/>
      <c r="BE181" s="501"/>
      <c r="BF181" s="501"/>
      <c r="BG181" s="501"/>
      <c r="BH181" s="501"/>
      <c r="BI181" s="501"/>
      <c r="BJ181" s="501"/>
      <c r="BK181" s="501"/>
      <c r="BL181" s="501"/>
      <c r="BM181" s="501"/>
      <c r="BN181" s="501"/>
      <c r="BO181" s="501"/>
      <c r="BP181" s="501"/>
      <c r="BQ181" s="501"/>
      <c r="BR181" s="501"/>
      <c r="BS181" s="501"/>
      <c r="BT181" s="501"/>
      <c r="BU181" s="501"/>
      <c r="BV181" s="501"/>
      <c r="BW181" s="501"/>
      <c r="BX181" s="501"/>
      <c r="BY181" s="501"/>
      <c r="BZ181" s="501"/>
      <c r="CA181" s="501"/>
      <c r="CB181" s="501"/>
      <c r="CC181" s="501"/>
      <c r="CD181" s="501"/>
      <c r="CE181" s="501"/>
      <c r="CF181" s="501"/>
      <c r="CG181" s="501"/>
      <c r="CH181" s="501"/>
      <c r="CI181" s="501"/>
      <c r="CJ181" s="501"/>
      <c r="CK181" s="501"/>
      <c r="CL181" s="501"/>
      <c r="CM181" s="501"/>
      <c r="CN181" s="501"/>
      <c r="CO181" s="501"/>
      <c r="CP181" s="501"/>
      <c r="CQ181" s="501"/>
      <c r="CR181" s="501"/>
      <c r="CS181" s="501"/>
      <c r="CT181" s="501"/>
    </row>
    <row r="182">
      <c r="A182" s="569"/>
      <c r="B182" s="569"/>
      <c r="C182" s="569"/>
      <c r="D182" s="498"/>
      <c r="E182" s="499"/>
      <c r="F182" s="499"/>
      <c r="G182" s="766"/>
      <c r="H182" s="766"/>
      <c r="I182" s="766"/>
      <c r="J182" s="766"/>
      <c r="K182" s="683"/>
      <c r="L182" s="683"/>
      <c r="M182" s="683"/>
      <c r="N182" s="683"/>
      <c r="O182" s="683"/>
      <c r="P182" s="683"/>
      <c r="Q182" s="683"/>
      <c r="R182" s="683"/>
      <c r="S182" s="683"/>
      <c r="T182" s="501"/>
      <c r="U182" s="501"/>
      <c r="V182" s="501"/>
      <c r="W182" s="501"/>
      <c r="X182" s="501"/>
      <c r="Y182" s="501"/>
      <c r="Z182" s="501"/>
      <c r="AA182" s="501"/>
      <c r="AB182" s="501"/>
      <c r="AC182" s="501"/>
      <c r="AD182" s="501"/>
      <c r="AE182" s="501"/>
      <c r="AF182" s="501"/>
      <c r="AG182" s="501"/>
      <c r="AH182" s="501"/>
      <c r="AI182" s="501"/>
      <c r="AJ182" s="501"/>
      <c r="AK182" s="501"/>
      <c r="AL182" s="501"/>
      <c r="AM182" s="501"/>
      <c r="AN182" s="501"/>
      <c r="AO182" s="501"/>
      <c r="AP182" s="501"/>
      <c r="AQ182" s="501"/>
      <c r="AR182" s="501"/>
      <c r="AS182" s="501"/>
      <c r="AT182" s="501"/>
      <c r="AU182" s="501"/>
      <c r="AV182" s="501"/>
      <c r="AW182" s="501"/>
      <c r="AX182" s="501"/>
      <c r="AY182" s="501"/>
      <c r="AZ182" s="501"/>
      <c r="BA182" s="501"/>
      <c r="BB182" s="501"/>
      <c r="BC182" s="501"/>
      <c r="BD182" s="501"/>
      <c r="BE182" s="501"/>
      <c r="BF182" s="501"/>
      <c r="BG182" s="501"/>
      <c r="BH182" s="501"/>
      <c r="BI182" s="501"/>
      <c r="BJ182" s="501"/>
      <c r="BK182" s="501"/>
      <c r="BL182" s="501"/>
      <c r="BM182" s="501"/>
      <c r="BN182" s="501"/>
      <c r="BO182" s="501"/>
      <c r="BP182" s="501"/>
      <c r="BQ182" s="501"/>
      <c r="BR182" s="501"/>
      <c r="BS182" s="501"/>
      <c r="BT182" s="501"/>
      <c r="BU182" s="501"/>
      <c r="BV182" s="501"/>
      <c r="BW182" s="501"/>
      <c r="BX182" s="501"/>
      <c r="BY182" s="501"/>
      <c r="BZ182" s="501"/>
      <c r="CA182" s="501"/>
      <c r="CB182" s="501"/>
      <c r="CC182" s="501"/>
      <c r="CD182" s="501"/>
      <c r="CE182" s="501"/>
      <c r="CF182" s="501"/>
      <c r="CG182" s="501"/>
      <c r="CH182" s="501"/>
      <c r="CI182" s="501"/>
      <c r="CJ182" s="501"/>
      <c r="CK182" s="501"/>
      <c r="CL182" s="501"/>
      <c r="CM182" s="501"/>
      <c r="CN182" s="501"/>
      <c r="CO182" s="501"/>
      <c r="CP182" s="501"/>
      <c r="CQ182" s="501"/>
      <c r="CR182" s="501"/>
      <c r="CS182" s="501"/>
      <c r="CT182" s="501"/>
    </row>
    <row r="183">
      <c r="A183" s="569"/>
      <c r="B183" s="569"/>
      <c r="C183" s="569"/>
      <c r="D183" s="498"/>
      <c r="E183" s="499"/>
      <c r="F183" s="499"/>
      <c r="G183" s="766"/>
      <c r="H183" s="766"/>
      <c r="I183" s="766"/>
      <c r="J183" s="766"/>
      <c r="K183" s="683"/>
      <c r="L183" s="683"/>
      <c r="M183" s="683"/>
      <c r="N183" s="683"/>
      <c r="O183" s="683"/>
      <c r="P183" s="683"/>
      <c r="Q183" s="683"/>
      <c r="R183" s="683"/>
      <c r="S183" s="683"/>
      <c r="T183" s="501"/>
      <c r="U183" s="501"/>
      <c r="V183" s="501"/>
      <c r="W183" s="501"/>
      <c r="X183" s="501"/>
      <c r="Y183" s="501"/>
      <c r="Z183" s="501"/>
      <c r="AA183" s="501"/>
      <c r="AB183" s="501"/>
      <c r="AC183" s="501"/>
      <c r="AD183" s="501"/>
      <c r="AE183" s="501"/>
      <c r="AF183" s="501"/>
      <c r="AG183" s="501"/>
      <c r="AH183" s="501"/>
      <c r="AI183" s="501"/>
      <c r="AJ183" s="501"/>
      <c r="AK183" s="501"/>
      <c r="AL183" s="501"/>
      <c r="AM183" s="501"/>
      <c r="AN183" s="501"/>
      <c r="AO183" s="501"/>
      <c r="AP183" s="501"/>
      <c r="AQ183" s="501"/>
      <c r="AR183" s="501"/>
      <c r="AS183" s="501"/>
      <c r="AT183" s="501"/>
      <c r="AU183" s="501"/>
      <c r="AV183" s="501"/>
      <c r="AW183" s="501"/>
      <c r="AX183" s="501"/>
      <c r="AY183" s="501"/>
      <c r="AZ183" s="501"/>
      <c r="BA183" s="501"/>
      <c r="BB183" s="501"/>
      <c r="BC183" s="501"/>
      <c r="BD183" s="501"/>
      <c r="BE183" s="501"/>
      <c r="BF183" s="501"/>
      <c r="BG183" s="501"/>
      <c r="BH183" s="501"/>
      <c r="BI183" s="501"/>
      <c r="BJ183" s="501"/>
      <c r="BK183" s="501"/>
      <c r="BL183" s="501"/>
      <c r="BM183" s="501"/>
      <c r="BN183" s="501"/>
      <c r="BO183" s="501"/>
      <c r="BP183" s="501"/>
      <c r="BQ183" s="501"/>
      <c r="BR183" s="501"/>
      <c r="BS183" s="501"/>
      <c r="BT183" s="501"/>
      <c r="BU183" s="501"/>
      <c r="BV183" s="501"/>
      <c r="BW183" s="501"/>
      <c r="BX183" s="501"/>
      <c r="BY183" s="501"/>
      <c r="BZ183" s="501"/>
      <c r="CA183" s="501"/>
      <c r="CB183" s="501"/>
      <c r="CC183" s="501"/>
      <c r="CD183" s="501"/>
      <c r="CE183" s="501"/>
      <c r="CF183" s="501"/>
      <c r="CG183" s="501"/>
      <c r="CH183" s="501"/>
      <c r="CI183" s="501"/>
      <c r="CJ183" s="501"/>
      <c r="CK183" s="501"/>
      <c r="CL183" s="501"/>
      <c r="CM183" s="501"/>
      <c r="CN183" s="501"/>
      <c r="CO183" s="501"/>
      <c r="CP183" s="501"/>
      <c r="CQ183" s="501"/>
      <c r="CR183" s="501"/>
      <c r="CS183" s="501"/>
      <c r="CT183" s="501"/>
    </row>
    <row r="184">
      <c r="A184" s="569"/>
      <c r="B184" s="569"/>
      <c r="C184" s="569"/>
      <c r="D184" s="498"/>
      <c r="E184" s="499"/>
      <c r="F184" s="499"/>
      <c r="G184" s="766"/>
      <c r="H184" s="766"/>
      <c r="I184" s="766"/>
      <c r="J184" s="766"/>
      <c r="K184" s="683"/>
      <c r="L184" s="683"/>
      <c r="M184" s="683"/>
      <c r="N184" s="683"/>
      <c r="O184" s="683"/>
      <c r="P184" s="683"/>
      <c r="Q184" s="683"/>
      <c r="R184" s="683"/>
      <c r="S184" s="683"/>
      <c r="T184" s="501"/>
      <c r="U184" s="501"/>
      <c r="V184" s="501"/>
      <c r="W184" s="501"/>
      <c r="X184" s="501"/>
      <c r="Y184" s="501"/>
      <c r="Z184" s="501"/>
      <c r="AA184" s="501"/>
      <c r="AB184" s="501"/>
      <c r="AC184" s="501"/>
      <c r="AD184" s="501"/>
      <c r="AE184" s="501"/>
      <c r="AF184" s="501"/>
      <c r="AG184" s="501"/>
      <c r="AH184" s="501"/>
      <c r="AI184" s="501"/>
      <c r="AJ184" s="501"/>
      <c r="AK184" s="501"/>
      <c r="AL184" s="501"/>
      <c r="AM184" s="501"/>
      <c r="AN184" s="501"/>
      <c r="AO184" s="501"/>
      <c r="AP184" s="501"/>
      <c r="AQ184" s="501"/>
      <c r="AR184" s="501"/>
      <c r="AS184" s="501"/>
      <c r="AT184" s="501"/>
      <c r="AU184" s="501"/>
      <c r="AV184" s="501"/>
      <c r="AW184" s="501"/>
      <c r="AX184" s="501"/>
      <c r="AY184" s="501"/>
      <c r="AZ184" s="501"/>
      <c r="BA184" s="501"/>
      <c r="BB184" s="501"/>
      <c r="BC184" s="501"/>
      <c r="BD184" s="501"/>
      <c r="BE184" s="501"/>
      <c r="BF184" s="501"/>
      <c r="BG184" s="501"/>
      <c r="BH184" s="501"/>
      <c r="BI184" s="501"/>
      <c r="BJ184" s="501"/>
      <c r="BK184" s="501"/>
      <c r="BL184" s="501"/>
      <c r="BM184" s="501"/>
      <c r="BN184" s="501"/>
      <c r="BO184" s="501"/>
      <c r="BP184" s="501"/>
      <c r="BQ184" s="501"/>
      <c r="BR184" s="501"/>
      <c r="BS184" s="501"/>
      <c r="BT184" s="501"/>
      <c r="BU184" s="501"/>
      <c r="BV184" s="501"/>
      <c r="BW184" s="501"/>
      <c r="BX184" s="501"/>
      <c r="BY184" s="501"/>
      <c r="BZ184" s="501"/>
      <c r="CA184" s="501"/>
      <c r="CB184" s="501"/>
      <c r="CC184" s="501"/>
      <c r="CD184" s="501"/>
      <c r="CE184" s="501"/>
      <c r="CF184" s="501"/>
      <c r="CG184" s="501"/>
      <c r="CH184" s="501"/>
      <c r="CI184" s="501"/>
      <c r="CJ184" s="501"/>
      <c r="CK184" s="501"/>
      <c r="CL184" s="501"/>
      <c r="CM184" s="501"/>
      <c r="CN184" s="501"/>
      <c r="CO184" s="501"/>
      <c r="CP184" s="501"/>
      <c r="CQ184" s="501"/>
      <c r="CR184" s="501"/>
      <c r="CS184" s="501"/>
      <c r="CT184" s="501"/>
    </row>
    <row r="185">
      <c r="A185" s="569"/>
      <c r="B185" s="569"/>
      <c r="C185" s="569"/>
      <c r="D185" s="498"/>
      <c r="E185" s="499"/>
      <c r="F185" s="499"/>
      <c r="G185" s="766"/>
      <c r="H185" s="766"/>
      <c r="I185" s="766"/>
      <c r="J185" s="766"/>
      <c r="K185" s="683"/>
      <c r="L185" s="683"/>
      <c r="M185" s="683"/>
      <c r="N185" s="683"/>
      <c r="O185" s="683"/>
      <c r="P185" s="683"/>
      <c r="Q185" s="683"/>
      <c r="R185" s="683"/>
      <c r="S185" s="683"/>
      <c r="T185" s="501"/>
      <c r="U185" s="501"/>
      <c r="V185" s="501"/>
      <c r="W185" s="501"/>
      <c r="X185" s="501"/>
      <c r="Y185" s="501"/>
      <c r="Z185" s="501"/>
      <c r="AA185" s="501"/>
      <c r="AB185" s="501"/>
      <c r="AC185" s="501"/>
      <c r="AD185" s="501"/>
      <c r="AE185" s="501"/>
      <c r="AF185" s="501"/>
      <c r="AG185" s="501"/>
      <c r="AH185" s="501"/>
      <c r="AI185" s="501"/>
      <c r="AJ185" s="501"/>
      <c r="AK185" s="501"/>
      <c r="AL185" s="501"/>
      <c r="AM185" s="501"/>
      <c r="AN185" s="501"/>
      <c r="AO185" s="501"/>
      <c r="AP185" s="501"/>
      <c r="AQ185" s="501"/>
      <c r="AR185" s="501"/>
      <c r="AS185" s="501"/>
      <c r="AT185" s="501"/>
      <c r="AU185" s="501"/>
      <c r="AV185" s="501"/>
      <c r="AW185" s="501"/>
      <c r="AX185" s="501"/>
      <c r="AY185" s="501"/>
      <c r="AZ185" s="501"/>
      <c r="BA185" s="501"/>
      <c r="BB185" s="501"/>
      <c r="BC185" s="501"/>
      <c r="BD185" s="501"/>
      <c r="BE185" s="501"/>
      <c r="BF185" s="501"/>
      <c r="BG185" s="501"/>
      <c r="BH185" s="501"/>
      <c r="BI185" s="501"/>
      <c r="BJ185" s="501"/>
      <c r="BK185" s="501"/>
      <c r="BL185" s="501"/>
      <c r="BM185" s="501"/>
      <c r="BN185" s="501"/>
      <c r="BO185" s="501"/>
      <c r="BP185" s="501"/>
      <c r="BQ185" s="501"/>
      <c r="BR185" s="501"/>
      <c r="BS185" s="501"/>
      <c r="BT185" s="501"/>
      <c r="BU185" s="501"/>
      <c r="BV185" s="501"/>
      <c r="BW185" s="501"/>
      <c r="BX185" s="501"/>
      <c r="BY185" s="501"/>
      <c r="BZ185" s="501"/>
      <c r="CA185" s="501"/>
      <c r="CB185" s="501"/>
      <c r="CC185" s="501"/>
      <c r="CD185" s="501"/>
      <c r="CE185" s="501"/>
      <c r="CF185" s="501"/>
      <c r="CG185" s="501"/>
      <c r="CH185" s="501"/>
      <c r="CI185" s="501"/>
      <c r="CJ185" s="501"/>
      <c r="CK185" s="501"/>
      <c r="CL185" s="501"/>
      <c r="CM185" s="501"/>
      <c r="CN185" s="501"/>
      <c r="CO185" s="501"/>
      <c r="CP185" s="501"/>
      <c r="CQ185" s="501"/>
      <c r="CR185" s="501"/>
      <c r="CS185" s="501"/>
      <c r="CT185" s="501"/>
    </row>
    <row r="186">
      <c r="A186" s="569"/>
      <c r="B186" s="569"/>
      <c r="C186" s="569"/>
      <c r="D186" s="498"/>
      <c r="E186" s="499"/>
      <c r="F186" s="499"/>
      <c r="G186" s="766"/>
      <c r="H186" s="766"/>
      <c r="I186" s="766"/>
      <c r="J186" s="766"/>
      <c r="K186" s="683"/>
      <c r="L186" s="683"/>
      <c r="M186" s="683"/>
      <c r="N186" s="683"/>
      <c r="O186" s="683"/>
      <c r="P186" s="683"/>
      <c r="Q186" s="683"/>
      <c r="R186" s="683"/>
      <c r="S186" s="683"/>
      <c r="T186" s="501"/>
      <c r="U186" s="501"/>
      <c r="V186" s="501"/>
      <c r="W186" s="501"/>
      <c r="X186" s="501"/>
      <c r="Y186" s="501"/>
      <c r="Z186" s="501"/>
      <c r="AA186" s="501"/>
      <c r="AB186" s="501"/>
      <c r="AC186" s="501"/>
      <c r="AD186" s="501"/>
      <c r="AE186" s="501"/>
      <c r="AF186" s="501"/>
      <c r="AG186" s="501"/>
      <c r="AH186" s="501"/>
      <c r="AI186" s="501"/>
      <c r="AJ186" s="501"/>
      <c r="AK186" s="501"/>
      <c r="AL186" s="501"/>
      <c r="AM186" s="501"/>
      <c r="AN186" s="501"/>
      <c r="AO186" s="501"/>
      <c r="AP186" s="501"/>
      <c r="AQ186" s="501"/>
      <c r="AR186" s="501"/>
      <c r="AS186" s="501"/>
      <c r="AT186" s="501"/>
      <c r="AU186" s="501"/>
      <c r="AV186" s="501"/>
      <c r="AW186" s="501"/>
      <c r="AX186" s="501"/>
      <c r="AY186" s="501"/>
      <c r="AZ186" s="501"/>
      <c r="BA186" s="501"/>
      <c r="BB186" s="501"/>
      <c r="BC186" s="501"/>
      <c r="BD186" s="501"/>
      <c r="BE186" s="501"/>
      <c r="BF186" s="501"/>
      <c r="BG186" s="501"/>
      <c r="BH186" s="501"/>
      <c r="BI186" s="501"/>
      <c r="BJ186" s="501"/>
      <c r="BK186" s="501"/>
      <c r="BL186" s="501"/>
      <c r="BM186" s="501"/>
      <c r="BN186" s="501"/>
      <c r="BO186" s="501"/>
      <c r="BP186" s="501"/>
      <c r="BQ186" s="501"/>
      <c r="BR186" s="501"/>
      <c r="BS186" s="501"/>
      <c r="BT186" s="501"/>
      <c r="BU186" s="501"/>
      <c r="BV186" s="501"/>
      <c r="BW186" s="501"/>
      <c r="BX186" s="501"/>
      <c r="BY186" s="501"/>
      <c r="BZ186" s="501"/>
      <c r="CA186" s="501"/>
      <c r="CB186" s="501"/>
      <c r="CC186" s="501"/>
      <c r="CD186" s="501"/>
      <c r="CE186" s="501"/>
      <c r="CF186" s="501"/>
      <c r="CG186" s="501"/>
      <c r="CH186" s="501"/>
      <c r="CI186" s="501"/>
      <c r="CJ186" s="501"/>
      <c r="CK186" s="501"/>
      <c r="CL186" s="501"/>
      <c r="CM186" s="501"/>
      <c r="CN186" s="501"/>
      <c r="CO186" s="501"/>
      <c r="CP186" s="501"/>
      <c r="CQ186" s="501"/>
      <c r="CR186" s="501"/>
      <c r="CS186" s="501"/>
      <c r="CT186" s="501"/>
    </row>
    <row r="187">
      <c r="A187" s="569"/>
      <c r="B187" s="569"/>
      <c r="C187" s="569"/>
      <c r="D187" s="498"/>
      <c r="E187" s="499"/>
      <c r="F187" s="499"/>
      <c r="G187" s="766"/>
      <c r="H187" s="766"/>
      <c r="I187" s="766"/>
      <c r="J187" s="766"/>
      <c r="K187" s="683"/>
      <c r="L187" s="683"/>
      <c r="M187" s="683"/>
      <c r="N187" s="683"/>
      <c r="O187" s="683"/>
      <c r="P187" s="683"/>
      <c r="Q187" s="683"/>
      <c r="R187" s="683"/>
      <c r="S187" s="683"/>
      <c r="T187" s="501"/>
      <c r="U187" s="501"/>
      <c r="V187" s="501"/>
      <c r="W187" s="501"/>
      <c r="X187" s="501"/>
      <c r="Y187" s="501"/>
      <c r="Z187" s="501"/>
      <c r="AA187" s="501"/>
      <c r="AB187" s="501"/>
      <c r="AC187" s="501"/>
      <c r="AD187" s="501"/>
      <c r="AE187" s="501"/>
      <c r="AF187" s="501"/>
      <c r="AG187" s="501"/>
      <c r="AH187" s="501"/>
      <c r="AI187" s="501"/>
      <c r="AJ187" s="501"/>
      <c r="AK187" s="501"/>
      <c r="AL187" s="501"/>
      <c r="AM187" s="501"/>
      <c r="AN187" s="501"/>
      <c r="AO187" s="501"/>
      <c r="AP187" s="501"/>
      <c r="AQ187" s="501"/>
      <c r="AR187" s="501"/>
      <c r="AS187" s="501"/>
      <c r="AT187" s="501"/>
      <c r="AU187" s="501"/>
      <c r="AV187" s="501"/>
      <c r="AW187" s="501"/>
      <c r="AX187" s="501"/>
      <c r="AY187" s="501"/>
      <c r="AZ187" s="501"/>
      <c r="BA187" s="501"/>
      <c r="BB187" s="501"/>
      <c r="BC187" s="501"/>
      <c r="BD187" s="501"/>
      <c r="BE187" s="501"/>
      <c r="BF187" s="501"/>
      <c r="BG187" s="501"/>
      <c r="BH187" s="501"/>
      <c r="BI187" s="501"/>
      <c r="BJ187" s="501"/>
      <c r="BK187" s="501"/>
      <c r="BL187" s="501"/>
      <c r="BM187" s="501"/>
      <c r="BN187" s="501"/>
      <c r="BO187" s="501"/>
      <c r="BP187" s="501"/>
      <c r="BQ187" s="501"/>
      <c r="BR187" s="501"/>
      <c r="BS187" s="501"/>
      <c r="BT187" s="501"/>
      <c r="BU187" s="501"/>
      <c r="BV187" s="501"/>
      <c r="BW187" s="501"/>
      <c r="BX187" s="501"/>
      <c r="BY187" s="501"/>
      <c r="BZ187" s="501"/>
      <c r="CA187" s="501"/>
      <c r="CB187" s="501"/>
      <c r="CC187" s="501"/>
      <c r="CD187" s="501"/>
      <c r="CE187" s="501"/>
      <c r="CF187" s="501"/>
      <c r="CG187" s="501"/>
      <c r="CH187" s="501"/>
      <c r="CI187" s="501"/>
      <c r="CJ187" s="501"/>
      <c r="CK187" s="501"/>
      <c r="CL187" s="501"/>
      <c r="CM187" s="501"/>
      <c r="CN187" s="501"/>
      <c r="CO187" s="501"/>
      <c r="CP187" s="501"/>
      <c r="CQ187" s="501"/>
      <c r="CR187" s="501"/>
      <c r="CS187" s="501"/>
      <c r="CT187" s="501"/>
    </row>
    <row r="188">
      <c r="A188" s="569"/>
      <c r="B188" s="569"/>
      <c r="C188" s="569"/>
      <c r="D188" s="498"/>
      <c r="E188" s="499"/>
      <c r="F188" s="499"/>
      <c r="G188" s="766"/>
      <c r="H188" s="766"/>
      <c r="I188" s="766"/>
      <c r="J188" s="766"/>
      <c r="K188" s="683"/>
      <c r="L188" s="683"/>
      <c r="M188" s="683"/>
      <c r="N188" s="683"/>
      <c r="O188" s="683"/>
      <c r="P188" s="683"/>
      <c r="Q188" s="683"/>
      <c r="R188" s="683"/>
      <c r="S188" s="683"/>
      <c r="T188" s="501"/>
      <c r="U188" s="501"/>
      <c r="V188" s="501"/>
      <c r="W188" s="501"/>
      <c r="X188" s="501"/>
      <c r="Y188" s="501"/>
      <c r="Z188" s="501"/>
      <c r="AA188" s="501"/>
      <c r="AB188" s="501"/>
      <c r="AC188" s="501"/>
      <c r="AD188" s="501"/>
      <c r="AE188" s="501"/>
      <c r="AF188" s="501"/>
      <c r="AG188" s="501"/>
      <c r="AH188" s="501"/>
      <c r="AI188" s="501"/>
      <c r="AJ188" s="501"/>
      <c r="AK188" s="501"/>
      <c r="AL188" s="501"/>
      <c r="AM188" s="501"/>
      <c r="AN188" s="501"/>
      <c r="AO188" s="501"/>
      <c r="AP188" s="501"/>
      <c r="AQ188" s="501"/>
      <c r="AR188" s="501"/>
      <c r="AS188" s="501"/>
      <c r="AT188" s="501"/>
      <c r="AU188" s="501"/>
      <c r="AV188" s="501"/>
      <c r="AW188" s="501"/>
      <c r="AX188" s="501"/>
      <c r="AY188" s="501"/>
      <c r="AZ188" s="501"/>
      <c r="BA188" s="501"/>
      <c r="BB188" s="501"/>
      <c r="BC188" s="501"/>
      <c r="BD188" s="501"/>
      <c r="BE188" s="501"/>
      <c r="BF188" s="501"/>
      <c r="BG188" s="501"/>
      <c r="BH188" s="501"/>
      <c r="BI188" s="501"/>
      <c r="BJ188" s="501"/>
      <c r="BK188" s="501"/>
      <c r="BL188" s="501"/>
      <c r="BM188" s="501"/>
      <c r="BN188" s="501"/>
      <c r="BO188" s="501"/>
      <c r="BP188" s="501"/>
      <c r="BQ188" s="501"/>
      <c r="BR188" s="501"/>
      <c r="BS188" s="501"/>
      <c r="BT188" s="501"/>
      <c r="BU188" s="501"/>
      <c r="BV188" s="501"/>
      <c r="BW188" s="501"/>
      <c r="BX188" s="501"/>
      <c r="BY188" s="501"/>
      <c r="BZ188" s="501"/>
      <c r="CA188" s="501"/>
      <c r="CB188" s="501"/>
      <c r="CC188" s="501"/>
      <c r="CD188" s="501"/>
      <c r="CE188" s="501"/>
      <c r="CF188" s="501"/>
      <c r="CG188" s="501"/>
      <c r="CH188" s="501"/>
      <c r="CI188" s="501"/>
      <c r="CJ188" s="501"/>
      <c r="CK188" s="501"/>
      <c r="CL188" s="501"/>
      <c r="CM188" s="501"/>
      <c r="CN188" s="501"/>
      <c r="CO188" s="501"/>
      <c r="CP188" s="501"/>
      <c r="CQ188" s="501"/>
      <c r="CR188" s="501"/>
      <c r="CS188" s="501"/>
      <c r="CT188" s="501"/>
    </row>
    <row r="189">
      <c r="A189" s="569"/>
      <c r="B189" s="569"/>
      <c r="C189" s="569"/>
      <c r="D189" s="498"/>
      <c r="E189" s="499"/>
      <c r="F189" s="499"/>
      <c r="G189" s="766"/>
      <c r="H189" s="766"/>
      <c r="I189" s="766"/>
      <c r="J189" s="766"/>
      <c r="K189" s="683"/>
      <c r="L189" s="683"/>
      <c r="M189" s="683"/>
      <c r="N189" s="683"/>
      <c r="O189" s="683"/>
      <c r="P189" s="683"/>
      <c r="Q189" s="683"/>
      <c r="R189" s="683"/>
      <c r="S189" s="683"/>
      <c r="T189" s="501"/>
      <c r="U189" s="501"/>
      <c r="V189" s="501"/>
      <c r="W189" s="501"/>
      <c r="X189" s="501"/>
      <c r="Y189" s="501"/>
      <c r="Z189" s="501"/>
      <c r="AA189" s="501"/>
      <c r="AB189" s="501"/>
      <c r="AC189" s="501"/>
      <c r="AD189" s="501"/>
      <c r="AE189" s="501"/>
      <c r="AF189" s="501"/>
      <c r="AG189" s="501"/>
      <c r="AH189" s="501"/>
      <c r="AI189" s="501"/>
      <c r="AJ189" s="501"/>
      <c r="AK189" s="501"/>
      <c r="AL189" s="501"/>
      <c r="AM189" s="501"/>
      <c r="AN189" s="501"/>
      <c r="AO189" s="501"/>
      <c r="AP189" s="501"/>
      <c r="AQ189" s="501"/>
      <c r="AR189" s="501"/>
      <c r="AS189" s="501"/>
      <c r="AT189" s="501"/>
      <c r="AU189" s="501"/>
      <c r="AV189" s="501"/>
      <c r="AW189" s="501"/>
      <c r="AX189" s="501"/>
      <c r="AY189" s="501"/>
      <c r="AZ189" s="501"/>
      <c r="BA189" s="501"/>
      <c r="BB189" s="501"/>
      <c r="BC189" s="501"/>
      <c r="BD189" s="501"/>
      <c r="BE189" s="501"/>
      <c r="BF189" s="501"/>
      <c r="BG189" s="501"/>
      <c r="BH189" s="501"/>
      <c r="BI189" s="501"/>
      <c r="BJ189" s="501"/>
      <c r="BK189" s="501"/>
      <c r="BL189" s="501"/>
      <c r="BM189" s="501"/>
      <c r="BN189" s="501"/>
      <c r="BO189" s="501"/>
      <c r="BP189" s="501"/>
      <c r="BQ189" s="501"/>
      <c r="BR189" s="501"/>
      <c r="BS189" s="501"/>
      <c r="BT189" s="501"/>
      <c r="BU189" s="501"/>
      <c r="BV189" s="501"/>
      <c r="BW189" s="501"/>
      <c r="BX189" s="501"/>
      <c r="BY189" s="501"/>
      <c r="BZ189" s="501"/>
      <c r="CA189" s="501"/>
      <c r="CB189" s="501"/>
      <c r="CC189" s="501"/>
      <c r="CD189" s="501"/>
      <c r="CE189" s="501"/>
      <c r="CF189" s="501"/>
      <c r="CG189" s="501"/>
      <c r="CH189" s="501"/>
      <c r="CI189" s="501"/>
      <c r="CJ189" s="501"/>
      <c r="CK189" s="501"/>
      <c r="CL189" s="501"/>
      <c r="CM189" s="501"/>
      <c r="CN189" s="501"/>
      <c r="CO189" s="501"/>
      <c r="CP189" s="501"/>
      <c r="CQ189" s="501"/>
      <c r="CR189" s="501"/>
      <c r="CS189" s="501"/>
      <c r="CT189" s="501"/>
    </row>
    <row r="190">
      <c r="A190" s="569"/>
      <c r="B190" s="569"/>
      <c r="C190" s="569"/>
      <c r="D190" s="498"/>
      <c r="E190" s="499"/>
      <c r="F190" s="499"/>
      <c r="G190" s="766"/>
      <c r="H190" s="766"/>
      <c r="I190" s="766"/>
      <c r="J190" s="766"/>
      <c r="K190" s="683"/>
      <c r="L190" s="683"/>
      <c r="M190" s="683"/>
      <c r="N190" s="683"/>
      <c r="O190" s="683"/>
      <c r="P190" s="683"/>
      <c r="Q190" s="683"/>
      <c r="R190" s="683"/>
      <c r="S190" s="683"/>
      <c r="T190" s="501"/>
      <c r="U190" s="501"/>
      <c r="V190" s="501"/>
      <c r="W190" s="501"/>
      <c r="X190" s="501"/>
      <c r="Y190" s="501"/>
      <c r="Z190" s="501"/>
      <c r="AA190" s="501"/>
      <c r="AB190" s="501"/>
      <c r="AC190" s="501"/>
      <c r="AD190" s="501"/>
      <c r="AE190" s="501"/>
      <c r="AF190" s="501"/>
      <c r="AG190" s="501"/>
      <c r="AH190" s="501"/>
      <c r="AI190" s="501"/>
      <c r="AJ190" s="501"/>
      <c r="AK190" s="501"/>
      <c r="AL190" s="501"/>
      <c r="AM190" s="501"/>
      <c r="AN190" s="501"/>
      <c r="AO190" s="501"/>
      <c r="AP190" s="501"/>
      <c r="AQ190" s="501"/>
      <c r="AR190" s="501"/>
      <c r="AS190" s="501"/>
      <c r="AT190" s="501"/>
      <c r="AU190" s="501"/>
      <c r="AV190" s="501"/>
      <c r="AW190" s="501"/>
      <c r="AX190" s="501"/>
      <c r="AY190" s="501"/>
      <c r="AZ190" s="501"/>
      <c r="BA190" s="501"/>
      <c r="BB190" s="501"/>
      <c r="BC190" s="501"/>
      <c r="BD190" s="501"/>
      <c r="BE190" s="501"/>
      <c r="BF190" s="501"/>
      <c r="BG190" s="501"/>
      <c r="BH190" s="501"/>
      <c r="BI190" s="501"/>
      <c r="BJ190" s="501"/>
      <c r="BK190" s="501"/>
      <c r="BL190" s="501"/>
      <c r="BM190" s="501"/>
      <c r="BN190" s="501"/>
      <c r="BO190" s="501"/>
      <c r="BP190" s="501"/>
      <c r="BQ190" s="501"/>
      <c r="BR190" s="501"/>
      <c r="BS190" s="501"/>
      <c r="BT190" s="501"/>
      <c r="BU190" s="501"/>
      <c r="BV190" s="501"/>
      <c r="BW190" s="501"/>
      <c r="BX190" s="501"/>
      <c r="BY190" s="501"/>
      <c r="BZ190" s="501"/>
      <c r="CA190" s="501"/>
      <c r="CB190" s="501"/>
      <c r="CC190" s="501"/>
      <c r="CD190" s="501"/>
      <c r="CE190" s="501"/>
      <c r="CF190" s="501"/>
      <c r="CG190" s="501"/>
      <c r="CH190" s="501"/>
      <c r="CI190" s="501"/>
      <c r="CJ190" s="501"/>
      <c r="CK190" s="501"/>
      <c r="CL190" s="501"/>
      <c r="CM190" s="501"/>
      <c r="CN190" s="501"/>
      <c r="CO190" s="501"/>
      <c r="CP190" s="501"/>
      <c r="CQ190" s="501"/>
      <c r="CR190" s="501"/>
      <c r="CS190" s="501"/>
      <c r="CT190" s="501"/>
    </row>
    <row r="191">
      <c r="A191" s="569"/>
      <c r="B191" s="569"/>
      <c r="C191" s="569"/>
      <c r="D191" s="498"/>
      <c r="E191" s="499"/>
      <c r="F191" s="499"/>
      <c r="G191" s="766"/>
      <c r="H191" s="766"/>
      <c r="I191" s="766"/>
      <c r="J191" s="766"/>
      <c r="K191" s="683"/>
      <c r="L191" s="683"/>
      <c r="M191" s="683"/>
      <c r="N191" s="683"/>
      <c r="O191" s="683"/>
      <c r="P191" s="683"/>
      <c r="Q191" s="683"/>
      <c r="R191" s="683"/>
      <c r="S191" s="683"/>
      <c r="T191" s="501"/>
      <c r="U191" s="501"/>
      <c r="V191" s="501"/>
      <c r="W191" s="501"/>
      <c r="X191" s="501"/>
      <c r="Y191" s="501"/>
      <c r="Z191" s="501"/>
      <c r="AA191" s="501"/>
      <c r="AB191" s="501"/>
      <c r="AC191" s="501"/>
      <c r="AD191" s="501"/>
      <c r="AE191" s="501"/>
      <c r="AF191" s="501"/>
      <c r="AG191" s="501"/>
      <c r="AH191" s="501"/>
      <c r="AI191" s="501"/>
      <c r="AJ191" s="501"/>
      <c r="AK191" s="501"/>
      <c r="AL191" s="501"/>
      <c r="AM191" s="501"/>
      <c r="AN191" s="501"/>
      <c r="AO191" s="501"/>
      <c r="AP191" s="501"/>
      <c r="AQ191" s="501"/>
      <c r="AR191" s="501"/>
      <c r="AS191" s="501"/>
      <c r="AT191" s="501"/>
      <c r="AU191" s="501"/>
      <c r="AV191" s="501"/>
      <c r="AW191" s="501"/>
      <c r="AX191" s="501"/>
      <c r="AY191" s="501"/>
      <c r="AZ191" s="501"/>
      <c r="BA191" s="501"/>
      <c r="BB191" s="501"/>
      <c r="BC191" s="501"/>
      <c r="BD191" s="501"/>
      <c r="BE191" s="501"/>
      <c r="BF191" s="501"/>
      <c r="BG191" s="501"/>
      <c r="BH191" s="501"/>
      <c r="BI191" s="501"/>
      <c r="BJ191" s="501"/>
      <c r="BK191" s="501"/>
      <c r="BL191" s="501"/>
      <c r="BM191" s="501"/>
      <c r="BN191" s="501"/>
      <c r="BO191" s="501"/>
      <c r="BP191" s="501"/>
      <c r="BQ191" s="501"/>
      <c r="BR191" s="501"/>
      <c r="BS191" s="501"/>
      <c r="BT191" s="501"/>
      <c r="BU191" s="501"/>
      <c r="BV191" s="501"/>
      <c r="BW191" s="501"/>
      <c r="BX191" s="501"/>
      <c r="BY191" s="501"/>
      <c r="BZ191" s="501"/>
      <c r="CA191" s="501"/>
      <c r="CB191" s="501"/>
      <c r="CC191" s="501"/>
      <c r="CD191" s="501"/>
      <c r="CE191" s="501"/>
      <c r="CF191" s="501"/>
      <c r="CG191" s="501"/>
      <c r="CH191" s="501"/>
      <c r="CI191" s="501"/>
      <c r="CJ191" s="501"/>
      <c r="CK191" s="501"/>
      <c r="CL191" s="501"/>
      <c r="CM191" s="501"/>
      <c r="CN191" s="501"/>
      <c r="CO191" s="501"/>
      <c r="CP191" s="501"/>
      <c r="CQ191" s="501"/>
      <c r="CR191" s="501"/>
      <c r="CS191" s="501"/>
      <c r="CT191" s="501"/>
    </row>
    <row r="192">
      <c r="A192" s="569"/>
      <c r="B192" s="569"/>
      <c r="C192" s="569"/>
      <c r="D192" s="498"/>
      <c r="E192" s="499"/>
      <c r="F192" s="499"/>
      <c r="G192" s="766"/>
      <c r="H192" s="766"/>
      <c r="I192" s="766"/>
      <c r="J192" s="766"/>
      <c r="K192" s="683"/>
      <c r="L192" s="683"/>
      <c r="M192" s="683"/>
      <c r="N192" s="683"/>
      <c r="O192" s="683"/>
      <c r="P192" s="683"/>
      <c r="Q192" s="683"/>
      <c r="R192" s="683"/>
      <c r="S192" s="683"/>
      <c r="T192" s="501"/>
      <c r="U192" s="501"/>
      <c r="V192" s="501"/>
      <c r="W192" s="501"/>
      <c r="X192" s="501"/>
      <c r="Y192" s="501"/>
      <c r="Z192" s="501"/>
      <c r="AA192" s="501"/>
      <c r="AB192" s="501"/>
      <c r="AC192" s="501"/>
      <c r="AD192" s="501"/>
      <c r="AE192" s="501"/>
      <c r="AF192" s="501"/>
      <c r="AG192" s="501"/>
      <c r="AH192" s="501"/>
      <c r="AI192" s="501"/>
      <c r="AJ192" s="501"/>
      <c r="AK192" s="501"/>
      <c r="AL192" s="501"/>
      <c r="AM192" s="501"/>
      <c r="AN192" s="501"/>
      <c r="AO192" s="501"/>
      <c r="AP192" s="501"/>
      <c r="AQ192" s="501"/>
      <c r="AR192" s="501"/>
      <c r="AS192" s="501"/>
      <c r="AT192" s="501"/>
      <c r="AU192" s="501"/>
      <c r="AV192" s="501"/>
      <c r="AW192" s="501"/>
      <c r="AX192" s="501"/>
      <c r="AY192" s="501"/>
      <c r="AZ192" s="501"/>
      <c r="BA192" s="501"/>
      <c r="BB192" s="501"/>
      <c r="BC192" s="501"/>
      <c r="BD192" s="501"/>
      <c r="BE192" s="501"/>
      <c r="BF192" s="501"/>
      <c r="BG192" s="501"/>
      <c r="BH192" s="501"/>
      <c r="BI192" s="501"/>
      <c r="BJ192" s="501"/>
      <c r="BK192" s="501"/>
      <c r="BL192" s="501"/>
      <c r="BM192" s="501"/>
      <c r="BN192" s="501"/>
      <c r="BO192" s="501"/>
      <c r="BP192" s="501"/>
      <c r="BQ192" s="501"/>
      <c r="BR192" s="501"/>
      <c r="BS192" s="501"/>
      <c r="BT192" s="501"/>
      <c r="BU192" s="501"/>
      <c r="BV192" s="501"/>
      <c r="BW192" s="501"/>
      <c r="BX192" s="501"/>
      <c r="BY192" s="501"/>
      <c r="BZ192" s="501"/>
      <c r="CA192" s="501"/>
      <c r="CB192" s="501"/>
      <c r="CC192" s="501"/>
      <c r="CD192" s="501"/>
      <c r="CE192" s="501"/>
      <c r="CF192" s="501"/>
      <c r="CG192" s="501"/>
      <c r="CH192" s="501"/>
      <c r="CI192" s="501"/>
      <c r="CJ192" s="501"/>
      <c r="CK192" s="501"/>
      <c r="CL192" s="501"/>
      <c r="CM192" s="501"/>
      <c r="CN192" s="501"/>
      <c r="CO192" s="501"/>
      <c r="CP192" s="501"/>
      <c r="CQ192" s="501"/>
      <c r="CR192" s="501"/>
      <c r="CS192" s="501"/>
      <c r="CT192" s="501"/>
    </row>
    <row r="193">
      <c r="A193" s="569"/>
      <c r="B193" s="569"/>
      <c r="C193" s="569"/>
      <c r="D193" s="498"/>
      <c r="E193" s="499"/>
      <c r="F193" s="499"/>
      <c r="G193" s="766"/>
      <c r="H193" s="766"/>
      <c r="I193" s="766"/>
      <c r="J193" s="766"/>
      <c r="K193" s="683"/>
      <c r="L193" s="683"/>
      <c r="M193" s="683"/>
      <c r="N193" s="683"/>
      <c r="O193" s="683"/>
      <c r="P193" s="683"/>
      <c r="Q193" s="683"/>
      <c r="R193" s="683"/>
      <c r="S193" s="683"/>
      <c r="T193" s="501"/>
      <c r="U193" s="501"/>
      <c r="V193" s="501"/>
      <c r="W193" s="501"/>
      <c r="X193" s="501"/>
      <c r="Y193" s="501"/>
      <c r="Z193" s="501"/>
      <c r="AA193" s="501"/>
      <c r="AB193" s="501"/>
      <c r="AC193" s="501"/>
      <c r="AD193" s="501"/>
      <c r="AE193" s="501"/>
      <c r="AF193" s="501"/>
      <c r="AG193" s="501"/>
      <c r="AH193" s="501"/>
      <c r="AI193" s="501"/>
      <c r="AJ193" s="501"/>
      <c r="AK193" s="501"/>
      <c r="AL193" s="501"/>
      <c r="AM193" s="501"/>
      <c r="AN193" s="501"/>
      <c r="AO193" s="501"/>
      <c r="AP193" s="501"/>
      <c r="AQ193" s="501"/>
      <c r="AR193" s="501"/>
      <c r="AS193" s="501"/>
      <c r="AT193" s="501"/>
      <c r="AU193" s="501"/>
      <c r="AV193" s="501"/>
      <c r="AW193" s="501"/>
      <c r="AX193" s="501"/>
      <c r="AY193" s="501"/>
      <c r="AZ193" s="501"/>
      <c r="BA193" s="501"/>
      <c r="BB193" s="501"/>
      <c r="BC193" s="501"/>
      <c r="BD193" s="501"/>
      <c r="BE193" s="501"/>
      <c r="BF193" s="501"/>
      <c r="BG193" s="501"/>
      <c r="BH193" s="501"/>
      <c r="BI193" s="501"/>
      <c r="BJ193" s="501"/>
      <c r="BK193" s="501"/>
      <c r="BL193" s="501"/>
      <c r="BM193" s="501"/>
      <c r="BN193" s="501"/>
      <c r="BO193" s="501"/>
      <c r="BP193" s="501"/>
      <c r="BQ193" s="501"/>
      <c r="BR193" s="501"/>
      <c r="BS193" s="501"/>
      <c r="BT193" s="501"/>
      <c r="BU193" s="501"/>
      <c r="BV193" s="501"/>
      <c r="BW193" s="501"/>
      <c r="BX193" s="501"/>
      <c r="BY193" s="501"/>
      <c r="BZ193" s="501"/>
      <c r="CA193" s="501"/>
      <c r="CB193" s="501"/>
      <c r="CC193" s="501"/>
      <c r="CD193" s="501"/>
      <c r="CE193" s="501"/>
      <c r="CF193" s="501"/>
      <c r="CG193" s="501"/>
      <c r="CH193" s="501"/>
      <c r="CI193" s="501"/>
      <c r="CJ193" s="501"/>
      <c r="CK193" s="501"/>
      <c r="CL193" s="501"/>
      <c r="CM193" s="501"/>
      <c r="CN193" s="501"/>
      <c r="CO193" s="501"/>
      <c r="CP193" s="501"/>
      <c r="CQ193" s="501"/>
      <c r="CR193" s="501"/>
      <c r="CS193" s="501"/>
      <c r="CT193" s="501"/>
    </row>
    <row r="194">
      <c r="A194" s="569"/>
      <c r="B194" s="569"/>
      <c r="C194" s="569"/>
      <c r="D194" s="498"/>
      <c r="E194" s="499"/>
      <c r="F194" s="499"/>
      <c r="G194" s="766"/>
      <c r="H194" s="766"/>
      <c r="I194" s="766"/>
      <c r="J194" s="766"/>
      <c r="K194" s="683"/>
      <c r="L194" s="683"/>
      <c r="M194" s="683"/>
      <c r="N194" s="683"/>
      <c r="O194" s="683"/>
      <c r="P194" s="683"/>
      <c r="Q194" s="683"/>
      <c r="R194" s="683"/>
      <c r="S194" s="683"/>
      <c r="T194" s="501"/>
      <c r="U194" s="501"/>
      <c r="V194" s="501"/>
      <c r="W194" s="501"/>
      <c r="X194" s="501"/>
      <c r="Y194" s="501"/>
      <c r="Z194" s="501"/>
      <c r="AA194" s="501"/>
      <c r="AB194" s="501"/>
      <c r="AC194" s="501"/>
      <c r="AD194" s="501"/>
      <c r="AE194" s="501"/>
      <c r="AF194" s="501"/>
      <c r="AG194" s="501"/>
      <c r="AH194" s="501"/>
      <c r="AI194" s="501"/>
      <c r="AJ194" s="501"/>
      <c r="AK194" s="501"/>
      <c r="AL194" s="501"/>
      <c r="AM194" s="501"/>
      <c r="AN194" s="501"/>
      <c r="AO194" s="501"/>
      <c r="AP194" s="501"/>
      <c r="AQ194" s="501"/>
      <c r="AR194" s="501"/>
      <c r="AS194" s="501"/>
      <c r="AT194" s="501"/>
      <c r="AU194" s="501"/>
      <c r="AV194" s="501"/>
      <c r="AW194" s="501"/>
      <c r="AX194" s="501"/>
      <c r="AY194" s="501"/>
      <c r="AZ194" s="501"/>
      <c r="BA194" s="501"/>
      <c r="BB194" s="501"/>
      <c r="BC194" s="501"/>
      <c r="BD194" s="501"/>
      <c r="BE194" s="501"/>
      <c r="BF194" s="501"/>
      <c r="BG194" s="501"/>
      <c r="BH194" s="501"/>
      <c r="BI194" s="501"/>
      <c r="BJ194" s="501"/>
      <c r="BK194" s="501"/>
      <c r="BL194" s="501"/>
      <c r="BM194" s="501"/>
      <c r="BN194" s="501"/>
      <c r="BO194" s="501"/>
      <c r="BP194" s="501"/>
      <c r="BQ194" s="501"/>
      <c r="BR194" s="501"/>
      <c r="BS194" s="501"/>
      <c r="BT194" s="501"/>
      <c r="BU194" s="501"/>
      <c r="BV194" s="501"/>
      <c r="BW194" s="501"/>
      <c r="BX194" s="501"/>
      <c r="BY194" s="501"/>
      <c r="BZ194" s="501"/>
      <c r="CA194" s="501"/>
      <c r="CB194" s="501"/>
      <c r="CC194" s="501"/>
      <c r="CD194" s="501"/>
      <c r="CE194" s="501"/>
      <c r="CF194" s="501"/>
      <c r="CG194" s="501"/>
      <c r="CH194" s="501"/>
      <c r="CI194" s="501"/>
      <c r="CJ194" s="501"/>
      <c r="CK194" s="501"/>
      <c r="CL194" s="501"/>
      <c r="CM194" s="501"/>
      <c r="CN194" s="501"/>
      <c r="CO194" s="501"/>
      <c r="CP194" s="501"/>
      <c r="CQ194" s="501"/>
      <c r="CR194" s="501"/>
      <c r="CS194" s="501"/>
      <c r="CT194" s="501"/>
    </row>
    <row r="195">
      <c r="A195" s="569"/>
      <c r="B195" s="569"/>
      <c r="C195" s="569"/>
      <c r="D195" s="498"/>
      <c r="E195" s="499"/>
      <c r="F195" s="499"/>
      <c r="G195" s="766"/>
      <c r="H195" s="766"/>
      <c r="I195" s="766"/>
      <c r="J195" s="766"/>
      <c r="K195" s="683"/>
      <c r="L195" s="683"/>
      <c r="M195" s="683"/>
      <c r="N195" s="683"/>
      <c r="O195" s="683"/>
      <c r="P195" s="683"/>
      <c r="Q195" s="683"/>
      <c r="R195" s="683"/>
      <c r="S195" s="683"/>
      <c r="T195" s="501"/>
      <c r="U195" s="501"/>
      <c r="V195" s="501"/>
      <c r="W195" s="501"/>
      <c r="X195" s="501"/>
      <c r="Y195" s="501"/>
      <c r="Z195" s="501"/>
      <c r="AA195" s="501"/>
      <c r="AB195" s="501"/>
      <c r="AC195" s="501"/>
      <c r="AD195" s="501"/>
      <c r="AE195" s="501"/>
      <c r="AF195" s="501"/>
      <c r="AG195" s="501"/>
      <c r="AH195" s="501"/>
      <c r="AI195" s="501"/>
      <c r="AJ195" s="501"/>
      <c r="AK195" s="501"/>
      <c r="AL195" s="501"/>
      <c r="AM195" s="501"/>
      <c r="AN195" s="501"/>
      <c r="AO195" s="501"/>
      <c r="AP195" s="501"/>
      <c r="AQ195" s="501"/>
      <c r="AR195" s="501"/>
      <c r="AS195" s="501"/>
      <c r="AT195" s="501"/>
      <c r="AU195" s="501"/>
      <c r="AV195" s="501"/>
      <c r="AW195" s="501"/>
      <c r="AX195" s="501"/>
      <c r="AY195" s="501"/>
      <c r="AZ195" s="501"/>
      <c r="BA195" s="501"/>
      <c r="BB195" s="501"/>
      <c r="BC195" s="501"/>
      <c r="BD195" s="501"/>
      <c r="BE195" s="501"/>
      <c r="BF195" s="501"/>
      <c r="BG195" s="501"/>
      <c r="BH195" s="501"/>
      <c r="BI195" s="501"/>
      <c r="BJ195" s="501"/>
      <c r="BK195" s="501"/>
      <c r="BL195" s="501"/>
      <c r="BM195" s="501"/>
      <c r="BN195" s="501"/>
      <c r="BO195" s="501"/>
      <c r="BP195" s="501"/>
      <c r="BQ195" s="501"/>
      <c r="BR195" s="501"/>
      <c r="BS195" s="501"/>
      <c r="BT195" s="501"/>
      <c r="BU195" s="501"/>
      <c r="BV195" s="501"/>
      <c r="BW195" s="501"/>
      <c r="BX195" s="501"/>
      <c r="BY195" s="501"/>
      <c r="BZ195" s="501"/>
      <c r="CA195" s="501"/>
      <c r="CB195" s="501"/>
      <c r="CC195" s="501"/>
      <c r="CD195" s="501"/>
      <c r="CE195" s="501"/>
      <c r="CF195" s="501"/>
      <c r="CG195" s="501"/>
      <c r="CH195" s="501"/>
      <c r="CI195" s="501"/>
      <c r="CJ195" s="501"/>
      <c r="CK195" s="501"/>
      <c r="CL195" s="501"/>
      <c r="CM195" s="501"/>
      <c r="CN195" s="501"/>
      <c r="CO195" s="501"/>
      <c r="CP195" s="501"/>
      <c r="CQ195" s="501"/>
      <c r="CR195" s="501"/>
      <c r="CS195" s="501"/>
      <c r="CT195" s="501"/>
    </row>
    <row r="196">
      <c r="A196" s="569"/>
      <c r="B196" s="569"/>
      <c r="C196" s="569"/>
      <c r="D196" s="498"/>
      <c r="E196" s="499"/>
      <c r="F196" s="499"/>
      <c r="G196" s="766"/>
      <c r="H196" s="766"/>
      <c r="I196" s="766"/>
      <c r="J196" s="766"/>
      <c r="K196" s="683"/>
      <c r="L196" s="683"/>
      <c r="M196" s="683"/>
      <c r="N196" s="683"/>
      <c r="O196" s="683"/>
      <c r="P196" s="683"/>
      <c r="Q196" s="683"/>
      <c r="R196" s="683"/>
      <c r="S196" s="683"/>
      <c r="T196" s="501"/>
      <c r="U196" s="501"/>
      <c r="V196" s="501"/>
      <c r="W196" s="501"/>
      <c r="X196" s="501"/>
      <c r="Y196" s="501"/>
      <c r="Z196" s="501"/>
      <c r="AA196" s="501"/>
      <c r="AB196" s="501"/>
      <c r="AC196" s="501"/>
      <c r="AD196" s="501"/>
      <c r="AE196" s="501"/>
      <c r="AF196" s="501"/>
      <c r="AG196" s="501"/>
      <c r="AH196" s="501"/>
      <c r="AI196" s="501"/>
      <c r="AJ196" s="501"/>
      <c r="AK196" s="501"/>
      <c r="AL196" s="501"/>
      <c r="AM196" s="501"/>
      <c r="AN196" s="501"/>
      <c r="AO196" s="501"/>
      <c r="AP196" s="501"/>
      <c r="AQ196" s="501"/>
      <c r="AR196" s="501"/>
      <c r="AS196" s="501"/>
      <c r="AT196" s="501"/>
      <c r="AU196" s="501"/>
      <c r="AV196" s="501"/>
      <c r="AW196" s="501"/>
      <c r="AX196" s="501"/>
      <c r="AY196" s="501"/>
      <c r="AZ196" s="501"/>
      <c r="BA196" s="501"/>
      <c r="BB196" s="501"/>
      <c r="BC196" s="501"/>
      <c r="BD196" s="501"/>
      <c r="BE196" s="501"/>
      <c r="BF196" s="501"/>
      <c r="BG196" s="501"/>
      <c r="BH196" s="501"/>
      <c r="BI196" s="501"/>
      <c r="BJ196" s="501"/>
      <c r="BK196" s="501"/>
      <c r="BL196" s="501"/>
      <c r="BM196" s="501"/>
      <c r="BN196" s="501"/>
      <c r="BO196" s="501"/>
      <c r="BP196" s="501"/>
      <c r="BQ196" s="501"/>
      <c r="BR196" s="501"/>
      <c r="BS196" s="501"/>
      <c r="BT196" s="501"/>
      <c r="BU196" s="501"/>
      <c r="BV196" s="501"/>
      <c r="BW196" s="501"/>
      <c r="BX196" s="501"/>
      <c r="BY196" s="501"/>
      <c r="BZ196" s="501"/>
      <c r="CA196" s="501"/>
      <c r="CB196" s="501"/>
      <c r="CC196" s="501"/>
      <c r="CD196" s="501"/>
      <c r="CE196" s="501"/>
      <c r="CF196" s="501"/>
      <c r="CG196" s="501"/>
      <c r="CH196" s="501"/>
      <c r="CI196" s="501"/>
      <c r="CJ196" s="501"/>
      <c r="CK196" s="501"/>
      <c r="CL196" s="501"/>
      <c r="CM196" s="501"/>
      <c r="CN196" s="501"/>
      <c r="CO196" s="501"/>
      <c r="CP196" s="501"/>
      <c r="CQ196" s="501"/>
      <c r="CR196" s="501"/>
      <c r="CS196" s="501"/>
      <c r="CT196" s="501"/>
    </row>
    <row r="197">
      <c r="A197" s="569"/>
      <c r="B197" s="569"/>
      <c r="C197" s="569"/>
      <c r="D197" s="498"/>
      <c r="E197" s="499"/>
      <c r="F197" s="499"/>
      <c r="G197" s="766"/>
      <c r="H197" s="766"/>
      <c r="I197" s="766"/>
      <c r="J197" s="766"/>
      <c r="K197" s="683"/>
      <c r="L197" s="683"/>
      <c r="M197" s="683"/>
      <c r="N197" s="683"/>
      <c r="O197" s="683"/>
      <c r="P197" s="683"/>
      <c r="Q197" s="683"/>
      <c r="R197" s="683"/>
      <c r="S197" s="683"/>
      <c r="T197" s="501"/>
      <c r="U197" s="501"/>
      <c r="V197" s="501"/>
      <c r="W197" s="501"/>
      <c r="X197" s="501"/>
      <c r="Y197" s="501"/>
      <c r="Z197" s="501"/>
      <c r="AA197" s="501"/>
      <c r="AB197" s="501"/>
      <c r="AC197" s="501"/>
      <c r="AD197" s="501"/>
      <c r="AE197" s="501"/>
      <c r="AF197" s="501"/>
      <c r="AG197" s="501"/>
      <c r="AH197" s="501"/>
      <c r="AI197" s="501"/>
      <c r="AJ197" s="501"/>
      <c r="AK197" s="501"/>
      <c r="AL197" s="501"/>
      <c r="AM197" s="501"/>
      <c r="AN197" s="501"/>
      <c r="AO197" s="501"/>
      <c r="AP197" s="501"/>
      <c r="AQ197" s="501"/>
      <c r="AR197" s="501"/>
      <c r="AS197" s="501"/>
      <c r="AT197" s="501"/>
      <c r="AU197" s="501"/>
      <c r="AV197" s="501"/>
      <c r="AW197" s="501"/>
      <c r="AX197" s="501"/>
      <c r="AY197" s="501"/>
      <c r="AZ197" s="501"/>
      <c r="BA197" s="501"/>
      <c r="BB197" s="501"/>
      <c r="BC197" s="501"/>
      <c r="BD197" s="501"/>
      <c r="BE197" s="501"/>
      <c r="BF197" s="501"/>
      <c r="BG197" s="501"/>
      <c r="BH197" s="501"/>
      <c r="BI197" s="501"/>
      <c r="BJ197" s="501"/>
      <c r="BK197" s="501"/>
      <c r="BL197" s="501"/>
      <c r="BM197" s="501"/>
      <c r="BN197" s="501"/>
      <c r="BO197" s="501"/>
      <c r="BP197" s="501"/>
      <c r="BQ197" s="501"/>
      <c r="BR197" s="501"/>
      <c r="BS197" s="501"/>
      <c r="BT197" s="501"/>
      <c r="BU197" s="501"/>
      <c r="BV197" s="501"/>
      <c r="BW197" s="501"/>
      <c r="BX197" s="501"/>
      <c r="BY197" s="501"/>
      <c r="BZ197" s="501"/>
      <c r="CA197" s="501"/>
      <c r="CB197" s="501"/>
      <c r="CC197" s="501"/>
      <c r="CD197" s="501"/>
      <c r="CE197" s="501"/>
      <c r="CF197" s="501"/>
      <c r="CG197" s="501"/>
      <c r="CH197" s="501"/>
      <c r="CI197" s="501"/>
      <c r="CJ197" s="501"/>
      <c r="CK197" s="501"/>
      <c r="CL197" s="501"/>
      <c r="CM197" s="501"/>
      <c r="CN197" s="501"/>
      <c r="CO197" s="501"/>
      <c r="CP197" s="501"/>
      <c r="CQ197" s="501"/>
      <c r="CR197" s="501"/>
      <c r="CS197" s="501"/>
      <c r="CT197" s="501"/>
    </row>
    <row r="198">
      <c r="A198" s="569"/>
      <c r="B198" s="569"/>
      <c r="C198" s="569"/>
      <c r="D198" s="498"/>
      <c r="E198" s="499"/>
      <c r="F198" s="499"/>
      <c r="G198" s="766"/>
      <c r="H198" s="766"/>
      <c r="I198" s="766"/>
      <c r="J198" s="766"/>
      <c r="K198" s="683"/>
      <c r="L198" s="683"/>
      <c r="M198" s="683"/>
      <c r="N198" s="683"/>
      <c r="O198" s="683"/>
      <c r="P198" s="683"/>
      <c r="Q198" s="683"/>
      <c r="R198" s="683"/>
      <c r="S198" s="683"/>
      <c r="T198" s="501"/>
      <c r="U198" s="501"/>
      <c r="V198" s="501"/>
      <c r="W198" s="501"/>
      <c r="X198" s="501"/>
      <c r="Y198" s="501"/>
      <c r="Z198" s="501"/>
      <c r="AA198" s="501"/>
      <c r="AB198" s="501"/>
      <c r="AC198" s="501"/>
      <c r="AD198" s="501"/>
      <c r="AE198" s="501"/>
      <c r="AF198" s="501"/>
      <c r="AG198" s="501"/>
      <c r="AH198" s="501"/>
      <c r="AI198" s="501"/>
      <c r="AJ198" s="501"/>
      <c r="AK198" s="501"/>
      <c r="AL198" s="501"/>
      <c r="AM198" s="501"/>
      <c r="AN198" s="501"/>
      <c r="AO198" s="501"/>
      <c r="AP198" s="501"/>
      <c r="AQ198" s="501"/>
      <c r="AR198" s="501"/>
      <c r="AS198" s="501"/>
      <c r="AT198" s="501"/>
      <c r="AU198" s="501"/>
      <c r="AV198" s="501"/>
      <c r="AW198" s="501"/>
      <c r="AX198" s="501"/>
      <c r="AY198" s="501"/>
      <c r="AZ198" s="501"/>
      <c r="BA198" s="501"/>
      <c r="BB198" s="501"/>
      <c r="BC198" s="501"/>
      <c r="BD198" s="501"/>
      <c r="BE198" s="501"/>
      <c r="BF198" s="501"/>
      <c r="BG198" s="501"/>
      <c r="BH198" s="501"/>
      <c r="BI198" s="501"/>
      <c r="BJ198" s="501"/>
      <c r="BK198" s="501"/>
      <c r="BL198" s="501"/>
      <c r="BM198" s="501"/>
      <c r="BN198" s="501"/>
      <c r="BO198" s="501"/>
      <c r="BP198" s="501"/>
      <c r="BQ198" s="501"/>
      <c r="BR198" s="501"/>
      <c r="BS198" s="501"/>
      <c r="BT198" s="501"/>
      <c r="BU198" s="501"/>
      <c r="BV198" s="501"/>
      <c r="BW198" s="501"/>
      <c r="BX198" s="501"/>
      <c r="BY198" s="501"/>
      <c r="BZ198" s="501"/>
      <c r="CA198" s="501"/>
      <c r="CB198" s="501"/>
      <c r="CC198" s="501"/>
      <c r="CD198" s="501"/>
      <c r="CE198" s="501"/>
      <c r="CF198" s="501"/>
      <c r="CG198" s="501"/>
      <c r="CH198" s="501"/>
      <c r="CI198" s="501"/>
      <c r="CJ198" s="501"/>
      <c r="CK198" s="501"/>
      <c r="CL198" s="501"/>
      <c r="CM198" s="501"/>
      <c r="CN198" s="501"/>
      <c r="CO198" s="501"/>
      <c r="CP198" s="501"/>
      <c r="CQ198" s="501"/>
      <c r="CR198" s="501"/>
      <c r="CS198" s="501"/>
      <c r="CT198" s="501"/>
    </row>
    <row r="199">
      <c r="A199" s="569"/>
      <c r="B199" s="569"/>
      <c r="C199" s="569"/>
      <c r="D199" s="498"/>
      <c r="E199" s="499"/>
      <c r="F199" s="499"/>
      <c r="G199" s="766"/>
      <c r="H199" s="766"/>
      <c r="I199" s="766"/>
      <c r="J199" s="766"/>
      <c r="K199" s="683"/>
      <c r="L199" s="683"/>
      <c r="M199" s="683"/>
      <c r="N199" s="683"/>
      <c r="O199" s="683"/>
      <c r="P199" s="683"/>
      <c r="Q199" s="683"/>
      <c r="R199" s="683"/>
      <c r="S199" s="683"/>
      <c r="T199" s="501"/>
      <c r="U199" s="501"/>
      <c r="V199" s="501"/>
      <c r="W199" s="501"/>
      <c r="X199" s="501"/>
      <c r="Y199" s="501"/>
      <c r="Z199" s="501"/>
      <c r="AA199" s="501"/>
      <c r="AB199" s="501"/>
      <c r="AC199" s="501"/>
      <c r="AD199" s="501"/>
      <c r="AE199" s="501"/>
      <c r="AF199" s="501"/>
      <c r="AG199" s="501"/>
      <c r="AH199" s="501"/>
      <c r="AI199" s="501"/>
      <c r="AJ199" s="501"/>
      <c r="AK199" s="501"/>
      <c r="AL199" s="501"/>
      <c r="AM199" s="501"/>
      <c r="AN199" s="501"/>
      <c r="AO199" s="501"/>
      <c r="AP199" s="501"/>
      <c r="AQ199" s="501"/>
      <c r="AR199" s="501"/>
      <c r="AS199" s="501"/>
      <c r="AT199" s="501"/>
      <c r="AU199" s="501"/>
      <c r="AV199" s="501"/>
      <c r="AW199" s="501"/>
      <c r="AX199" s="501"/>
      <c r="AY199" s="501"/>
      <c r="AZ199" s="501"/>
      <c r="BA199" s="501"/>
      <c r="BB199" s="501"/>
      <c r="BC199" s="501"/>
      <c r="BD199" s="501"/>
      <c r="BE199" s="501"/>
      <c r="BF199" s="501"/>
      <c r="BG199" s="501"/>
      <c r="BH199" s="501"/>
      <c r="BI199" s="501"/>
      <c r="BJ199" s="501"/>
      <c r="BK199" s="501"/>
      <c r="BL199" s="501"/>
      <c r="BM199" s="501"/>
      <c r="BN199" s="501"/>
      <c r="BO199" s="501"/>
      <c r="BP199" s="501"/>
      <c r="BQ199" s="501"/>
      <c r="BR199" s="501"/>
      <c r="BS199" s="501"/>
      <c r="BT199" s="501"/>
      <c r="BU199" s="501"/>
      <c r="BV199" s="501"/>
      <c r="BW199" s="501"/>
      <c r="BX199" s="501"/>
      <c r="BY199" s="501"/>
      <c r="BZ199" s="501"/>
      <c r="CA199" s="501"/>
      <c r="CB199" s="501"/>
      <c r="CC199" s="501"/>
      <c r="CD199" s="501"/>
      <c r="CE199" s="501"/>
      <c r="CF199" s="501"/>
      <c r="CG199" s="501"/>
      <c r="CH199" s="501"/>
      <c r="CI199" s="501"/>
      <c r="CJ199" s="501"/>
      <c r="CK199" s="501"/>
      <c r="CL199" s="501"/>
      <c r="CM199" s="501"/>
      <c r="CN199" s="501"/>
      <c r="CO199" s="501"/>
      <c r="CP199" s="501"/>
      <c r="CQ199" s="501"/>
      <c r="CR199" s="501"/>
      <c r="CS199" s="501"/>
      <c r="CT199" s="501"/>
    </row>
    <row r="200">
      <c r="A200" s="569"/>
      <c r="B200" s="569"/>
      <c r="C200" s="569"/>
      <c r="D200" s="498"/>
      <c r="E200" s="499"/>
      <c r="F200" s="499"/>
      <c r="G200" s="766"/>
      <c r="H200" s="766"/>
      <c r="I200" s="766"/>
      <c r="J200" s="766"/>
      <c r="K200" s="683"/>
      <c r="L200" s="683"/>
      <c r="M200" s="683"/>
      <c r="N200" s="683"/>
      <c r="O200" s="683"/>
      <c r="P200" s="683"/>
      <c r="Q200" s="683"/>
      <c r="R200" s="683"/>
      <c r="S200" s="683"/>
      <c r="T200" s="501"/>
      <c r="U200" s="501"/>
      <c r="V200" s="501"/>
      <c r="W200" s="501"/>
      <c r="X200" s="501"/>
      <c r="Y200" s="501"/>
      <c r="Z200" s="501"/>
      <c r="AA200" s="501"/>
      <c r="AB200" s="501"/>
      <c r="AC200" s="501"/>
      <c r="AD200" s="501"/>
      <c r="AE200" s="501"/>
      <c r="AF200" s="501"/>
      <c r="AG200" s="501"/>
      <c r="AH200" s="501"/>
      <c r="AI200" s="501"/>
      <c r="AJ200" s="501"/>
      <c r="AK200" s="501"/>
      <c r="AL200" s="501"/>
      <c r="AM200" s="501"/>
      <c r="AN200" s="501"/>
      <c r="AO200" s="501"/>
      <c r="AP200" s="501"/>
      <c r="AQ200" s="501"/>
      <c r="AR200" s="501"/>
      <c r="AS200" s="501"/>
      <c r="AT200" s="501"/>
      <c r="AU200" s="501"/>
      <c r="AV200" s="501"/>
      <c r="AW200" s="501"/>
      <c r="AX200" s="501"/>
      <c r="AY200" s="501"/>
      <c r="AZ200" s="501"/>
      <c r="BA200" s="501"/>
      <c r="BB200" s="501"/>
      <c r="BC200" s="501"/>
      <c r="BD200" s="501"/>
      <c r="BE200" s="501"/>
      <c r="BF200" s="501"/>
      <c r="BG200" s="501"/>
      <c r="BH200" s="501"/>
      <c r="BI200" s="501"/>
      <c r="BJ200" s="501"/>
      <c r="BK200" s="501"/>
      <c r="BL200" s="501"/>
      <c r="BM200" s="501"/>
      <c r="BN200" s="501"/>
      <c r="BO200" s="501"/>
      <c r="BP200" s="501"/>
      <c r="BQ200" s="501"/>
      <c r="BR200" s="501"/>
      <c r="BS200" s="501"/>
      <c r="BT200" s="501"/>
      <c r="BU200" s="501"/>
      <c r="BV200" s="501"/>
      <c r="BW200" s="501"/>
      <c r="BX200" s="501"/>
      <c r="BY200" s="501"/>
      <c r="BZ200" s="501"/>
      <c r="CA200" s="501"/>
      <c r="CB200" s="501"/>
      <c r="CC200" s="501"/>
      <c r="CD200" s="501"/>
      <c r="CE200" s="501"/>
      <c r="CF200" s="501"/>
      <c r="CG200" s="501"/>
      <c r="CH200" s="501"/>
      <c r="CI200" s="501"/>
      <c r="CJ200" s="501"/>
      <c r="CK200" s="501"/>
      <c r="CL200" s="501"/>
      <c r="CM200" s="501"/>
      <c r="CN200" s="501"/>
      <c r="CO200" s="501"/>
      <c r="CP200" s="501"/>
      <c r="CQ200" s="501"/>
      <c r="CR200" s="501"/>
      <c r="CS200" s="501"/>
      <c r="CT200" s="501"/>
    </row>
    <row r="201">
      <c r="A201" s="569"/>
      <c r="B201" s="569"/>
      <c r="C201" s="569"/>
      <c r="D201" s="498"/>
      <c r="E201" s="499"/>
      <c r="F201" s="499"/>
      <c r="G201" s="766"/>
      <c r="H201" s="766"/>
      <c r="I201" s="766"/>
      <c r="J201" s="766"/>
      <c r="K201" s="683"/>
      <c r="L201" s="683"/>
      <c r="M201" s="683"/>
      <c r="N201" s="683"/>
      <c r="O201" s="683"/>
      <c r="P201" s="683"/>
      <c r="Q201" s="683"/>
      <c r="R201" s="683"/>
      <c r="S201" s="683"/>
      <c r="T201" s="501"/>
      <c r="U201" s="501"/>
      <c r="V201" s="501"/>
      <c r="W201" s="501"/>
      <c r="X201" s="501"/>
      <c r="Y201" s="501"/>
      <c r="Z201" s="501"/>
      <c r="AA201" s="501"/>
      <c r="AB201" s="501"/>
      <c r="AC201" s="501"/>
      <c r="AD201" s="501"/>
      <c r="AE201" s="501"/>
      <c r="AF201" s="501"/>
      <c r="AG201" s="501"/>
      <c r="AH201" s="501"/>
      <c r="AI201" s="501"/>
      <c r="AJ201" s="501"/>
      <c r="AK201" s="501"/>
      <c r="AL201" s="501"/>
      <c r="AM201" s="501"/>
      <c r="AN201" s="501"/>
      <c r="AO201" s="501"/>
      <c r="AP201" s="501"/>
      <c r="AQ201" s="501"/>
      <c r="AR201" s="501"/>
      <c r="AS201" s="501"/>
      <c r="AT201" s="501"/>
      <c r="AU201" s="501"/>
      <c r="AV201" s="501"/>
      <c r="AW201" s="501"/>
      <c r="AX201" s="501"/>
      <c r="AY201" s="501"/>
      <c r="AZ201" s="501"/>
      <c r="BA201" s="501"/>
      <c r="BB201" s="501"/>
      <c r="BC201" s="501"/>
      <c r="BD201" s="501"/>
      <c r="BE201" s="501"/>
      <c r="BF201" s="501"/>
      <c r="BG201" s="501"/>
      <c r="BH201" s="501"/>
      <c r="BI201" s="501"/>
      <c r="BJ201" s="501"/>
      <c r="BK201" s="501"/>
      <c r="BL201" s="501"/>
      <c r="BM201" s="501"/>
      <c r="BN201" s="501"/>
      <c r="BO201" s="501"/>
      <c r="BP201" s="501"/>
      <c r="BQ201" s="501"/>
      <c r="BR201" s="501"/>
      <c r="BS201" s="501"/>
      <c r="BT201" s="501"/>
      <c r="BU201" s="501"/>
      <c r="BV201" s="501"/>
      <c r="BW201" s="501"/>
      <c r="BX201" s="501"/>
      <c r="BY201" s="501"/>
      <c r="BZ201" s="501"/>
      <c r="CA201" s="501"/>
      <c r="CB201" s="501"/>
      <c r="CC201" s="501"/>
      <c r="CD201" s="501"/>
      <c r="CE201" s="501"/>
      <c r="CF201" s="501"/>
      <c r="CG201" s="501"/>
      <c r="CH201" s="501"/>
      <c r="CI201" s="501"/>
      <c r="CJ201" s="501"/>
      <c r="CK201" s="501"/>
      <c r="CL201" s="501"/>
      <c r="CM201" s="501"/>
      <c r="CN201" s="501"/>
      <c r="CO201" s="501"/>
      <c r="CP201" s="501"/>
      <c r="CQ201" s="501"/>
      <c r="CR201" s="501"/>
      <c r="CS201" s="501"/>
      <c r="CT201" s="501"/>
    </row>
    <row r="202">
      <c r="A202" s="569"/>
      <c r="B202" s="569"/>
      <c r="C202" s="569"/>
      <c r="D202" s="498"/>
      <c r="E202" s="499"/>
      <c r="F202" s="499"/>
      <c r="G202" s="766"/>
      <c r="H202" s="766"/>
      <c r="I202" s="766"/>
      <c r="J202" s="766"/>
      <c r="K202" s="683"/>
      <c r="L202" s="683"/>
      <c r="M202" s="683"/>
      <c r="N202" s="683"/>
      <c r="O202" s="683"/>
      <c r="P202" s="683"/>
      <c r="Q202" s="683"/>
      <c r="R202" s="683"/>
      <c r="S202" s="683"/>
      <c r="T202" s="501"/>
      <c r="U202" s="501"/>
      <c r="V202" s="501"/>
      <c r="W202" s="501"/>
      <c r="X202" s="501"/>
      <c r="Y202" s="501"/>
      <c r="Z202" s="501"/>
      <c r="AA202" s="501"/>
      <c r="AB202" s="501"/>
      <c r="AC202" s="501"/>
      <c r="AD202" s="501"/>
      <c r="AE202" s="501"/>
      <c r="AF202" s="501"/>
      <c r="AG202" s="501"/>
      <c r="AH202" s="501"/>
      <c r="AI202" s="501"/>
      <c r="AJ202" s="501"/>
      <c r="AK202" s="501"/>
      <c r="AL202" s="501"/>
      <c r="AM202" s="501"/>
      <c r="AN202" s="501"/>
      <c r="AO202" s="501"/>
      <c r="AP202" s="501"/>
      <c r="AQ202" s="501"/>
      <c r="AR202" s="501"/>
      <c r="AS202" s="501"/>
      <c r="AT202" s="501"/>
      <c r="AU202" s="501"/>
      <c r="AV202" s="501"/>
      <c r="AW202" s="501"/>
      <c r="AX202" s="501"/>
      <c r="AY202" s="501"/>
      <c r="AZ202" s="501"/>
      <c r="BA202" s="501"/>
      <c r="BB202" s="501"/>
      <c r="BC202" s="501"/>
      <c r="BD202" s="501"/>
      <c r="BE202" s="501"/>
      <c r="BF202" s="501"/>
      <c r="BG202" s="501"/>
      <c r="BH202" s="501"/>
      <c r="BI202" s="501"/>
      <c r="BJ202" s="501"/>
      <c r="BK202" s="501"/>
      <c r="BL202" s="501"/>
      <c r="BM202" s="501"/>
      <c r="BN202" s="501"/>
      <c r="BO202" s="501"/>
      <c r="BP202" s="501"/>
      <c r="BQ202" s="501"/>
      <c r="BR202" s="501"/>
      <c r="BS202" s="501"/>
      <c r="BT202" s="501"/>
      <c r="BU202" s="501"/>
      <c r="BV202" s="501"/>
      <c r="BW202" s="501"/>
      <c r="BX202" s="501"/>
      <c r="BY202" s="501"/>
      <c r="BZ202" s="501"/>
      <c r="CA202" s="501"/>
      <c r="CB202" s="501"/>
      <c r="CC202" s="501"/>
      <c r="CD202" s="501"/>
      <c r="CE202" s="501"/>
      <c r="CF202" s="501"/>
      <c r="CG202" s="501"/>
      <c r="CH202" s="501"/>
      <c r="CI202" s="501"/>
      <c r="CJ202" s="501"/>
      <c r="CK202" s="501"/>
      <c r="CL202" s="501"/>
      <c r="CM202" s="501"/>
      <c r="CN202" s="501"/>
      <c r="CO202" s="501"/>
      <c r="CP202" s="501"/>
      <c r="CQ202" s="501"/>
      <c r="CR202" s="501"/>
      <c r="CS202" s="501"/>
      <c r="CT202" s="501"/>
    </row>
    <row r="203">
      <c r="A203" s="569"/>
      <c r="B203" s="569"/>
      <c r="C203" s="569"/>
      <c r="D203" s="498"/>
      <c r="E203" s="499"/>
      <c r="F203" s="499"/>
      <c r="G203" s="766"/>
      <c r="H203" s="766"/>
      <c r="I203" s="766"/>
      <c r="J203" s="766"/>
      <c r="K203" s="683"/>
      <c r="L203" s="683"/>
      <c r="M203" s="683"/>
      <c r="N203" s="683"/>
      <c r="O203" s="683"/>
      <c r="P203" s="683"/>
      <c r="Q203" s="683"/>
      <c r="R203" s="683"/>
      <c r="S203" s="683"/>
      <c r="T203" s="501"/>
      <c r="U203" s="501"/>
      <c r="V203" s="501"/>
      <c r="W203" s="501"/>
      <c r="X203" s="501"/>
      <c r="Y203" s="501"/>
      <c r="Z203" s="501"/>
      <c r="AA203" s="501"/>
      <c r="AB203" s="501"/>
      <c r="AC203" s="501"/>
      <c r="AD203" s="501"/>
      <c r="AE203" s="501"/>
      <c r="AF203" s="501"/>
      <c r="AG203" s="501"/>
      <c r="AH203" s="501"/>
      <c r="AI203" s="501"/>
      <c r="AJ203" s="501"/>
      <c r="AK203" s="501"/>
      <c r="AL203" s="501"/>
      <c r="AM203" s="501"/>
      <c r="AN203" s="501"/>
      <c r="AO203" s="501"/>
      <c r="AP203" s="501"/>
      <c r="AQ203" s="501"/>
      <c r="AR203" s="501"/>
      <c r="AS203" s="501"/>
      <c r="AT203" s="501"/>
      <c r="AU203" s="501"/>
      <c r="AV203" s="501"/>
      <c r="AW203" s="501"/>
      <c r="AX203" s="501"/>
      <c r="AY203" s="501"/>
      <c r="AZ203" s="501"/>
      <c r="BA203" s="501"/>
      <c r="BB203" s="501"/>
      <c r="BC203" s="501"/>
      <c r="BD203" s="501"/>
      <c r="BE203" s="501"/>
      <c r="BF203" s="501"/>
      <c r="BG203" s="501"/>
      <c r="BH203" s="501"/>
      <c r="BI203" s="501"/>
      <c r="BJ203" s="501"/>
      <c r="BK203" s="501"/>
      <c r="BL203" s="501"/>
      <c r="BM203" s="501"/>
      <c r="BN203" s="501"/>
      <c r="BO203" s="501"/>
      <c r="BP203" s="501"/>
      <c r="BQ203" s="501"/>
      <c r="BR203" s="501"/>
      <c r="BS203" s="501"/>
      <c r="BT203" s="501"/>
      <c r="BU203" s="501"/>
      <c r="BV203" s="501"/>
      <c r="BW203" s="501"/>
      <c r="BX203" s="501"/>
      <c r="BY203" s="501"/>
      <c r="BZ203" s="501"/>
      <c r="CA203" s="501"/>
      <c r="CB203" s="501"/>
      <c r="CC203" s="501"/>
      <c r="CD203" s="501"/>
      <c r="CE203" s="501"/>
      <c r="CF203" s="501"/>
      <c r="CG203" s="501"/>
      <c r="CH203" s="501"/>
      <c r="CI203" s="501"/>
      <c r="CJ203" s="501"/>
      <c r="CK203" s="501"/>
      <c r="CL203" s="501"/>
      <c r="CM203" s="501"/>
      <c r="CN203" s="501"/>
      <c r="CO203" s="501"/>
      <c r="CP203" s="501"/>
      <c r="CQ203" s="501"/>
      <c r="CR203" s="501"/>
      <c r="CS203" s="501"/>
      <c r="CT203" s="501"/>
    </row>
    <row r="204">
      <c r="A204" s="569"/>
      <c r="B204" s="569"/>
      <c r="C204" s="569"/>
      <c r="D204" s="498"/>
      <c r="E204" s="499"/>
      <c r="F204" s="499"/>
      <c r="G204" s="766"/>
      <c r="H204" s="766"/>
      <c r="I204" s="766"/>
      <c r="J204" s="766"/>
      <c r="K204" s="683"/>
      <c r="L204" s="683"/>
      <c r="M204" s="683"/>
      <c r="N204" s="683"/>
      <c r="O204" s="683"/>
      <c r="P204" s="683"/>
      <c r="Q204" s="683"/>
      <c r="R204" s="683"/>
      <c r="S204" s="683"/>
      <c r="T204" s="501"/>
      <c r="U204" s="501"/>
      <c r="V204" s="501"/>
      <c r="W204" s="501"/>
      <c r="X204" s="501"/>
      <c r="Y204" s="501"/>
      <c r="Z204" s="501"/>
      <c r="AA204" s="501"/>
      <c r="AB204" s="501"/>
      <c r="AC204" s="501"/>
      <c r="AD204" s="501"/>
      <c r="AE204" s="501"/>
      <c r="AF204" s="501"/>
      <c r="AG204" s="501"/>
      <c r="AH204" s="501"/>
      <c r="AI204" s="501"/>
      <c r="AJ204" s="501"/>
      <c r="AK204" s="501"/>
      <c r="AL204" s="501"/>
      <c r="AM204" s="501"/>
      <c r="AN204" s="501"/>
      <c r="AO204" s="501"/>
      <c r="AP204" s="501"/>
      <c r="AQ204" s="501"/>
      <c r="AR204" s="501"/>
      <c r="AS204" s="501"/>
      <c r="AT204" s="501"/>
      <c r="AU204" s="501"/>
      <c r="AV204" s="501"/>
      <c r="AW204" s="501"/>
      <c r="AX204" s="501"/>
      <c r="AY204" s="501"/>
      <c r="AZ204" s="501"/>
      <c r="BA204" s="501"/>
      <c r="BB204" s="501"/>
      <c r="BC204" s="501"/>
      <c r="BD204" s="501"/>
      <c r="BE204" s="501"/>
      <c r="BF204" s="501"/>
      <c r="BG204" s="501"/>
      <c r="BH204" s="501"/>
      <c r="BI204" s="501"/>
      <c r="BJ204" s="501"/>
      <c r="BK204" s="501"/>
      <c r="BL204" s="501"/>
      <c r="BM204" s="501"/>
      <c r="BN204" s="501"/>
      <c r="BO204" s="501"/>
      <c r="BP204" s="501"/>
      <c r="BQ204" s="501"/>
      <c r="BR204" s="501"/>
      <c r="BS204" s="501"/>
      <c r="BT204" s="501"/>
      <c r="BU204" s="501"/>
      <c r="BV204" s="501"/>
      <c r="BW204" s="501"/>
      <c r="BX204" s="501"/>
      <c r="BY204" s="501"/>
      <c r="BZ204" s="501"/>
      <c r="CA204" s="501"/>
      <c r="CB204" s="501"/>
      <c r="CC204" s="501"/>
      <c r="CD204" s="501"/>
      <c r="CE204" s="501"/>
      <c r="CF204" s="501"/>
      <c r="CG204" s="501"/>
      <c r="CH204" s="501"/>
      <c r="CI204" s="501"/>
      <c r="CJ204" s="501"/>
      <c r="CK204" s="501"/>
      <c r="CL204" s="501"/>
      <c r="CM204" s="501"/>
      <c r="CN204" s="501"/>
      <c r="CO204" s="501"/>
      <c r="CP204" s="501"/>
      <c r="CQ204" s="501"/>
      <c r="CR204" s="501"/>
      <c r="CS204" s="501"/>
      <c r="CT204" s="501"/>
    </row>
    <row r="205">
      <c r="A205" s="569"/>
      <c r="B205" s="569"/>
      <c r="C205" s="569"/>
      <c r="D205" s="498"/>
      <c r="E205" s="499"/>
      <c r="F205" s="499"/>
      <c r="G205" s="766"/>
      <c r="H205" s="766"/>
      <c r="I205" s="766"/>
      <c r="J205" s="766"/>
      <c r="K205" s="683"/>
      <c r="L205" s="683"/>
      <c r="M205" s="683"/>
      <c r="N205" s="683"/>
      <c r="O205" s="683"/>
      <c r="P205" s="683"/>
      <c r="Q205" s="683"/>
      <c r="R205" s="683"/>
      <c r="S205" s="683"/>
      <c r="T205" s="501"/>
      <c r="U205" s="501"/>
      <c r="V205" s="501"/>
      <c r="W205" s="501"/>
      <c r="X205" s="501"/>
      <c r="Y205" s="501"/>
      <c r="Z205" s="501"/>
      <c r="AA205" s="501"/>
      <c r="AB205" s="501"/>
      <c r="AC205" s="501"/>
      <c r="AD205" s="501"/>
      <c r="AE205" s="501"/>
      <c r="AF205" s="501"/>
      <c r="AG205" s="501"/>
      <c r="AH205" s="501"/>
      <c r="AI205" s="501"/>
      <c r="AJ205" s="501"/>
      <c r="AK205" s="501"/>
      <c r="AL205" s="501"/>
      <c r="AM205" s="501"/>
      <c r="AN205" s="501"/>
      <c r="AO205" s="501"/>
      <c r="AP205" s="501"/>
      <c r="AQ205" s="501"/>
      <c r="AR205" s="501"/>
      <c r="AS205" s="501"/>
      <c r="AT205" s="501"/>
      <c r="AU205" s="501"/>
      <c r="AV205" s="501"/>
      <c r="AW205" s="501"/>
      <c r="AX205" s="501"/>
      <c r="AY205" s="501"/>
      <c r="AZ205" s="501"/>
      <c r="BA205" s="501"/>
      <c r="BB205" s="501"/>
      <c r="BC205" s="501"/>
      <c r="BD205" s="501"/>
      <c r="BE205" s="501"/>
      <c r="BF205" s="501"/>
      <c r="BG205" s="501"/>
      <c r="BH205" s="501"/>
      <c r="BI205" s="501"/>
      <c r="BJ205" s="501"/>
      <c r="BK205" s="501"/>
      <c r="BL205" s="501"/>
      <c r="BM205" s="501"/>
      <c r="BN205" s="501"/>
      <c r="BO205" s="501"/>
      <c r="BP205" s="501"/>
      <c r="BQ205" s="501"/>
      <c r="BR205" s="501"/>
      <c r="BS205" s="501"/>
      <c r="BT205" s="501"/>
      <c r="BU205" s="501"/>
      <c r="BV205" s="501"/>
      <c r="BW205" s="501"/>
      <c r="BX205" s="501"/>
      <c r="BY205" s="501"/>
      <c r="BZ205" s="501"/>
      <c r="CA205" s="501"/>
      <c r="CB205" s="501"/>
      <c r="CC205" s="501"/>
      <c r="CD205" s="501"/>
      <c r="CE205" s="501"/>
      <c r="CF205" s="501"/>
      <c r="CG205" s="501"/>
      <c r="CH205" s="501"/>
      <c r="CI205" s="501"/>
      <c r="CJ205" s="501"/>
      <c r="CK205" s="501"/>
      <c r="CL205" s="501"/>
      <c r="CM205" s="501"/>
      <c r="CN205" s="501"/>
      <c r="CO205" s="501"/>
      <c r="CP205" s="501"/>
      <c r="CQ205" s="501"/>
      <c r="CR205" s="501"/>
      <c r="CS205" s="501"/>
      <c r="CT205" s="501"/>
    </row>
    <row r="206">
      <c r="A206" s="569"/>
      <c r="B206" s="569"/>
      <c r="C206" s="569"/>
      <c r="D206" s="498"/>
      <c r="E206" s="499"/>
      <c r="F206" s="499"/>
      <c r="G206" s="766"/>
      <c r="H206" s="766"/>
      <c r="I206" s="766"/>
      <c r="J206" s="766"/>
      <c r="K206" s="683"/>
      <c r="L206" s="683"/>
      <c r="M206" s="683"/>
      <c r="N206" s="683"/>
      <c r="O206" s="683"/>
      <c r="P206" s="683"/>
      <c r="Q206" s="683"/>
      <c r="R206" s="683"/>
      <c r="S206" s="683"/>
      <c r="T206" s="501"/>
      <c r="U206" s="501"/>
      <c r="V206" s="501"/>
      <c r="W206" s="501"/>
      <c r="X206" s="501"/>
      <c r="Y206" s="501"/>
      <c r="Z206" s="501"/>
      <c r="AA206" s="501"/>
      <c r="AB206" s="501"/>
      <c r="AC206" s="501"/>
      <c r="AD206" s="501"/>
      <c r="AE206" s="501"/>
      <c r="AF206" s="501"/>
      <c r="AG206" s="501"/>
      <c r="AH206" s="501"/>
      <c r="AI206" s="501"/>
      <c r="AJ206" s="501"/>
      <c r="AK206" s="501"/>
      <c r="AL206" s="501"/>
      <c r="AM206" s="501"/>
      <c r="AN206" s="501"/>
      <c r="AO206" s="501"/>
      <c r="AP206" s="501"/>
      <c r="AQ206" s="501"/>
      <c r="AR206" s="501"/>
      <c r="AS206" s="501"/>
      <c r="AT206" s="501"/>
      <c r="AU206" s="501"/>
      <c r="AV206" s="501"/>
      <c r="AW206" s="501"/>
      <c r="AX206" s="501"/>
      <c r="AY206" s="501"/>
      <c r="AZ206" s="501"/>
      <c r="BA206" s="501"/>
      <c r="BB206" s="501"/>
      <c r="BC206" s="501"/>
      <c r="BD206" s="501"/>
      <c r="BE206" s="501"/>
      <c r="BF206" s="501"/>
      <c r="BG206" s="501"/>
      <c r="BH206" s="501"/>
      <c r="BI206" s="501"/>
      <c r="BJ206" s="501"/>
      <c r="BK206" s="501"/>
      <c r="BL206" s="501"/>
      <c r="BM206" s="501"/>
      <c r="BN206" s="501"/>
      <c r="BO206" s="501"/>
      <c r="BP206" s="501"/>
      <c r="BQ206" s="501"/>
      <c r="BR206" s="501"/>
      <c r="BS206" s="501"/>
      <c r="BT206" s="501"/>
      <c r="BU206" s="501"/>
      <c r="BV206" s="501"/>
      <c r="BW206" s="501"/>
      <c r="BX206" s="501"/>
      <c r="BY206" s="501"/>
      <c r="BZ206" s="501"/>
      <c r="CA206" s="501"/>
      <c r="CB206" s="501"/>
      <c r="CC206" s="501"/>
      <c r="CD206" s="501"/>
      <c r="CE206" s="501"/>
      <c r="CF206" s="501"/>
      <c r="CG206" s="501"/>
      <c r="CH206" s="501"/>
      <c r="CI206" s="501"/>
      <c r="CJ206" s="501"/>
      <c r="CK206" s="501"/>
      <c r="CL206" s="501"/>
      <c r="CM206" s="501"/>
      <c r="CN206" s="501"/>
      <c r="CO206" s="501"/>
      <c r="CP206" s="501"/>
      <c r="CQ206" s="501"/>
      <c r="CR206" s="501"/>
      <c r="CS206" s="501"/>
      <c r="CT206" s="501"/>
    </row>
    <row r="207">
      <c r="A207" s="569"/>
      <c r="B207" s="569"/>
      <c r="C207" s="569"/>
      <c r="D207" s="498"/>
      <c r="E207" s="499"/>
      <c r="F207" s="499"/>
      <c r="G207" s="766"/>
      <c r="H207" s="766"/>
      <c r="I207" s="766"/>
      <c r="J207" s="766"/>
      <c r="K207" s="683"/>
      <c r="L207" s="683"/>
      <c r="M207" s="683"/>
      <c r="N207" s="683"/>
      <c r="O207" s="683"/>
      <c r="P207" s="683"/>
      <c r="Q207" s="683"/>
      <c r="R207" s="683"/>
      <c r="S207" s="683"/>
      <c r="T207" s="501"/>
      <c r="U207" s="501"/>
      <c r="V207" s="501"/>
      <c r="W207" s="501"/>
      <c r="X207" s="501"/>
      <c r="Y207" s="501"/>
      <c r="Z207" s="501"/>
      <c r="AA207" s="501"/>
      <c r="AB207" s="501"/>
      <c r="AC207" s="501"/>
      <c r="AD207" s="501"/>
      <c r="AE207" s="501"/>
      <c r="AF207" s="501"/>
      <c r="AG207" s="501"/>
      <c r="AH207" s="501"/>
      <c r="AI207" s="501"/>
      <c r="AJ207" s="501"/>
      <c r="AK207" s="501"/>
      <c r="AL207" s="501"/>
      <c r="AM207" s="501"/>
      <c r="AN207" s="501"/>
      <c r="AO207" s="501"/>
      <c r="AP207" s="501"/>
      <c r="AQ207" s="501"/>
      <c r="AR207" s="501"/>
      <c r="AS207" s="501"/>
      <c r="AT207" s="501"/>
      <c r="AU207" s="501"/>
      <c r="AV207" s="501"/>
      <c r="AW207" s="501"/>
      <c r="AX207" s="501"/>
      <c r="AY207" s="501"/>
      <c r="AZ207" s="501"/>
      <c r="BA207" s="501"/>
      <c r="BB207" s="501"/>
      <c r="BC207" s="501"/>
      <c r="BD207" s="501"/>
      <c r="BE207" s="501"/>
      <c r="BF207" s="501"/>
      <c r="BG207" s="501"/>
      <c r="BH207" s="501"/>
      <c r="BI207" s="501"/>
      <c r="BJ207" s="501"/>
      <c r="BK207" s="501"/>
      <c r="BL207" s="501"/>
      <c r="BM207" s="501"/>
      <c r="BN207" s="501"/>
      <c r="BO207" s="501"/>
      <c r="BP207" s="501"/>
      <c r="BQ207" s="501"/>
      <c r="BR207" s="501"/>
      <c r="BS207" s="501"/>
      <c r="BT207" s="501"/>
      <c r="BU207" s="501"/>
      <c r="BV207" s="501"/>
      <c r="BW207" s="501"/>
      <c r="BX207" s="501"/>
      <c r="BY207" s="501"/>
      <c r="BZ207" s="501"/>
      <c r="CA207" s="501"/>
      <c r="CB207" s="501"/>
      <c r="CC207" s="501"/>
      <c r="CD207" s="501"/>
      <c r="CE207" s="501"/>
      <c r="CF207" s="501"/>
      <c r="CG207" s="501"/>
      <c r="CH207" s="501"/>
      <c r="CI207" s="501"/>
      <c r="CJ207" s="501"/>
      <c r="CK207" s="501"/>
      <c r="CL207" s="501"/>
      <c r="CM207" s="501"/>
      <c r="CN207" s="501"/>
      <c r="CO207" s="501"/>
      <c r="CP207" s="501"/>
      <c r="CQ207" s="501"/>
      <c r="CR207" s="501"/>
      <c r="CS207" s="501"/>
      <c r="CT207" s="501"/>
    </row>
    <row r="208">
      <c r="A208" s="569"/>
      <c r="B208" s="569"/>
      <c r="C208" s="569"/>
      <c r="D208" s="498"/>
      <c r="E208" s="499"/>
      <c r="F208" s="499"/>
      <c r="G208" s="766"/>
      <c r="H208" s="766"/>
      <c r="I208" s="766"/>
      <c r="J208" s="766"/>
      <c r="K208" s="683"/>
      <c r="L208" s="683"/>
      <c r="M208" s="683"/>
      <c r="N208" s="683"/>
      <c r="O208" s="683"/>
      <c r="P208" s="683"/>
      <c r="Q208" s="683"/>
      <c r="R208" s="683"/>
      <c r="S208" s="683"/>
      <c r="T208" s="501"/>
      <c r="U208" s="501"/>
      <c r="V208" s="501"/>
      <c r="W208" s="501"/>
      <c r="X208" s="501"/>
      <c r="Y208" s="501"/>
      <c r="Z208" s="501"/>
      <c r="AA208" s="501"/>
      <c r="AB208" s="501"/>
      <c r="AC208" s="501"/>
      <c r="AD208" s="501"/>
      <c r="AE208" s="501"/>
      <c r="AF208" s="501"/>
      <c r="AG208" s="501"/>
      <c r="AH208" s="501"/>
      <c r="AI208" s="501"/>
      <c r="AJ208" s="501"/>
      <c r="AK208" s="501"/>
      <c r="AL208" s="501"/>
      <c r="AM208" s="501"/>
      <c r="AN208" s="501"/>
      <c r="AO208" s="501"/>
      <c r="AP208" s="501"/>
      <c r="AQ208" s="501"/>
      <c r="AR208" s="501"/>
      <c r="AS208" s="501"/>
      <c r="AT208" s="501"/>
      <c r="AU208" s="501"/>
      <c r="AV208" s="501"/>
      <c r="AW208" s="501"/>
      <c r="AX208" s="501"/>
      <c r="AY208" s="501"/>
      <c r="AZ208" s="501"/>
      <c r="BA208" s="501"/>
      <c r="BB208" s="501"/>
      <c r="BC208" s="501"/>
      <c r="BD208" s="501"/>
      <c r="BE208" s="501"/>
      <c r="BF208" s="501"/>
      <c r="BG208" s="501"/>
      <c r="BH208" s="501"/>
      <c r="BI208" s="501"/>
      <c r="BJ208" s="501"/>
      <c r="BK208" s="501"/>
      <c r="BL208" s="501"/>
      <c r="BM208" s="501"/>
      <c r="BN208" s="501"/>
      <c r="BO208" s="501"/>
      <c r="BP208" s="501"/>
      <c r="BQ208" s="501"/>
      <c r="BR208" s="501"/>
      <c r="BS208" s="501"/>
      <c r="BT208" s="501"/>
      <c r="BU208" s="501"/>
      <c r="BV208" s="501"/>
      <c r="BW208" s="501"/>
      <c r="BX208" s="501"/>
      <c r="BY208" s="501"/>
      <c r="BZ208" s="501"/>
      <c r="CA208" s="501"/>
      <c r="CB208" s="501"/>
      <c r="CC208" s="501"/>
      <c r="CD208" s="501"/>
      <c r="CE208" s="501"/>
      <c r="CF208" s="501"/>
      <c r="CG208" s="501"/>
      <c r="CH208" s="501"/>
      <c r="CI208" s="501"/>
      <c r="CJ208" s="501"/>
      <c r="CK208" s="501"/>
      <c r="CL208" s="501"/>
      <c r="CM208" s="501"/>
      <c r="CN208" s="501"/>
      <c r="CO208" s="501"/>
      <c r="CP208" s="501"/>
      <c r="CQ208" s="501"/>
      <c r="CR208" s="501"/>
      <c r="CS208" s="501"/>
      <c r="CT208" s="501"/>
    </row>
    <row r="209">
      <c r="A209" s="569"/>
      <c r="B209" s="569"/>
      <c r="C209" s="569"/>
      <c r="D209" s="498"/>
      <c r="E209" s="499"/>
      <c r="F209" s="499"/>
      <c r="G209" s="766"/>
      <c r="H209" s="766"/>
      <c r="I209" s="766"/>
      <c r="J209" s="766"/>
      <c r="K209" s="683"/>
      <c r="L209" s="683"/>
      <c r="M209" s="683"/>
      <c r="N209" s="683"/>
      <c r="O209" s="683"/>
      <c r="P209" s="683"/>
      <c r="Q209" s="683"/>
      <c r="R209" s="683"/>
      <c r="S209" s="683"/>
      <c r="T209" s="501"/>
      <c r="U209" s="501"/>
      <c r="V209" s="501"/>
      <c r="W209" s="501"/>
      <c r="X209" s="501"/>
      <c r="Y209" s="501"/>
      <c r="Z209" s="501"/>
      <c r="AA209" s="501"/>
      <c r="AB209" s="501"/>
      <c r="AC209" s="501"/>
      <c r="AD209" s="501"/>
      <c r="AE209" s="501"/>
      <c r="AF209" s="501"/>
      <c r="AG209" s="501"/>
      <c r="AH209" s="501"/>
      <c r="AI209" s="501"/>
      <c r="AJ209" s="501"/>
      <c r="AK209" s="501"/>
      <c r="AL209" s="501"/>
      <c r="AM209" s="501"/>
      <c r="AN209" s="501"/>
      <c r="AO209" s="501"/>
      <c r="AP209" s="501"/>
      <c r="AQ209" s="501"/>
      <c r="AR209" s="501"/>
      <c r="AS209" s="501"/>
      <c r="AT209" s="501"/>
      <c r="AU209" s="501"/>
      <c r="AV209" s="501"/>
      <c r="AW209" s="501"/>
      <c r="AX209" s="501"/>
      <c r="AY209" s="501"/>
      <c r="AZ209" s="501"/>
      <c r="BA209" s="501"/>
      <c r="BB209" s="501"/>
      <c r="BC209" s="501"/>
      <c r="BD209" s="501"/>
      <c r="BE209" s="501"/>
      <c r="BF209" s="501"/>
      <c r="BG209" s="501"/>
      <c r="BH209" s="501"/>
      <c r="BI209" s="501"/>
      <c r="BJ209" s="501"/>
      <c r="BK209" s="501"/>
      <c r="BL209" s="501"/>
      <c r="BM209" s="501"/>
      <c r="BN209" s="501"/>
      <c r="BO209" s="501"/>
      <c r="BP209" s="501"/>
      <c r="BQ209" s="501"/>
      <c r="BR209" s="501"/>
      <c r="BS209" s="501"/>
      <c r="BT209" s="501"/>
      <c r="BU209" s="501"/>
      <c r="BV209" s="501"/>
      <c r="BW209" s="501"/>
      <c r="BX209" s="501"/>
      <c r="BY209" s="501"/>
      <c r="BZ209" s="501"/>
      <c r="CA209" s="501"/>
      <c r="CB209" s="501"/>
      <c r="CC209" s="501"/>
      <c r="CD209" s="501"/>
      <c r="CE209" s="501"/>
      <c r="CF209" s="501"/>
      <c r="CG209" s="501"/>
      <c r="CH209" s="501"/>
      <c r="CI209" s="501"/>
      <c r="CJ209" s="501"/>
      <c r="CK209" s="501"/>
      <c r="CL209" s="501"/>
      <c r="CM209" s="501"/>
      <c r="CN209" s="501"/>
      <c r="CO209" s="501"/>
      <c r="CP209" s="501"/>
      <c r="CQ209" s="501"/>
      <c r="CR209" s="501"/>
      <c r="CS209" s="501"/>
      <c r="CT209" s="501"/>
    </row>
    <row r="210">
      <c r="A210" s="569"/>
      <c r="B210" s="569"/>
      <c r="C210" s="569"/>
      <c r="D210" s="498"/>
      <c r="E210" s="499"/>
      <c r="F210" s="499"/>
      <c r="G210" s="766"/>
      <c r="H210" s="766"/>
      <c r="I210" s="766"/>
      <c r="J210" s="766"/>
      <c r="K210" s="683"/>
      <c r="L210" s="683"/>
      <c r="M210" s="683"/>
      <c r="N210" s="683"/>
      <c r="O210" s="683"/>
      <c r="P210" s="683"/>
      <c r="Q210" s="683"/>
      <c r="R210" s="683"/>
      <c r="S210" s="683"/>
      <c r="T210" s="501"/>
      <c r="U210" s="501"/>
      <c r="V210" s="501"/>
      <c r="W210" s="501"/>
      <c r="X210" s="501"/>
      <c r="Y210" s="501"/>
      <c r="Z210" s="501"/>
      <c r="AA210" s="501"/>
      <c r="AB210" s="501"/>
      <c r="AC210" s="501"/>
      <c r="AD210" s="501"/>
      <c r="AE210" s="501"/>
      <c r="AF210" s="501"/>
      <c r="AG210" s="501"/>
      <c r="AH210" s="501"/>
      <c r="AI210" s="501"/>
      <c r="AJ210" s="501"/>
      <c r="AK210" s="501"/>
      <c r="AL210" s="501"/>
      <c r="AM210" s="501"/>
      <c r="AN210" s="501"/>
      <c r="AO210" s="501"/>
      <c r="AP210" s="501"/>
      <c r="AQ210" s="501"/>
      <c r="AR210" s="501"/>
      <c r="AS210" s="501"/>
      <c r="AT210" s="501"/>
      <c r="AU210" s="501"/>
      <c r="AV210" s="501"/>
      <c r="AW210" s="501"/>
      <c r="AX210" s="501"/>
      <c r="AY210" s="501"/>
      <c r="AZ210" s="501"/>
      <c r="BA210" s="501"/>
      <c r="BB210" s="501"/>
      <c r="BC210" s="501"/>
      <c r="BD210" s="501"/>
      <c r="BE210" s="501"/>
      <c r="BF210" s="501"/>
      <c r="BG210" s="501"/>
      <c r="BH210" s="501"/>
      <c r="BI210" s="501"/>
      <c r="BJ210" s="501"/>
      <c r="BK210" s="501"/>
      <c r="BL210" s="501"/>
      <c r="BM210" s="501"/>
      <c r="BN210" s="501"/>
      <c r="BO210" s="501"/>
      <c r="BP210" s="501"/>
      <c r="BQ210" s="501"/>
      <c r="BR210" s="501"/>
      <c r="BS210" s="501"/>
      <c r="BT210" s="501"/>
      <c r="BU210" s="501"/>
      <c r="BV210" s="501"/>
      <c r="BW210" s="501"/>
      <c r="BX210" s="501"/>
      <c r="BY210" s="501"/>
      <c r="BZ210" s="501"/>
      <c r="CA210" s="501"/>
      <c r="CB210" s="501"/>
      <c r="CC210" s="501"/>
      <c r="CD210" s="501"/>
      <c r="CE210" s="501"/>
      <c r="CF210" s="501"/>
      <c r="CG210" s="501"/>
      <c r="CH210" s="501"/>
      <c r="CI210" s="501"/>
      <c r="CJ210" s="501"/>
      <c r="CK210" s="501"/>
      <c r="CL210" s="501"/>
      <c r="CM210" s="501"/>
      <c r="CN210" s="501"/>
      <c r="CO210" s="501"/>
      <c r="CP210" s="501"/>
      <c r="CQ210" s="501"/>
      <c r="CR210" s="501"/>
      <c r="CS210" s="501"/>
      <c r="CT210" s="501"/>
    </row>
    <row r="211">
      <c r="A211" s="569"/>
      <c r="B211" s="569"/>
      <c r="C211" s="569"/>
      <c r="D211" s="498"/>
      <c r="E211" s="499"/>
      <c r="F211" s="499"/>
      <c r="G211" s="766"/>
      <c r="H211" s="766"/>
      <c r="I211" s="766"/>
      <c r="J211" s="766"/>
      <c r="K211" s="683"/>
      <c r="L211" s="683"/>
      <c r="M211" s="683"/>
      <c r="N211" s="683"/>
      <c r="O211" s="683"/>
      <c r="P211" s="683"/>
      <c r="Q211" s="683"/>
      <c r="R211" s="683"/>
      <c r="S211" s="683"/>
      <c r="T211" s="501"/>
      <c r="U211" s="501"/>
      <c r="V211" s="501"/>
      <c r="W211" s="501"/>
      <c r="X211" s="501"/>
      <c r="Y211" s="501"/>
      <c r="Z211" s="501"/>
      <c r="AA211" s="501"/>
      <c r="AB211" s="501"/>
      <c r="AC211" s="501"/>
      <c r="AD211" s="501"/>
      <c r="AE211" s="501"/>
      <c r="AF211" s="501"/>
      <c r="AG211" s="501"/>
      <c r="AH211" s="501"/>
      <c r="AI211" s="501"/>
      <c r="AJ211" s="501"/>
      <c r="AK211" s="501"/>
      <c r="AL211" s="501"/>
      <c r="AM211" s="501"/>
      <c r="AN211" s="501"/>
      <c r="AO211" s="501"/>
      <c r="AP211" s="501"/>
      <c r="AQ211" s="501"/>
      <c r="AR211" s="501"/>
      <c r="AS211" s="501"/>
      <c r="AT211" s="501"/>
      <c r="AU211" s="501"/>
      <c r="AV211" s="501"/>
      <c r="AW211" s="501"/>
      <c r="AX211" s="501"/>
      <c r="AY211" s="501"/>
      <c r="AZ211" s="501"/>
      <c r="BA211" s="501"/>
      <c r="BB211" s="501"/>
      <c r="BC211" s="501"/>
      <c r="BD211" s="501"/>
      <c r="BE211" s="501"/>
      <c r="BF211" s="501"/>
      <c r="BG211" s="501"/>
      <c r="BH211" s="501"/>
      <c r="BI211" s="501"/>
      <c r="BJ211" s="501"/>
      <c r="BK211" s="501"/>
      <c r="BL211" s="501"/>
      <c r="BM211" s="501"/>
      <c r="BN211" s="501"/>
      <c r="BO211" s="501"/>
      <c r="BP211" s="501"/>
      <c r="BQ211" s="501"/>
      <c r="BR211" s="501"/>
      <c r="BS211" s="501"/>
      <c r="BT211" s="501"/>
      <c r="BU211" s="501"/>
      <c r="BV211" s="501"/>
      <c r="BW211" s="501"/>
      <c r="BX211" s="501"/>
      <c r="BY211" s="501"/>
      <c r="BZ211" s="501"/>
      <c r="CA211" s="501"/>
      <c r="CB211" s="501"/>
      <c r="CC211" s="501"/>
      <c r="CD211" s="501"/>
      <c r="CE211" s="501"/>
      <c r="CF211" s="501"/>
      <c r="CG211" s="501"/>
      <c r="CH211" s="501"/>
      <c r="CI211" s="501"/>
      <c r="CJ211" s="501"/>
      <c r="CK211" s="501"/>
      <c r="CL211" s="501"/>
      <c r="CM211" s="501"/>
      <c r="CN211" s="501"/>
      <c r="CO211" s="501"/>
      <c r="CP211" s="501"/>
      <c r="CQ211" s="501"/>
      <c r="CR211" s="501"/>
      <c r="CS211" s="501"/>
      <c r="CT211" s="501"/>
    </row>
    <row r="212">
      <c r="A212" s="569"/>
      <c r="B212" s="569"/>
      <c r="C212" s="569"/>
      <c r="D212" s="498"/>
      <c r="E212" s="499"/>
      <c r="F212" s="499"/>
      <c r="G212" s="766"/>
      <c r="H212" s="766"/>
      <c r="I212" s="766"/>
      <c r="J212" s="766"/>
      <c r="K212" s="683"/>
      <c r="L212" s="683"/>
      <c r="M212" s="683"/>
      <c r="N212" s="683"/>
      <c r="O212" s="683"/>
      <c r="P212" s="683"/>
      <c r="Q212" s="683"/>
      <c r="R212" s="683"/>
      <c r="S212" s="683"/>
      <c r="T212" s="501"/>
      <c r="U212" s="501"/>
      <c r="V212" s="501"/>
      <c r="W212" s="501"/>
      <c r="X212" s="501"/>
      <c r="Y212" s="501"/>
      <c r="Z212" s="501"/>
      <c r="AA212" s="501"/>
      <c r="AB212" s="501"/>
      <c r="AC212" s="501"/>
      <c r="AD212" s="501"/>
      <c r="AE212" s="501"/>
      <c r="AF212" s="501"/>
      <c r="AG212" s="501"/>
      <c r="AH212" s="501"/>
      <c r="AI212" s="501"/>
      <c r="AJ212" s="501"/>
      <c r="AK212" s="501"/>
      <c r="AL212" s="501"/>
      <c r="AM212" s="501"/>
      <c r="AN212" s="501"/>
      <c r="AO212" s="501"/>
      <c r="AP212" s="501"/>
      <c r="AQ212" s="501"/>
      <c r="AR212" s="501"/>
      <c r="AS212" s="501"/>
      <c r="AT212" s="501"/>
      <c r="AU212" s="501"/>
      <c r="AV212" s="501"/>
      <c r="AW212" s="501"/>
      <c r="AX212" s="501"/>
      <c r="AY212" s="501"/>
      <c r="AZ212" s="501"/>
      <c r="BA212" s="501"/>
      <c r="BB212" s="501"/>
      <c r="BC212" s="501"/>
      <c r="BD212" s="501"/>
      <c r="BE212" s="501"/>
      <c r="BF212" s="501"/>
      <c r="BG212" s="501"/>
      <c r="BH212" s="501"/>
      <c r="BI212" s="501"/>
      <c r="BJ212" s="501"/>
      <c r="BK212" s="501"/>
      <c r="BL212" s="501"/>
      <c r="BM212" s="501"/>
      <c r="BN212" s="501"/>
      <c r="BO212" s="501"/>
      <c r="BP212" s="501"/>
      <c r="BQ212" s="501"/>
      <c r="BR212" s="501"/>
      <c r="BS212" s="501"/>
      <c r="BT212" s="501"/>
      <c r="BU212" s="501"/>
      <c r="BV212" s="501"/>
      <c r="BW212" s="501"/>
      <c r="BX212" s="501"/>
      <c r="BY212" s="501"/>
      <c r="BZ212" s="501"/>
      <c r="CA212" s="501"/>
      <c r="CB212" s="501"/>
      <c r="CC212" s="501"/>
      <c r="CD212" s="501"/>
      <c r="CE212" s="501"/>
      <c r="CF212" s="501"/>
      <c r="CG212" s="501"/>
      <c r="CH212" s="501"/>
      <c r="CI212" s="501"/>
      <c r="CJ212" s="501"/>
      <c r="CK212" s="501"/>
      <c r="CL212" s="501"/>
      <c r="CM212" s="501"/>
      <c r="CN212" s="501"/>
      <c r="CO212" s="501"/>
      <c r="CP212" s="501"/>
      <c r="CQ212" s="501"/>
      <c r="CR212" s="501"/>
      <c r="CS212" s="501"/>
      <c r="CT212" s="501"/>
    </row>
    <row r="213">
      <c r="A213" s="569"/>
      <c r="B213" s="569"/>
      <c r="C213" s="569"/>
      <c r="D213" s="498"/>
      <c r="E213" s="499"/>
      <c r="F213" s="499"/>
      <c r="G213" s="766"/>
      <c r="H213" s="766"/>
      <c r="I213" s="766"/>
      <c r="J213" s="766"/>
      <c r="K213" s="683"/>
      <c r="L213" s="683"/>
      <c r="M213" s="683"/>
      <c r="N213" s="683"/>
      <c r="O213" s="683"/>
      <c r="P213" s="683"/>
      <c r="Q213" s="683"/>
      <c r="R213" s="683"/>
      <c r="S213" s="683"/>
      <c r="T213" s="501"/>
      <c r="U213" s="501"/>
      <c r="V213" s="501"/>
      <c r="W213" s="501"/>
      <c r="X213" s="501"/>
      <c r="Y213" s="501"/>
      <c r="Z213" s="501"/>
      <c r="AA213" s="501"/>
      <c r="AB213" s="501"/>
      <c r="AC213" s="501"/>
      <c r="AD213" s="501"/>
      <c r="AE213" s="501"/>
      <c r="AF213" s="501"/>
      <c r="AG213" s="501"/>
      <c r="AH213" s="501"/>
      <c r="AI213" s="501"/>
      <c r="AJ213" s="501"/>
      <c r="AK213" s="501"/>
      <c r="AL213" s="501"/>
      <c r="AM213" s="501"/>
      <c r="AN213" s="501"/>
      <c r="AO213" s="501"/>
      <c r="AP213" s="501"/>
      <c r="AQ213" s="501"/>
      <c r="AR213" s="501"/>
      <c r="AS213" s="501"/>
      <c r="AT213" s="501"/>
      <c r="AU213" s="501"/>
      <c r="AV213" s="501"/>
      <c r="AW213" s="501"/>
      <c r="AX213" s="501"/>
      <c r="AY213" s="501"/>
      <c r="AZ213" s="501"/>
      <c r="BA213" s="501"/>
      <c r="BB213" s="501"/>
      <c r="BC213" s="501"/>
      <c r="BD213" s="501"/>
      <c r="BE213" s="501"/>
      <c r="BF213" s="501"/>
      <c r="BG213" s="501"/>
      <c r="BH213" s="501"/>
      <c r="BI213" s="501"/>
      <c r="BJ213" s="501"/>
      <c r="BK213" s="501"/>
      <c r="BL213" s="501"/>
      <c r="BM213" s="501"/>
      <c r="BN213" s="501"/>
      <c r="BO213" s="501"/>
      <c r="BP213" s="501"/>
      <c r="BQ213" s="501"/>
      <c r="BR213" s="501"/>
      <c r="BS213" s="501"/>
      <c r="BT213" s="501"/>
      <c r="BU213" s="501"/>
      <c r="BV213" s="501"/>
      <c r="BW213" s="501"/>
      <c r="BX213" s="501"/>
      <c r="BY213" s="501"/>
      <c r="BZ213" s="501"/>
      <c r="CA213" s="501"/>
      <c r="CB213" s="501"/>
      <c r="CC213" s="501"/>
      <c r="CD213" s="501"/>
      <c r="CE213" s="501"/>
      <c r="CF213" s="501"/>
      <c r="CG213" s="501"/>
      <c r="CH213" s="501"/>
      <c r="CI213" s="501"/>
      <c r="CJ213" s="501"/>
      <c r="CK213" s="501"/>
      <c r="CL213" s="501"/>
      <c r="CM213" s="501"/>
      <c r="CN213" s="501"/>
      <c r="CO213" s="501"/>
      <c r="CP213" s="501"/>
      <c r="CQ213" s="501"/>
      <c r="CR213" s="501"/>
      <c r="CS213" s="501"/>
      <c r="CT213" s="501"/>
    </row>
    <row r="214">
      <c r="A214" s="569"/>
      <c r="B214" s="569"/>
      <c r="C214" s="569"/>
      <c r="D214" s="498"/>
      <c r="E214" s="499"/>
      <c r="F214" s="499"/>
      <c r="G214" s="766"/>
      <c r="H214" s="766"/>
      <c r="I214" s="766"/>
      <c r="J214" s="766"/>
      <c r="K214" s="683"/>
      <c r="L214" s="683"/>
      <c r="M214" s="683"/>
      <c r="N214" s="683"/>
      <c r="O214" s="683"/>
      <c r="P214" s="683"/>
      <c r="Q214" s="683"/>
      <c r="R214" s="683"/>
      <c r="S214" s="683"/>
      <c r="T214" s="501"/>
      <c r="U214" s="501"/>
      <c r="V214" s="501"/>
      <c r="W214" s="501"/>
      <c r="X214" s="501"/>
      <c r="Y214" s="501"/>
      <c r="Z214" s="501"/>
      <c r="AA214" s="501"/>
      <c r="AB214" s="501"/>
      <c r="AC214" s="501"/>
      <c r="AD214" s="501"/>
      <c r="AE214" s="501"/>
      <c r="AF214" s="501"/>
      <c r="AG214" s="501"/>
      <c r="AH214" s="501"/>
      <c r="AI214" s="501"/>
      <c r="AJ214" s="501"/>
      <c r="AK214" s="501"/>
      <c r="AL214" s="501"/>
      <c r="AM214" s="501"/>
      <c r="AN214" s="501"/>
      <c r="AO214" s="501"/>
      <c r="AP214" s="501"/>
      <c r="AQ214" s="501"/>
      <c r="AR214" s="501"/>
      <c r="AS214" s="501"/>
      <c r="AT214" s="501"/>
      <c r="AU214" s="501"/>
      <c r="AV214" s="501"/>
      <c r="AW214" s="501"/>
      <c r="AX214" s="501"/>
      <c r="AY214" s="501"/>
      <c r="AZ214" s="501"/>
      <c r="BA214" s="501"/>
      <c r="BB214" s="501"/>
      <c r="BC214" s="501"/>
      <c r="BD214" s="501"/>
      <c r="BE214" s="501"/>
      <c r="BF214" s="501"/>
      <c r="BG214" s="501"/>
      <c r="BH214" s="501"/>
      <c r="BI214" s="501"/>
      <c r="BJ214" s="501"/>
      <c r="BK214" s="501"/>
      <c r="BL214" s="501"/>
      <c r="BM214" s="501"/>
      <c r="BN214" s="501"/>
      <c r="BO214" s="501"/>
      <c r="BP214" s="501"/>
      <c r="BQ214" s="501"/>
      <c r="BR214" s="501"/>
      <c r="BS214" s="501"/>
      <c r="BT214" s="501"/>
      <c r="BU214" s="501"/>
      <c r="BV214" s="501"/>
      <c r="BW214" s="501"/>
      <c r="BX214" s="501"/>
      <c r="BY214" s="501"/>
      <c r="BZ214" s="501"/>
      <c r="CA214" s="501"/>
      <c r="CB214" s="501"/>
      <c r="CC214" s="501"/>
      <c r="CD214" s="501"/>
      <c r="CE214" s="501"/>
      <c r="CF214" s="501"/>
      <c r="CG214" s="501"/>
      <c r="CH214" s="501"/>
      <c r="CI214" s="501"/>
      <c r="CJ214" s="501"/>
      <c r="CK214" s="501"/>
      <c r="CL214" s="501"/>
      <c r="CM214" s="501"/>
      <c r="CN214" s="501"/>
      <c r="CO214" s="501"/>
      <c r="CP214" s="501"/>
      <c r="CQ214" s="501"/>
      <c r="CR214" s="501"/>
      <c r="CS214" s="501"/>
      <c r="CT214" s="501"/>
    </row>
    <row r="215">
      <c r="A215" s="569"/>
      <c r="B215" s="569"/>
      <c r="C215" s="569"/>
      <c r="D215" s="498"/>
      <c r="E215" s="499"/>
      <c r="F215" s="499"/>
      <c r="G215" s="766"/>
      <c r="H215" s="766"/>
      <c r="I215" s="766"/>
      <c r="J215" s="766"/>
      <c r="K215" s="683"/>
      <c r="L215" s="683"/>
      <c r="M215" s="683"/>
      <c r="N215" s="683"/>
      <c r="O215" s="683"/>
      <c r="P215" s="683"/>
      <c r="Q215" s="683"/>
      <c r="R215" s="683"/>
      <c r="S215" s="683"/>
      <c r="T215" s="501"/>
      <c r="U215" s="501"/>
      <c r="V215" s="501"/>
      <c r="W215" s="501"/>
      <c r="X215" s="501"/>
      <c r="Y215" s="501"/>
      <c r="Z215" s="501"/>
      <c r="AA215" s="501"/>
      <c r="AB215" s="501"/>
      <c r="AC215" s="501"/>
      <c r="AD215" s="501"/>
      <c r="AE215" s="501"/>
      <c r="AF215" s="501"/>
      <c r="AG215" s="501"/>
      <c r="AH215" s="501"/>
      <c r="AI215" s="501"/>
      <c r="AJ215" s="501"/>
      <c r="AK215" s="501"/>
      <c r="AL215" s="501"/>
      <c r="AM215" s="501"/>
      <c r="AN215" s="501"/>
      <c r="AO215" s="501"/>
      <c r="AP215" s="501"/>
      <c r="AQ215" s="501"/>
      <c r="AR215" s="501"/>
      <c r="AS215" s="501"/>
      <c r="AT215" s="501"/>
      <c r="AU215" s="501"/>
      <c r="AV215" s="501"/>
      <c r="AW215" s="501"/>
      <c r="AX215" s="501"/>
      <c r="AY215" s="501"/>
      <c r="AZ215" s="501"/>
      <c r="BA215" s="501"/>
      <c r="BB215" s="501"/>
      <c r="BC215" s="501"/>
      <c r="BD215" s="501"/>
      <c r="BE215" s="501"/>
      <c r="BF215" s="501"/>
      <c r="BG215" s="501"/>
      <c r="BH215" s="501"/>
      <c r="BI215" s="501"/>
      <c r="BJ215" s="501"/>
      <c r="BK215" s="501"/>
      <c r="BL215" s="501"/>
      <c r="BM215" s="501"/>
      <c r="BN215" s="501"/>
      <c r="BO215" s="501"/>
      <c r="BP215" s="501"/>
      <c r="BQ215" s="501"/>
      <c r="BR215" s="501"/>
      <c r="BS215" s="501"/>
      <c r="BT215" s="501"/>
      <c r="BU215" s="501"/>
      <c r="BV215" s="501"/>
      <c r="BW215" s="501"/>
      <c r="BX215" s="501"/>
      <c r="BY215" s="501"/>
      <c r="BZ215" s="501"/>
      <c r="CA215" s="501"/>
      <c r="CB215" s="501"/>
      <c r="CC215" s="501"/>
      <c r="CD215" s="501"/>
      <c r="CE215" s="501"/>
      <c r="CF215" s="501"/>
      <c r="CG215" s="501"/>
      <c r="CH215" s="501"/>
      <c r="CI215" s="501"/>
      <c r="CJ215" s="501"/>
      <c r="CK215" s="501"/>
      <c r="CL215" s="501"/>
      <c r="CM215" s="501"/>
      <c r="CN215" s="501"/>
      <c r="CO215" s="501"/>
      <c r="CP215" s="501"/>
      <c r="CQ215" s="501"/>
      <c r="CR215" s="501"/>
      <c r="CS215" s="501"/>
      <c r="CT215" s="501"/>
    </row>
    <row r="216">
      <c r="A216" s="569"/>
      <c r="B216" s="569"/>
      <c r="C216" s="569"/>
      <c r="D216" s="498"/>
      <c r="E216" s="499"/>
      <c r="F216" s="499"/>
      <c r="G216" s="766"/>
      <c r="H216" s="766"/>
      <c r="I216" s="766"/>
      <c r="J216" s="766"/>
      <c r="K216" s="683"/>
      <c r="L216" s="683"/>
      <c r="M216" s="683"/>
      <c r="N216" s="683"/>
      <c r="O216" s="683"/>
      <c r="P216" s="683"/>
      <c r="Q216" s="683"/>
      <c r="R216" s="683"/>
      <c r="S216" s="683"/>
      <c r="T216" s="501"/>
      <c r="U216" s="501"/>
      <c r="V216" s="501"/>
      <c r="W216" s="501"/>
      <c r="X216" s="501"/>
      <c r="Y216" s="501"/>
      <c r="Z216" s="501"/>
      <c r="AA216" s="501"/>
      <c r="AB216" s="501"/>
      <c r="AC216" s="501"/>
      <c r="AD216" s="501"/>
      <c r="AE216" s="501"/>
      <c r="AF216" s="501"/>
      <c r="AG216" s="501"/>
      <c r="AH216" s="501"/>
      <c r="AI216" s="501"/>
      <c r="AJ216" s="501"/>
      <c r="AK216" s="501"/>
      <c r="AL216" s="501"/>
      <c r="AM216" s="501"/>
      <c r="AN216" s="501"/>
      <c r="AO216" s="501"/>
      <c r="AP216" s="501"/>
      <c r="AQ216" s="501"/>
      <c r="AR216" s="501"/>
      <c r="AS216" s="501"/>
      <c r="AT216" s="501"/>
      <c r="AU216" s="501"/>
      <c r="AV216" s="501"/>
      <c r="AW216" s="501"/>
      <c r="AX216" s="501"/>
      <c r="AY216" s="501"/>
      <c r="AZ216" s="501"/>
      <c r="BA216" s="501"/>
      <c r="BB216" s="501"/>
      <c r="BC216" s="501"/>
      <c r="BD216" s="501"/>
      <c r="BE216" s="501"/>
      <c r="BF216" s="501"/>
      <c r="BG216" s="501"/>
      <c r="BH216" s="501"/>
      <c r="BI216" s="501"/>
      <c r="BJ216" s="501"/>
      <c r="BK216" s="501"/>
      <c r="BL216" s="501"/>
      <c r="BM216" s="501"/>
      <c r="BN216" s="501"/>
      <c r="BO216" s="501"/>
      <c r="BP216" s="501"/>
      <c r="BQ216" s="501"/>
      <c r="BR216" s="501"/>
      <c r="BS216" s="501"/>
      <c r="BT216" s="501"/>
      <c r="BU216" s="501"/>
      <c r="BV216" s="501"/>
      <c r="BW216" s="501"/>
      <c r="BX216" s="501"/>
      <c r="BY216" s="501"/>
      <c r="BZ216" s="501"/>
      <c r="CA216" s="501"/>
      <c r="CB216" s="501"/>
      <c r="CC216" s="501"/>
      <c r="CD216" s="501"/>
      <c r="CE216" s="501"/>
      <c r="CF216" s="501"/>
      <c r="CG216" s="501"/>
      <c r="CH216" s="501"/>
      <c r="CI216" s="501"/>
      <c r="CJ216" s="501"/>
      <c r="CK216" s="501"/>
      <c r="CL216" s="501"/>
      <c r="CM216" s="501"/>
      <c r="CN216" s="501"/>
      <c r="CO216" s="501"/>
      <c r="CP216" s="501"/>
      <c r="CQ216" s="501"/>
      <c r="CR216" s="501"/>
      <c r="CS216" s="501"/>
      <c r="CT216" s="501"/>
    </row>
    <row r="217">
      <c r="A217" s="569"/>
      <c r="B217" s="569"/>
      <c r="C217" s="569"/>
      <c r="D217" s="498"/>
      <c r="E217" s="499"/>
      <c r="F217" s="499"/>
      <c r="G217" s="766"/>
      <c r="H217" s="766"/>
      <c r="I217" s="766"/>
      <c r="J217" s="766"/>
      <c r="K217" s="683"/>
      <c r="L217" s="683"/>
      <c r="M217" s="683"/>
      <c r="N217" s="683"/>
      <c r="O217" s="683"/>
      <c r="P217" s="683"/>
      <c r="Q217" s="683"/>
      <c r="R217" s="683"/>
      <c r="S217" s="683"/>
      <c r="T217" s="501"/>
      <c r="U217" s="501"/>
      <c r="V217" s="501"/>
      <c r="W217" s="501"/>
      <c r="X217" s="501"/>
      <c r="Y217" s="501"/>
      <c r="Z217" s="501"/>
      <c r="AA217" s="501"/>
      <c r="AB217" s="501"/>
      <c r="AC217" s="501"/>
      <c r="AD217" s="501"/>
      <c r="AE217" s="501"/>
      <c r="AF217" s="501"/>
      <c r="AG217" s="501"/>
      <c r="AH217" s="501"/>
      <c r="AI217" s="501"/>
      <c r="AJ217" s="501"/>
      <c r="AK217" s="501"/>
      <c r="AL217" s="501"/>
      <c r="AM217" s="501"/>
      <c r="AN217" s="501"/>
      <c r="AO217" s="501"/>
      <c r="AP217" s="501"/>
      <c r="AQ217" s="501"/>
      <c r="AR217" s="501"/>
      <c r="AS217" s="501"/>
      <c r="AT217" s="501"/>
      <c r="AU217" s="501"/>
      <c r="AV217" s="501"/>
      <c r="AW217" s="501"/>
      <c r="AX217" s="501"/>
      <c r="AY217" s="501"/>
      <c r="AZ217" s="501"/>
      <c r="BA217" s="501"/>
      <c r="BB217" s="501"/>
      <c r="BC217" s="501"/>
      <c r="BD217" s="501"/>
      <c r="BE217" s="501"/>
      <c r="BF217" s="501"/>
      <c r="BG217" s="501"/>
      <c r="BH217" s="501"/>
      <c r="BI217" s="501"/>
      <c r="BJ217" s="501"/>
      <c r="BK217" s="501"/>
      <c r="BL217" s="501"/>
      <c r="BM217" s="501"/>
      <c r="BN217" s="501"/>
      <c r="BO217" s="501"/>
      <c r="BP217" s="501"/>
      <c r="BQ217" s="501"/>
      <c r="BR217" s="501"/>
      <c r="BS217" s="501"/>
      <c r="BT217" s="501"/>
      <c r="BU217" s="501"/>
      <c r="BV217" s="501"/>
      <c r="BW217" s="501"/>
      <c r="BX217" s="501"/>
      <c r="BY217" s="501"/>
      <c r="BZ217" s="501"/>
      <c r="CA217" s="501"/>
      <c r="CB217" s="501"/>
      <c r="CC217" s="501"/>
      <c r="CD217" s="501"/>
      <c r="CE217" s="501"/>
      <c r="CF217" s="501"/>
      <c r="CG217" s="501"/>
      <c r="CH217" s="501"/>
      <c r="CI217" s="501"/>
      <c r="CJ217" s="501"/>
      <c r="CK217" s="501"/>
      <c r="CL217" s="501"/>
      <c r="CM217" s="501"/>
      <c r="CN217" s="501"/>
      <c r="CO217" s="501"/>
      <c r="CP217" s="501"/>
      <c r="CQ217" s="501"/>
      <c r="CR217" s="501"/>
      <c r="CS217" s="501"/>
      <c r="CT217" s="501"/>
    </row>
    <row r="218">
      <c r="A218" s="569"/>
      <c r="B218" s="569"/>
      <c r="C218" s="569"/>
      <c r="D218" s="498"/>
      <c r="E218" s="499"/>
      <c r="F218" s="499"/>
      <c r="G218" s="766"/>
      <c r="H218" s="766"/>
      <c r="I218" s="766"/>
      <c r="J218" s="766"/>
      <c r="K218" s="683"/>
      <c r="L218" s="683"/>
      <c r="M218" s="683"/>
      <c r="N218" s="683"/>
      <c r="O218" s="683"/>
      <c r="P218" s="683"/>
      <c r="Q218" s="683"/>
      <c r="R218" s="683"/>
      <c r="S218" s="683"/>
      <c r="T218" s="501"/>
      <c r="U218" s="501"/>
      <c r="V218" s="501"/>
      <c r="W218" s="501"/>
      <c r="X218" s="501"/>
      <c r="Y218" s="501"/>
      <c r="Z218" s="501"/>
      <c r="AA218" s="501"/>
      <c r="AB218" s="501"/>
      <c r="AC218" s="501"/>
      <c r="AD218" s="501"/>
      <c r="AE218" s="501"/>
      <c r="AF218" s="501"/>
      <c r="AG218" s="501"/>
      <c r="AH218" s="501"/>
      <c r="AI218" s="501"/>
      <c r="AJ218" s="501"/>
      <c r="AK218" s="501"/>
      <c r="AL218" s="501"/>
      <c r="AM218" s="501"/>
      <c r="AN218" s="501"/>
      <c r="AO218" s="501"/>
      <c r="AP218" s="501"/>
      <c r="AQ218" s="501"/>
      <c r="AR218" s="501"/>
      <c r="AS218" s="501"/>
      <c r="AT218" s="501"/>
      <c r="AU218" s="501"/>
      <c r="AV218" s="501"/>
      <c r="AW218" s="501"/>
      <c r="AX218" s="501"/>
      <c r="AY218" s="501"/>
      <c r="AZ218" s="501"/>
      <c r="BA218" s="501"/>
      <c r="BB218" s="501"/>
      <c r="BC218" s="501"/>
      <c r="BD218" s="501"/>
      <c r="BE218" s="501"/>
      <c r="BF218" s="501"/>
      <c r="BG218" s="501"/>
      <c r="BH218" s="501"/>
      <c r="BI218" s="501"/>
      <c r="BJ218" s="501"/>
      <c r="BK218" s="501"/>
      <c r="BL218" s="501"/>
      <c r="BM218" s="501"/>
      <c r="BN218" s="501"/>
      <c r="BO218" s="501"/>
      <c r="BP218" s="501"/>
      <c r="BQ218" s="501"/>
      <c r="BR218" s="501"/>
      <c r="BS218" s="501"/>
      <c r="BT218" s="501"/>
      <c r="BU218" s="501"/>
      <c r="BV218" s="501"/>
      <c r="BW218" s="501"/>
      <c r="BX218" s="501"/>
      <c r="BY218" s="501"/>
      <c r="BZ218" s="501"/>
      <c r="CA218" s="501"/>
      <c r="CB218" s="501"/>
      <c r="CC218" s="501"/>
      <c r="CD218" s="501"/>
      <c r="CE218" s="501"/>
      <c r="CF218" s="501"/>
      <c r="CG218" s="501"/>
      <c r="CH218" s="501"/>
      <c r="CI218" s="501"/>
      <c r="CJ218" s="501"/>
      <c r="CK218" s="501"/>
      <c r="CL218" s="501"/>
      <c r="CM218" s="501"/>
      <c r="CN218" s="501"/>
      <c r="CO218" s="501"/>
      <c r="CP218" s="501"/>
      <c r="CQ218" s="501"/>
      <c r="CR218" s="501"/>
      <c r="CS218" s="501"/>
      <c r="CT218" s="501"/>
    </row>
    <row r="219">
      <c r="A219" s="569"/>
      <c r="B219" s="569"/>
      <c r="C219" s="569"/>
      <c r="D219" s="498"/>
      <c r="E219" s="499"/>
      <c r="F219" s="499"/>
      <c r="G219" s="766"/>
      <c r="H219" s="766"/>
      <c r="I219" s="766"/>
      <c r="J219" s="766"/>
      <c r="K219" s="683"/>
      <c r="L219" s="683"/>
      <c r="M219" s="683"/>
      <c r="N219" s="683"/>
      <c r="O219" s="683"/>
      <c r="P219" s="683"/>
      <c r="Q219" s="683"/>
      <c r="R219" s="683"/>
      <c r="S219" s="683"/>
      <c r="T219" s="501"/>
      <c r="U219" s="501"/>
      <c r="V219" s="501"/>
      <c r="W219" s="501"/>
      <c r="X219" s="501"/>
      <c r="Y219" s="501"/>
      <c r="Z219" s="501"/>
      <c r="AA219" s="501"/>
      <c r="AB219" s="501"/>
      <c r="AC219" s="501"/>
      <c r="AD219" s="501"/>
      <c r="AE219" s="501"/>
      <c r="AF219" s="501"/>
      <c r="AG219" s="501"/>
      <c r="AH219" s="501"/>
      <c r="AI219" s="501"/>
      <c r="AJ219" s="501"/>
      <c r="AK219" s="501"/>
      <c r="AL219" s="501"/>
      <c r="AM219" s="501"/>
      <c r="AN219" s="501"/>
      <c r="AO219" s="501"/>
      <c r="AP219" s="501"/>
      <c r="AQ219" s="501"/>
      <c r="AR219" s="501"/>
      <c r="AS219" s="501"/>
      <c r="AT219" s="501"/>
      <c r="AU219" s="501"/>
      <c r="AV219" s="501"/>
      <c r="AW219" s="501"/>
      <c r="AX219" s="501"/>
      <c r="AY219" s="501"/>
      <c r="AZ219" s="501"/>
      <c r="BA219" s="501"/>
      <c r="BB219" s="501"/>
      <c r="BC219" s="501"/>
      <c r="BD219" s="501"/>
      <c r="BE219" s="501"/>
      <c r="BF219" s="501"/>
      <c r="BG219" s="501"/>
      <c r="BH219" s="501"/>
      <c r="BI219" s="501"/>
      <c r="BJ219" s="501"/>
      <c r="BK219" s="501"/>
      <c r="BL219" s="501"/>
      <c r="BM219" s="501"/>
      <c r="BN219" s="501"/>
      <c r="BO219" s="501"/>
      <c r="BP219" s="501"/>
      <c r="BQ219" s="501"/>
      <c r="BR219" s="501"/>
      <c r="BS219" s="501"/>
      <c r="BT219" s="501"/>
      <c r="BU219" s="501"/>
      <c r="BV219" s="501"/>
      <c r="BW219" s="501"/>
      <c r="BX219" s="501"/>
      <c r="BY219" s="501"/>
      <c r="BZ219" s="501"/>
      <c r="CA219" s="501"/>
      <c r="CB219" s="501"/>
      <c r="CC219" s="501"/>
      <c r="CD219" s="501"/>
      <c r="CE219" s="501"/>
      <c r="CF219" s="501"/>
      <c r="CG219" s="501"/>
      <c r="CH219" s="501"/>
      <c r="CI219" s="501"/>
      <c r="CJ219" s="501"/>
      <c r="CK219" s="501"/>
      <c r="CL219" s="501"/>
      <c r="CM219" s="501"/>
      <c r="CN219" s="501"/>
      <c r="CO219" s="501"/>
      <c r="CP219" s="501"/>
      <c r="CQ219" s="501"/>
      <c r="CR219" s="501"/>
      <c r="CS219" s="501"/>
      <c r="CT219" s="501"/>
    </row>
    <row r="220">
      <c r="A220" s="569"/>
      <c r="B220" s="569"/>
      <c r="C220" s="569"/>
      <c r="D220" s="498"/>
      <c r="E220" s="499"/>
      <c r="F220" s="499"/>
      <c r="G220" s="766"/>
      <c r="H220" s="766"/>
      <c r="I220" s="766"/>
      <c r="J220" s="766"/>
      <c r="K220" s="683"/>
      <c r="L220" s="683"/>
      <c r="M220" s="683"/>
      <c r="N220" s="683"/>
      <c r="O220" s="683"/>
      <c r="P220" s="683"/>
      <c r="Q220" s="683"/>
      <c r="R220" s="683"/>
      <c r="S220" s="683"/>
      <c r="T220" s="501"/>
      <c r="U220" s="501"/>
      <c r="V220" s="501"/>
      <c r="W220" s="501"/>
      <c r="X220" s="501"/>
      <c r="Y220" s="501"/>
      <c r="Z220" s="501"/>
      <c r="AA220" s="501"/>
      <c r="AB220" s="501"/>
      <c r="AC220" s="501"/>
      <c r="AD220" s="501"/>
      <c r="AE220" s="501"/>
      <c r="AF220" s="501"/>
      <c r="AG220" s="501"/>
      <c r="AH220" s="501"/>
      <c r="AI220" s="501"/>
      <c r="AJ220" s="501"/>
      <c r="AK220" s="501"/>
      <c r="AL220" s="501"/>
      <c r="AM220" s="501"/>
      <c r="AN220" s="501"/>
      <c r="AO220" s="501"/>
      <c r="AP220" s="501"/>
      <c r="AQ220" s="501"/>
      <c r="AR220" s="501"/>
      <c r="AS220" s="501"/>
      <c r="AT220" s="501"/>
      <c r="AU220" s="501"/>
      <c r="AV220" s="501"/>
      <c r="AW220" s="501"/>
      <c r="AX220" s="501"/>
      <c r="AY220" s="501"/>
      <c r="AZ220" s="501"/>
      <c r="BA220" s="501"/>
      <c r="BB220" s="501"/>
      <c r="BC220" s="501"/>
      <c r="BD220" s="501"/>
      <c r="BE220" s="501"/>
      <c r="BF220" s="501"/>
      <c r="BG220" s="501"/>
      <c r="BH220" s="501"/>
      <c r="BI220" s="501"/>
      <c r="BJ220" s="501"/>
      <c r="BK220" s="501"/>
      <c r="BL220" s="501"/>
      <c r="BM220" s="501"/>
      <c r="BN220" s="501"/>
      <c r="BO220" s="501"/>
      <c r="BP220" s="501"/>
      <c r="BQ220" s="501"/>
      <c r="BR220" s="501"/>
      <c r="BS220" s="501"/>
      <c r="BT220" s="501"/>
      <c r="BU220" s="501"/>
      <c r="BV220" s="501"/>
      <c r="BW220" s="501"/>
      <c r="BX220" s="501"/>
      <c r="BY220" s="501"/>
      <c r="BZ220" s="501"/>
      <c r="CA220" s="501"/>
      <c r="CB220" s="501"/>
      <c r="CC220" s="501"/>
      <c r="CD220" s="501"/>
      <c r="CE220" s="501"/>
      <c r="CF220" s="501"/>
      <c r="CG220" s="501"/>
      <c r="CH220" s="501"/>
      <c r="CI220" s="501"/>
      <c r="CJ220" s="501"/>
      <c r="CK220" s="501"/>
      <c r="CL220" s="501"/>
      <c r="CM220" s="501"/>
      <c r="CN220" s="501"/>
      <c r="CO220" s="501"/>
      <c r="CP220" s="501"/>
      <c r="CQ220" s="501"/>
      <c r="CR220" s="501"/>
      <c r="CS220" s="501"/>
      <c r="CT220" s="501"/>
    </row>
    <row r="221">
      <c r="A221" s="569"/>
      <c r="B221" s="569"/>
      <c r="C221" s="569"/>
      <c r="D221" s="498"/>
      <c r="E221" s="499"/>
      <c r="F221" s="499"/>
      <c r="G221" s="766"/>
      <c r="H221" s="766"/>
      <c r="I221" s="766"/>
      <c r="J221" s="766"/>
      <c r="K221" s="683"/>
      <c r="L221" s="683"/>
      <c r="M221" s="683"/>
      <c r="N221" s="683"/>
      <c r="O221" s="683"/>
      <c r="P221" s="683"/>
      <c r="Q221" s="683"/>
      <c r="R221" s="683"/>
      <c r="S221" s="683"/>
      <c r="T221" s="501"/>
      <c r="U221" s="501"/>
      <c r="V221" s="501"/>
      <c r="W221" s="501"/>
      <c r="X221" s="501"/>
      <c r="Y221" s="501"/>
      <c r="Z221" s="501"/>
      <c r="AA221" s="501"/>
      <c r="AB221" s="501"/>
      <c r="AC221" s="501"/>
      <c r="AD221" s="501"/>
      <c r="AE221" s="501"/>
      <c r="AF221" s="501"/>
      <c r="AG221" s="501"/>
      <c r="AH221" s="501"/>
      <c r="AI221" s="501"/>
      <c r="AJ221" s="501"/>
      <c r="AK221" s="501"/>
      <c r="AL221" s="501"/>
      <c r="AM221" s="501"/>
      <c r="AN221" s="501"/>
      <c r="AO221" s="501"/>
      <c r="AP221" s="501"/>
      <c r="AQ221" s="501"/>
      <c r="AR221" s="501"/>
      <c r="AS221" s="501"/>
      <c r="AT221" s="501"/>
      <c r="AU221" s="501"/>
      <c r="AV221" s="501"/>
      <c r="AW221" s="501"/>
      <c r="AX221" s="501"/>
      <c r="AY221" s="501"/>
      <c r="AZ221" s="501"/>
      <c r="BA221" s="501"/>
      <c r="BB221" s="501"/>
      <c r="BC221" s="501"/>
      <c r="BD221" s="501"/>
      <c r="BE221" s="501"/>
      <c r="BF221" s="501"/>
      <c r="BG221" s="501"/>
      <c r="BH221" s="501"/>
      <c r="BI221" s="501"/>
      <c r="BJ221" s="501"/>
      <c r="BK221" s="501"/>
      <c r="BL221" s="501"/>
      <c r="BM221" s="501"/>
      <c r="BN221" s="501"/>
      <c r="BO221" s="501"/>
      <c r="BP221" s="501"/>
      <c r="BQ221" s="501"/>
      <c r="BR221" s="501"/>
      <c r="BS221" s="501"/>
      <c r="BT221" s="501"/>
      <c r="BU221" s="501"/>
      <c r="BV221" s="501"/>
      <c r="BW221" s="501"/>
      <c r="BX221" s="501"/>
      <c r="BY221" s="501"/>
      <c r="BZ221" s="501"/>
      <c r="CA221" s="501"/>
      <c r="CB221" s="501"/>
      <c r="CC221" s="501"/>
      <c r="CD221" s="501"/>
      <c r="CE221" s="501"/>
      <c r="CF221" s="501"/>
      <c r="CG221" s="501"/>
      <c r="CH221" s="501"/>
      <c r="CI221" s="501"/>
      <c r="CJ221" s="501"/>
      <c r="CK221" s="501"/>
      <c r="CL221" s="501"/>
      <c r="CM221" s="501"/>
      <c r="CN221" s="501"/>
      <c r="CO221" s="501"/>
      <c r="CP221" s="501"/>
      <c r="CQ221" s="501"/>
      <c r="CR221" s="501"/>
      <c r="CS221" s="501"/>
      <c r="CT221" s="501"/>
    </row>
    <row r="222">
      <c r="A222" s="569"/>
      <c r="B222" s="569"/>
      <c r="C222" s="569"/>
      <c r="D222" s="498"/>
      <c r="E222" s="499"/>
      <c r="F222" s="499"/>
      <c r="G222" s="766"/>
      <c r="H222" s="766"/>
      <c r="I222" s="766"/>
      <c r="J222" s="766"/>
      <c r="K222" s="683"/>
      <c r="L222" s="683"/>
      <c r="M222" s="683"/>
      <c r="N222" s="683"/>
      <c r="O222" s="683"/>
      <c r="P222" s="683"/>
      <c r="Q222" s="683"/>
      <c r="R222" s="683"/>
      <c r="S222" s="683"/>
      <c r="T222" s="501"/>
      <c r="U222" s="501"/>
      <c r="V222" s="501"/>
      <c r="W222" s="501"/>
      <c r="X222" s="501"/>
      <c r="Y222" s="501"/>
      <c r="Z222" s="501"/>
      <c r="AA222" s="501"/>
      <c r="AB222" s="501"/>
      <c r="AC222" s="501"/>
      <c r="AD222" s="501"/>
      <c r="AE222" s="501"/>
      <c r="AF222" s="501"/>
      <c r="AG222" s="501"/>
      <c r="AH222" s="501"/>
      <c r="AI222" s="501"/>
      <c r="AJ222" s="501"/>
      <c r="AK222" s="501"/>
      <c r="AL222" s="501"/>
      <c r="AM222" s="501"/>
      <c r="AN222" s="501"/>
      <c r="AO222" s="501"/>
      <c r="AP222" s="501"/>
      <c r="AQ222" s="501"/>
      <c r="AR222" s="501"/>
      <c r="AS222" s="501"/>
      <c r="AT222" s="501"/>
      <c r="AU222" s="501"/>
      <c r="AV222" s="501"/>
      <c r="AW222" s="501"/>
      <c r="AX222" s="501"/>
      <c r="AY222" s="501"/>
      <c r="AZ222" s="501"/>
      <c r="BA222" s="501"/>
      <c r="BB222" s="501"/>
      <c r="BC222" s="501"/>
      <c r="BD222" s="501"/>
      <c r="BE222" s="501"/>
      <c r="BF222" s="501"/>
      <c r="BG222" s="501"/>
      <c r="BH222" s="501"/>
      <c r="BI222" s="501"/>
      <c r="BJ222" s="501"/>
      <c r="BK222" s="501"/>
      <c r="BL222" s="501"/>
      <c r="BM222" s="501"/>
      <c r="BN222" s="501"/>
      <c r="BO222" s="501"/>
      <c r="BP222" s="501"/>
      <c r="BQ222" s="501"/>
      <c r="BR222" s="501"/>
      <c r="BS222" s="501"/>
      <c r="BT222" s="501"/>
      <c r="BU222" s="501"/>
      <c r="BV222" s="501"/>
      <c r="BW222" s="501"/>
      <c r="BX222" s="501"/>
      <c r="BY222" s="501"/>
      <c r="BZ222" s="501"/>
      <c r="CA222" s="501"/>
      <c r="CB222" s="501"/>
      <c r="CC222" s="501"/>
      <c r="CD222" s="501"/>
      <c r="CE222" s="501"/>
      <c r="CF222" s="501"/>
      <c r="CG222" s="501"/>
      <c r="CH222" s="501"/>
      <c r="CI222" s="501"/>
      <c r="CJ222" s="501"/>
      <c r="CK222" s="501"/>
      <c r="CL222" s="501"/>
      <c r="CM222" s="501"/>
      <c r="CN222" s="501"/>
      <c r="CO222" s="501"/>
      <c r="CP222" s="501"/>
      <c r="CQ222" s="501"/>
      <c r="CR222" s="501"/>
      <c r="CS222" s="501"/>
      <c r="CT222" s="501"/>
    </row>
    <row r="223">
      <c r="A223" s="569"/>
      <c r="B223" s="569"/>
      <c r="C223" s="569"/>
      <c r="D223" s="498"/>
      <c r="E223" s="499"/>
      <c r="F223" s="499"/>
      <c r="G223" s="766"/>
      <c r="H223" s="766"/>
      <c r="I223" s="766"/>
      <c r="J223" s="766"/>
      <c r="K223" s="683"/>
      <c r="L223" s="683"/>
      <c r="M223" s="683"/>
      <c r="N223" s="683"/>
      <c r="O223" s="683"/>
      <c r="P223" s="683"/>
      <c r="Q223" s="683"/>
      <c r="R223" s="683"/>
      <c r="S223" s="683"/>
      <c r="T223" s="501"/>
      <c r="U223" s="501"/>
      <c r="V223" s="501"/>
      <c r="W223" s="501"/>
      <c r="X223" s="501"/>
      <c r="Y223" s="501"/>
      <c r="Z223" s="501"/>
      <c r="AA223" s="501"/>
      <c r="AB223" s="501"/>
      <c r="AC223" s="501"/>
      <c r="AD223" s="501"/>
      <c r="AE223" s="501"/>
      <c r="AF223" s="501"/>
      <c r="AG223" s="501"/>
      <c r="AH223" s="501"/>
      <c r="AI223" s="501"/>
      <c r="AJ223" s="501"/>
      <c r="AK223" s="501"/>
      <c r="AL223" s="501"/>
      <c r="AM223" s="501"/>
      <c r="AN223" s="501"/>
      <c r="AO223" s="501"/>
      <c r="AP223" s="501"/>
      <c r="AQ223" s="501"/>
      <c r="AR223" s="501"/>
      <c r="AS223" s="501"/>
      <c r="AT223" s="501"/>
      <c r="AU223" s="501"/>
      <c r="AV223" s="501"/>
      <c r="AW223" s="501"/>
      <c r="AX223" s="501"/>
      <c r="AY223" s="501"/>
      <c r="AZ223" s="501"/>
      <c r="BA223" s="501"/>
      <c r="BB223" s="501"/>
      <c r="BC223" s="501"/>
      <c r="BD223" s="501"/>
      <c r="BE223" s="501"/>
      <c r="BF223" s="501"/>
      <c r="BG223" s="501"/>
      <c r="BH223" s="501"/>
      <c r="BI223" s="501"/>
      <c r="BJ223" s="501"/>
      <c r="BK223" s="501"/>
      <c r="BL223" s="501"/>
      <c r="BM223" s="501"/>
      <c r="BN223" s="501"/>
      <c r="BO223" s="501"/>
      <c r="BP223" s="501"/>
      <c r="BQ223" s="501"/>
      <c r="BR223" s="501"/>
      <c r="BS223" s="501"/>
      <c r="BT223" s="501"/>
      <c r="BU223" s="501"/>
      <c r="BV223" s="501"/>
      <c r="BW223" s="501"/>
      <c r="BX223" s="501"/>
      <c r="BY223" s="501"/>
      <c r="BZ223" s="501"/>
      <c r="CA223" s="501"/>
      <c r="CB223" s="501"/>
      <c r="CC223" s="501"/>
      <c r="CD223" s="501"/>
      <c r="CE223" s="501"/>
      <c r="CF223" s="501"/>
      <c r="CG223" s="501"/>
      <c r="CH223" s="501"/>
      <c r="CI223" s="501"/>
      <c r="CJ223" s="501"/>
      <c r="CK223" s="501"/>
      <c r="CL223" s="501"/>
      <c r="CM223" s="501"/>
      <c r="CN223" s="501"/>
      <c r="CO223" s="501"/>
      <c r="CP223" s="501"/>
      <c r="CQ223" s="501"/>
      <c r="CR223" s="501"/>
      <c r="CS223" s="501"/>
      <c r="CT223" s="501"/>
    </row>
    <row r="224">
      <c r="A224" s="569"/>
      <c r="B224" s="569"/>
      <c r="C224" s="569"/>
      <c r="D224" s="498"/>
      <c r="E224" s="499"/>
      <c r="F224" s="499"/>
      <c r="G224" s="766"/>
      <c r="H224" s="766"/>
      <c r="I224" s="766"/>
      <c r="J224" s="766"/>
      <c r="K224" s="683"/>
      <c r="L224" s="683"/>
      <c r="M224" s="683"/>
      <c r="N224" s="683"/>
      <c r="O224" s="683"/>
      <c r="P224" s="683"/>
      <c r="Q224" s="683"/>
      <c r="R224" s="683"/>
      <c r="S224" s="683"/>
      <c r="T224" s="501"/>
      <c r="U224" s="501"/>
      <c r="V224" s="501"/>
      <c r="W224" s="501"/>
      <c r="X224" s="501"/>
      <c r="Y224" s="501"/>
      <c r="Z224" s="501"/>
      <c r="AA224" s="501"/>
      <c r="AB224" s="501"/>
      <c r="AC224" s="501"/>
      <c r="AD224" s="501"/>
      <c r="AE224" s="501"/>
      <c r="AF224" s="501"/>
      <c r="AG224" s="501"/>
      <c r="AH224" s="501"/>
      <c r="AI224" s="501"/>
      <c r="AJ224" s="501"/>
      <c r="AK224" s="501"/>
      <c r="AL224" s="501"/>
      <c r="AM224" s="501"/>
      <c r="AN224" s="501"/>
      <c r="AO224" s="501"/>
      <c r="AP224" s="501"/>
      <c r="AQ224" s="501"/>
      <c r="AR224" s="501"/>
      <c r="AS224" s="501"/>
      <c r="AT224" s="501"/>
      <c r="AU224" s="501"/>
      <c r="AV224" s="501"/>
      <c r="AW224" s="501"/>
      <c r="AX224" s="501"/>
      <c r="AY224" s="501"/>
      <c r="AZ224" s="501"/>
      <c r="BA224" s="501"/>
      <c r="BB224" s="501"/>
      <c r="BC224" s="501"/>
      <c r="BD224" s="501"/>
      <c r="BE224" s="501"/>
      <c r="BF224" s="501"/>
      <c r="BG224" s="501"/>
      <c r="BH224" s="501"/>
      <c r="BI224" s="501"/>
      <c r="BJ224" s="501"/>
      <c r="BK224" s="501"/>
      <c r="BL224" s="501"/>
      <c r="BM224" s="501"/>
      <c r="BN224" s="501"/>
      <c r="BO224" s="501"/>
      <c r="BP224" s="501"/>
      <c r="BQ224" s="501"/>
      <c r="BR224" s="501"/>
      <c r="BS224" s="501"/>
      <c r="BT224" s="501"/>
      <c r="BU224" s="501"/>
      <c r="BV224" s="501"/>
      <c r="BW224" s="501"/>
      <c r="BX224" s="501"/>
      <c r="BY224" s="501"/>
      <c r="BZ224" s="501"/>
      <c r="CA224" s="501"/>
      <c r="CB224" s="501"/>
      <c r="CC224" s="501"/>
      <c r="CD224" s="501"/>
      <c r="CE224" s="501"/>
      <c r="CF224" s="501"/>
      <c r="CG224" s="501"/>
      <c r="CH224" s="501"/>
      <c r="CI224" s="501"/>
      <c r="CJ224" s="501"/>
      <c r="CK224" s="501"/>
      <c r="CL224" s="501"/>
      <c r="CM224" s="501"/>
      <c r="CN224" s="501"/>
      <c r="CO224" s="501"/>
      <c r="CP224" s="501"/>
      <c r="CQ224" s="501"/>
      <c r="CR224" s="501"/>
      <c r="CS224" s="501"/>
      <c r="CT224" s="501"/>
    </row>
    <row r="225">
      <c r="A225" s="569"/>
      <c r="B225" s="569"/>
      <c r="C225" s="569"/>
      <c r="D225" s="498"/>
      <c r="E225" s="499"/>
      <c r="F225" s="499"/>
      <c r="G225" s="766"/>
      <c r="H225" s="766"/>
      <c r="I225" s="766"/>
      <c r="J225" s="766"/>
      <c r="K225" s="683"/>
      <c r="L225" s="683"/>
      <c r="M225" s="683"/>
      <c r="N225" s="683"/>
      <c r="O225" s="683"/>
      <c r="P225" s="683"/>
      <c r="Q225" s="683"/>
      <c r="R225" s="683"/>
      <c r="S225" s="683"/>
      <c r="T225" s="501"/>
      <c r="U225" s="501"/>
      <c r="V225" s="501"/>
      <c r="W225" s="501"/>
      <c r="X225" s="501"/>
      <c r="Y225" s="501"/>
      <c r="Z225" s="501"/>
      <c r="AA225" s="501"/>
      <c r="AB225" s="501"/>
      <c r="AC225" s="501"/>
      <c r="AD225" s="501"/>
      <c r="AE225" s="501"/>
      <c r="AF225" s="501"/>
      <c r="AG225" s="501"/>
      <c r="AH225" s="501"/>
      <c r="AI225" s="501"/>
      <c r="AJ225" s="501"/>
      <c r="AK225" s="501"/>
      <c r="AL225" s="501"/>
      <c r="AM225" s="501"/>
      <c r="AN225" s="501"/>
      <c r="AO225" s="501"/>
      <c r="AP225" s="501"/>
      <c r="AQ225" s="501"/>
      <c r="AR225" s="501"/>
      <c r="AS225" s="501"/>
      <c r="AT225" s="501"/>
      <c r="AU225" s="501"/>
      <c r="AV225" s="501"/>
      <c r="AW225" s="501"/>
      <c r="AX225" s="501"/>
      <c r="AY225" s="501"/>
      <c r="AZ225" s="501"/>
      <c r="BA225" s="501"/>
      <c r="BB225" s="501"/>
      <c r="BC225" s="501"/>
      <c r="BD225" s="501"/>
      <c r="BE225" s="501"/>
      <c r="BF225" s="501"/>
      <c r="BG225" s="501"/>
      <c r="BH225" s="501"/>
      <c r="BI225" s="501"/>
      <c r="BJ225" s="501"/>
      <c r="BK225" s="501"/>
      <c r="BL225" s="501"/>
      <c r="BM225" s="501"/>
      <c r="BN225" s="501"/>
      <c r="BO225" s="501"/>
      <c r="BP225" s="501"/>
      <c r="BQ225" s="501"/>
      <c r="BR225" s="501"/>
      <c r="BS225" s="501"/>
      <c r="BT225" s="501"/>
      <c r="BU225" s="501"/>
      <c r="BV225" s="501"/>
      <c r="BW225" s="501"/>
      <c r="BX225" s="501"/>
      <c r="BY225" s="501"/>
      <c r="BZ225" s="501"/>
      <c r="CA225" s="501"/>
      <c r="CB225" s="501"/>
      <c r="CC225" s="501"/>
      <c r="CD225" s="501"/>
      <c r="CE225" s="501"/>
      <c r="CF225" s="501"/>
      <c r="CG225" s="501"/>
      <c r="CH225" s="501"/>
      <c r="CI225" s="501"/>
      <c r="CJ225" s="501"/>
      <c r="CK225" s="501"/>
      <c r="CL225" s="501"/>
      <c r="CM225" s="501"/>
      <c r="CN225" s="501"/>
      <c r="CO225" s="501"/>
      <c r="CP225" s="501"/>
      <c r="CQ225" s="501"/>
      <c r="CR225" s="501"/>
      <c r="CS225" s="501"/>
      <c r="CT225" s="501"/>
    </row>
    <row r="226">
      <c r="A226" s="569"/>
      <c r="B226" s="569"/>
      <c r="C226" s="569"/>
      <c r="D226" s="498"/>
      <c r="E226" s="499"/>
      <c r="F226" s="499"/>
      <c r="G226" s="766"/>
      <c r="H226" s="766"/>
      <c r="I226" s="766"/>
      <c r="J226" s="766"/>
      <c r="K226" s="683"/>
      <c r="L226" s="683"/>
      <c r="M226" s="683"/>
      <c r="N226" s="683"/>
      <c r="O226" s="683"/>
      <c r="P226" s="683"/>
      <c r="Q226" s="683"/>
      <c r="R226" s="683"/>
      <c r="S226" s="683"/>
      <c r="T226" s="501"/>
      <c r="U226" s="501"/>
      <c r="V226" s="501"/>
      <c r="W226" s="501"/>
      <c r="X226" s="501"/>
      <c r="Y226" s="501"/>
      <c r="Z226" s="501"/>
      <c r="AA226" s="501"/>
      <c r="AB226" s="501"/>
      <c r="AC226" s="501"/>
      <c r="AD226" s="501"/>
      <c r="AE226" s="501"/>
      <c r="AF226" s="501"/>
      <c r="AG226" s="501"/>
      <c r="AH226" s="501"/>
      <c r="AI226" s="501"/>
      <c r="AJ226" s="501"/>
      <c r="AK226" s="501"/>
      <c r="AL226" s="501"/>
      <c r="AM226" s="501"/>
      <c r="AN226" s="501"/>
      <c r="AO226" s="501"/>
      <c r="AP226" s="501"/>
      <c r="AQ226" s="501"/>
      <c r="AR226" s="501"/>
      <c r="AS226" s="501"/>
      <c r="AT226" s="501"/>
      <c r="AU226" s="501"/>
      <c r="AV226" s="501"/>
      <c r="AW226" s="501"/>
      <c r="AX226" s="501"/>
      <c r="AY226" s="501"/>
      <c r="AZ226" s="501"/>
      <c r="BA226" s="501"/>
      <c r="BB226" s="501"/>
      <c r="BC226" s="501"/>
      <c r="BD226" s="501"/>
      <c r="BE226" s="501"/>
      <c r="BF226" s="501"/>
      <c r="BG226" s="501"/>
      <c r="BH226" s="501"/>
      <c r="BI226" s="501"/>
      <c r="BJ226" s="501"/>
      <c r="BK226" s="501"/>
      <c r="BL226" s="501"/>
      <c r="BM226" s="501"/>
      <c r="BN226" s="501"/>
      <c r="BO226" s="501"/>
      <c r="BP226" s="501"/>
      <c r="BQ226" s="501"/>
      <c r="BR226" s="501"/>
      <c r="BS226" s="501"/>
      <c r="BT226" s="501"/>
      <c r="BU226" s="501"/>
      <c r="BV226" s="501"/>
      <c r="BW226" s="501"/>
      <c r="BX226" s="501"/>
      <c r="BY226" s="501"/>
      <c r="BZ226" s="501"/>
      <c r="CA226" s="501"/>
      <c r="CB226" s="501"/>
      <c r="CC226" s="501"/>
      <c r="CD226" s="501"/>
      <c r="CE226" s="501"/>
      <c r="CF226" s="501"/>
      <c r="CG226" s="501"/>
      <c r="CH226" s="501"/>
      <c r="CI226" s="501"/>
      <c r="CJ226" s="501"/>
      <c r="CK226" s="501"/>
      <c r="CL226" s="501"/>
      <c r="CM226" s="501"/>
      <c r="CN226" s="501"/>
      <c r="CO226" s="501"/>
      <c r="CP226" s="501"/>
      <c r="CQ226" s="501"/>
      <c r="CR226" s="501"/>
      <c r="CS226" s="501"/>
      <c r="CT226" s="501"/>
    </row>
    <row r="227">
      <c r="A227" s="569"/>
      <c r="B227" s="569"/>
      <c r="C227" s="569"/>
      <c r="D227" s="498"/>
      <c r="E227" s="499"/>
      <c r="F227" s="499"/>
      <c r="G227" s="766"/>
      <c r="H227" s="766"/>
      <c r="I227" s="766"/>
      <c r="J227" s="766"/>
      <c r="K227" s="683"/>
      <c r="L227" s="683"/>
      <c r="M227" s="683"/>
      <c r="N227" s="683"/>
      <c r="O227" s="683"/>
      <c r="P227" s="683"/>
      <c r="Q227" s="683"/>
      <c r="R227" s="683"/>
      <c r="S227" s="683"/>
      <c r="T227" s="501"/>
      <c r="U227" s="501"/>
      <c r="V227" s="501"/>
      <c r="W227" s="501"/>
      <c r="X227" s="501"/>
      <c r="Y227" s="501"/>
      <c r="Z227" s="501"/>
      <c r="AA227" s="501"/>
      <c r="AB227" s="501"/>
      <c r="AC227" s="501"/>
      <c r="AD227" s="501"/>
      <c r="AE227" s="501"/>
      <c r="AF227" s="501"/>
      <c r="AG227" s="501"/>
      <c r="AH227" s="501"/>
      <c r="AI227" s="501"/>
      <c r="AJ227" s="501"/>
      <c r="AK227" s="501"/>
      <c r="AL227" s="501"/>
      <c r="AM227" s="501"/>
      <c r="AN227" s="501"/>
      <c r="AO227" s="501"/>
      <c r="AP227" s="501"/>
      <c r="AQ227" s="501"/>
      <c r="AR227" s="501"/>
      <c r="AS227" s="501"/>
      <c r="AT227" s="501"/>
      <c r="AU227" s="501"/>
      <c r="AV227" s="501"/>
      <c r="AW227" s="501"/>
      <c r="AX227" s="501"/>
      <c r="AY227" s="501"/>
      <c r="AZ227" s="501"/>
      <c r="BA227" s="501"/>
      <c r="BB227" s="501"/>
      <c r="BC227" s="501"/>
      <c r="BD227" s="501"/>
      <c r="BE227" s="501"/>
      <c r="BF227" s="501"/>
      <c r="BG227" s="501"/>
      <c r="BH227" s="501"/>
      <c r="BI227" s="501"/>
      <c r="BJ227" s="501"/>
      <c r="BK227" s="501"/>
      <c r="BL227" s="501"/>
      <c r="BM227" s="501"/>
      <c r="BN227" s="501"/>
      <c r="BO227" s="501"/>
      <c r="BP227" s="501"/>
      <c r="BQ227" s="501"/>
      <c r="BR227" s="501"/>
      <c r="BS227" s="501"/>
      <c r="BT227" s="501"/>
      <c r="BU227" s="501"/>
      <c r="BV227" s="501"/>
      <c r="BW227" s="501"/>
      <c r="BX227" s="501"/>
      <c r="BY227" s="501"/>
      <c r="BZ227" s="501"/>
      <c r="CA227" s="501"/>
      <c r="CB227" s="501"/>
      <c r="CC227" s="501"/>
      <c r="CD227" s="501"/>
      <c r="CE227" s="501"/>
      <c r="CF227" s="501"/>
      <c r="CG227" s="501"/>
      <c r="CH227" s="501"/>
      <c r="CI227" s="501"/>
      <c r="CJ227" s="501"/>
      <c r="CK227" s="501"/>
      <c r="CL227" s="501"/>
      <c r="CM227" s="501"/>
      <c r="CN227" s="501"/>
      <c r="CO227" s="501"/>
      <c r="CP227" s="501"/>
      <c r="CQ227" s="501"/>
      <c r="CR227" s="501"/>
      <c r="CS227" s="501"/>
      <c r="CT227" s="501"/>
    </row>
    <row r="228">
      <c r="A228" s="569"/>
      <c r="B228" s="569"/>
      <c r="C228" s="569"/>
      <c r="D228" s="498"/>
      <c r="E228" s="499"/>
      <c r="F228" s="499"/>
      <c r="G228" s="766"/>
      <c r="H228" s="766"/>
      <c r="I228" s="766"/>
      <c r="J228" s="766"/>
      <c r="K228" s="683"/>
      <c r="L228" s="683"/>
      <c r="M228" s="683"/>
      <c r="N228" s="683"/>
      <c r="O228" s="683"/>
      <c r="P228" s="683"/>
      <c r="Q228" s="683"/>
      <c r="R228" s="683"/>
      <c r="S228" s="683"/>
      <c r="T228" s="501"/>
      <c r="U228" s="501"/>
      <c r="V228" s="501"/>
      <c r="W228" s="501"/>
      <c r="X228" s="501"/>
      <c r="Y228" s="501"/>
      <c r="Z228" s="501"/>
      <c r="AA228" s="501"/>
      <c r="AB228" s="501"/>
      <c r="AC228" s="501"/>
      <c r="AD228" s="501"/>
      <c r="AE228" s="501"/>
      <c r="AF228" s="501"/>
      <c r="AG228" s="501"/>
      <c r="AH228" s="501"/>
      <c r="AI228" s="501"/>
      <c r="AJ228" s="501"/>
      <c r="AK228" s="501"/>
      <c r="AL228" s="501"/>
      <c r="AM228" s="501"/>
      <c r="AN228" s="501"/>
      <c r="AO228" s="501"/>
      <c r="AP228" s="501"/>
      <c r="AQ228" s="501"/>
      <c r="AR228" s="501"/>
      <c r="AS228" s="501"/>
      <c r="AT228" s="501"/>
      <c r="AU228" s="501"/>
      <c r="AV228" s="501"/>
      <c r="AW228" s="501"/>
      <c r="AX228" s="501"/>
      <c r="AY228" s="501"/>
      <c r="AZ228" s="501"/>
      <c r="BA228" s="501"/>
      <c r="BB228" s="501"/>
      <c r="BC228" s="501"/>
      <c r="BD228" s="501"/>
      <c r="BE228" s="501"/>
      <c r="BF228" s="501"/>
      <c r="BG228" s="501"/>
      <c r="BH228" s="501"/>
      <c r="BI228" s="501"/>
      <c r="BJ228" s="501"/>
      <c r="BK228" s="501"/>
      <c r="BL228" s="501"/>
      <c r="BM228" s="501"/>
      <c r="BN228" s="501"/>
      <c r="BO228" s="501"/>
      <c r="BP228" s="501"/>
      <c r="BQ228" s="501"/>
      <c r="BR228" s="501"/>
      <c r="BS228" s="501"/>
      <c r="BT228" s="501"/>
      <c r="BU228" s="501"/>
      <c r="BV228" s="501"/>
      <c r="BW228" s="501"/>
      <c r="BX228" s="501"/>
      <c r="BY228" s="501"/>
      <c r="BZ228" s="501"/>
      <c r="CA228" s="501"/>
      <c r="CB228" s="501"/>
      <c r="CC228" s="501"/>
      <c r="CD228" s="501"/>
      <c r="CE228" s="501"/>
      <c r="CF228" s="501"/>
      <c r="CG228" s="501"/>
      <c r="CH228" s="501"/>
      <c r="CI228" s="501"/>
      <c r="CJ228" s="501"/>
      <c r="CK228" s="501"/>
      <c r="CL228" s="501"/>
      <c r="CM228" s="501"/>
      <c r="CN228" s="501"/>
      <c r="CO228" s="501"/>
      <c r="CP228" s="501"/>
      <c r="CQ228" s="501"/>
      <c r="CR228" s="501"/>
      <c r="CS228" s="501"/>
      <c r="CT228" s="501"/>
    </row>
    <row r="229">
      <c r="A229" s="569"/>
      <c r="B229" s="569"/>
      <c r="C229" s="569"/>
      <c r="D229" s="498"/>
      <c r="E229" s="499"/>
      <c r="F229" s="499"/>
      <c r="G229" s="766"/>
      <c r="H229" s="766"/>
      <c r="I229" s="766"/>
      <c r="J229" s="766"/>
      <c r="K229" s="683"/>
      <c r="L229" s="683"/>
      <c r="M229" s="683"/>
      <c r="N229" s="683"/>
      <c r="O229" s="683"/>
      <c r="P229" s="683"/>
      <c r="Q229" s="683"/>
      <c r="R229" s="683"/>
      <c r="S229" s="683"/>
      <c r="T229" s="501"/>
      <c r="U229" s="501"/>
      <c r="V229" s="501"/>
      <c r="W229" s="501"/>
      <c r="X229" s="501"/>
      <c r="Y229" s="501"/>
      <c r="Z229" s="501"/>
      <c r="AA229" s="501"/>
      <c r="AB229" s="501"/>
      <c r="AC229" s="501"/>
      <c r="AD229" s="501"/>
      <c r="AE229" s="501"/>
      <c r="AF229" s="501"/>
      <c r="AG229" s="501"/>
      <c r="AH229" s="501"/>
      <c r="AI229" s="501"/>
      <c r="AJ229" s="501"/>
      <c r="AK229" s="501"/>
      <c r="AL229" s="501"/>
      <c r="AM229" s="501"/>
      <c r="AN229" s="501"/>
      <c r="AO229" s="501"/>
      <c r="AP229" s="501"/>
      <c r="AQ229" s="501"/>
      <c r="AR229" s="501"/>
      <c r="AS229" s="501"/>
      <c r="AT229" s="501"/>
      <c r="AU229" s="501"/>
      <c r="AV229" s="501"/>
      <c r="AW229" s="501"/>
      <c r="AX229" s="501"/>
      <c r="AY229" s="501"/>
      <c r="AZ229" s="501"/>
      <c r="BA229" s="501"/>
      <c r="BB229" s="501"/>
      <c r="BC229" s="501"/>
      <c r="BD229" s="501"/>
      <c r="BE229" s="501"/>
      <c r="BF229" s="501"/>
      <c r="BG229" s="501"/>
      <c r="BH229" s="501"/>
      <c r="BI229" s="501"/>
      <c r="BJ229" s="501"/>
      <c r="BK229" s="501"/>
      <c r="BL229" s="501"/>
      <c r="BM229" s="501"/>
      <c r="BN229" s="501"/>
      <c r="BO229" s="501"/>
      <c r="BP229" s="501"/>
      <c r="BQ229" s="501"/>
      <c r="BR229" s="501"/>
      <c r="BS229" s="501"/>
      <c r="BT229" s="501"/>
      <c r="BU229" s="501"/>
      <c r="BV229" s="501"/>
      <c r="BW229" s="501"/>
      <c r="BX229" s="501"/>
      <c r="BY229" s="501"/>
      <c r="BZ229" s="501"/>
      <c r="CA229" s="501"/>
      <c r="CB229" s="501"/>
      <c r="CC229" s="501"/>
      <c r="CD229" s="501"/>
      <c r="CE229" s="501"/>
      <c r="CF229" s="501"/>
      <c r="CG229" s="501"/>
      <c r="CH229" s="501"/>
      <c r="CI229" s="501"/>
      <c r="CJ229" s="501"/>
      <c r="CK229" s="501"/>
      <c r="CL229" s="501"/>
      <c r="CM229" s="501"/>
      <c r="CN229" s="501"/>
      <c r="CO229" s="501"/>
      <c r="CP229" s="501"/>
      <c r="CQ229" s="501"/>
      <c r="CR229" s="501"/>
      <c r="CS229" s="501"/>
      <c r="CT229" s="501"/>
    </row>
    <row r="230">
      <c r="A230" s="569"/>
      <c r="B230" s="569"/>
      <c r="C230" s="569"/>
      <c r="D230" s="498"/>
      <c r="E230" s="499"/>
      <c r="F230" s="499"/>
      <c r="G230" s="766"/>
      <c r="H230" s="766"/>
      <c r="I230" s="766"/>
      <c r="J230" s="766"/>
      <c r="K230" s="683"/>
      <c r="L230" s="683"/>
      <c r="M230" s="683"/>
      <c r="N230" s="683"/>
      <c r="O230" s="683"/>
      <c r="P230" s="683"/>
      <c r="Q230" s="683"/>
      <c r="R230" s="683"/>
      <c r="S230" s="683"/>
      <c r="T230" s="501"/>
      <c r="U230" s="501"/>
      <c r="V230" s="501"/>
      <c r="W230" s="501"/>
      <c r="X230" s="501"/>
      <c r="Y230" s="501"/>
      <c r="Z230" s="501"/>
      <c r="AA230" s="501"/>
      <c r="AB230" s="501"/>
      <c r="AC230" s="501"/>
      <c r="AD230" s="501"/>
      <c r="AE230" s="501"/>
      <c r="AF230" s="501"/>
      <c r="AG230" s="501"/>
      <c r="AH230" s="501"/>
      <c r="AI230" s="501"/>
      <c r="AJ230" s="501"/>
      <c r="AK230" s="501"/>
      <c r="AL230" s="501"/>
      <c r="AM230" s="501"/>
      <c r="AN230" s="501"/>
      <c r="AO230" s="501"/>
      <c r="AP230" s="501"/>
      <c r="AQ230" s="501"/>
      <c r="AR230" s="501"/>
      <c r="AS230" s="501"/>
      <c r="AT230" s="501"/>
      <c r="AU230" s="501"/>
      <c r="AV230" s="501"/>
      <c r="AW230" s="501"/>
      <c r="AX230" s="501"/>
      <c r="AY230" s="501"/>
      <c r="AZ230" s="501"/>
      <c r="BA230" s="501"/>
      <c r="BB230" s="501"/>
      <c r="BC230" s="501"/>
      <c r="BD230" s="501"/>
      <c r="BE230" s="501"/>
      <c r="BF230" s="501"/>
      <c r="BG230" s="501"/>
      <c r="BH230" s="501"/>
      <c r="BI230" s="501"/>
      <c r="BJ230" s="501"/>
      <c r="BK230" s="501"/>
      <c r="BL230" s="501"/>
      <c r="BM230" s="501"/>
      <c r="BN230" s="501"/>
      <c r="BO230" s="501"/>
      <c r="BP230" s="501"/>
      <c r="BQ230" s="501"/>
      <c r="BR230" s="501"/>
      <c r="BS230" s="501"/>
      <c r="BT230" s="501"/>
      <c r="BU230" s="501"/>
      <c r="BV230" s="501"/>
      <c r="BW230" s="501"/>
      <c r="BX230" s="501"/>
      <c r="BY230" s="501"/>
      <c r="BZ230" s="501"/>
      <c r="CA230" s="501"/>
      <c r="CB230" s="501"/>
      <c r="CC230" s="501"/>
      <c r="CD230" s="501"/>
      <c r="CE230" s="501"/>
      <c r="CF230" s="501"/>
      <c r="CG230" s="501"/>
      <c r="CH230" s="501"/>
      <c r="CI230" s="501"/>
      <c r="CJ230" s="501"/>
      <c r="CK230" s="501"/>
      <c r="CL230" s="501"/>
      <c r="CM230" s="501"/>
      <c r="CN230" s="501"/>
      <c r="CO230" s="501"/>
      <c r="CP230" s="501"/>
      <c r="CQ230" s="501"/>
      <c r="CR230" s="501"/>
      <c r="CS230" s="501"/>
      <c r="CT230" s="501"/>
    </row>
    <row r="231">
      <c r="A231" s="569"/>
      <c r="B231" s="569"/>
      <c r="C231" s="569"/>
      <c r="D231" s="498"/>
      <c r="E231" s="499"/>
      <c r="F231" s="499"/>
      <c r="G231" s="766"/>
      <c r="H231" s="766"/>
      <c r="I231" s="766"/>
      <c r="J231" s="766"/>
      <c r="K231" s="683"/>
      <c r="L231" s="683"/>
      <c r="M231" s="683"/>
      <c r="N231" s="683"/>
      <c r="O231" s="683"/>
      <c r="P231" s="683"/>
      <c r="Q231" s="683"/>
      <c r="R231" s="683"/>
      <c r="S231" s="683"/>
      <c r="T231" s="501"/>
      <c r="U231" s="501"/>
      <c r="V231" s="501"/>
      <c r="W231" s="501"/>
      <c r="X231" s="501"/>
      <c r="Y231" s="501"/>
      <c r="Z231" s="501"/>
      <c r="AA231" s="501"/>
      <c r="AB231" s="501"/>
      <c r="AC231" s="501"/>
      <c r="AD231" s="501"/>
      <c r="AE231" s="501"/>
      <c r="AF231" s="501"/>
      <c r="AG231" s="501"/>
      <c r="AH231" s="501"/>
      <c r="AI231" s="501"/>
      <c r="AJ231" s="501"/>
      <c r="AK231" s="501"/>
      <c r="AL231" s="501"/>
      <c r="AM231" s="501"/>
      <c r="AN231" s="501"/>
      <c r="AO231" s="501"/>
      <c r="AP231" s="501"/>
      <c r="AQ231" s="501"/>
      <c r="AR231" s="501"/>
      <c r="AS231" s="501"/>
      <c r="AT231" s="501"/>
      <c r="AU231" s="501"/>
      <c r="AV231" s="501"/>
      <c r="AW231" s="501"/>
      <c r="AX231" s="501"/>
      <c r="AY231" s="501"/>
      <c r="AZ231" s="501"/>
      <c r="BA231" s="501"/>
      <c r="BB231" s="501"/>
      <c r="BC231" s="501"/>
      <c r="BD231" s="501"/>
      <c r="BE231" s="501"/>
      <c r="BF231" s="501"/>
      <c r="BG231" s="501"/>
      <c r="BH231" s="501"/>
      <c r="BI231" s="501"/>
      <c r="BJ231" s="501"/>
      <c r="BK231" s="501"/>
      <c r="BL231" s="501"/>
      <c r="BM231" s="501"/>
      <c r="BN231" s="501"/>
      <c r="BO231" s="501"/>
      <c r="BP231" s="501"/>
      <c r="BQ231" s="501"/>
      <c r="BR231" s="501"/>
      <c r="BS231" s="501"/>
      <c r="BT231" s="501"/>
      <c r="BU231" s="501"/>
      <c r="BV231" s="501"/>
      <c r="BW231" s="501"/>
      <c r="BX231" s="501"/>
      <c r="BY231" s="501"/>
      <c r="BZ231" s="501"/>
      <c r="CA231" s="501"/>
      <c r="CB231" s="501"/>
      <c r="CC231" s="501"/>
      <c r="CD231" s="501"/>
      <c r="CE231" s="501"/>
      <c r="CF231" s="501"/>
      <c r="CG231" s="501"/>
      <c r="CH231" s="501"/>
      <c r="CI231" s="501"/>
      <c r="CJ231" s="501"/>
      <c r="CK231" s="501"/>
      <c r="CL231" s="501"/>
      <c r="CM231" s="501"/>
      <c r="CN231" s="501"/>
      <c r="CO231" s="501"/>
      <c r="CP231" s="501"/>
      <c r="CQ231" s="501"/>
      <c r="CR231" s="501"/>
      <c r="CS231" s="501"/>
      <c r="CT231" s="501"/>
    </row>
    <row r="232">
      <c r="A232" s="569"/>
      <c r="B232" s="569"/>
      <c r="C232" s="569"/>
      <c r="D232" s="498"/>
      <c r="E232" s="499"/>
      <c r="F232" s="499"/>
      <c r="G232" s="766"/>
      <c r="H232" s="766"/>
      <c r="I232" s="766"/>
      <c r="J232" s="766"/>
      <c r="K232" s="683"/>
      <c r="L232" s="683"/>
      <c r="M232" s="683"/>
      <c r="N232" s="683"/>
      <c r="O232" s="683"/>
      <c r="P232" s="683"/>
      <c r="Q232" s="683"/>
      <c r="R232" s="683"/>
      <c r="S232" s="683"/>
      <c r="T232" s="501"/>
      <c r="U232" s="501"/>
      <c r="V232" s="501"/>
      <c r="W232" s="501"/>
      <c r="X232" s="501"/>
      <c r="Y232" s="501"/>
      <c r="Z232" s="501"/>
      <c r="AA232" s="501"/>
      <c r="AB232" s="501"/>
      <c r="AC232" s="501"/>
      <c r="AD232" s="501"/>
      <c r="AE232" s="501"/>
      <c r="AF232" s="501"/>
      <c r="AG232" s="501"/>
      <c r="AH232" s="501"/>
      <c r="AI232" s="501"/>
      <c r="AJ232" s="501"/>
      <c r="AK232" s="501"/>
      <c r="AL232" s="501"/>
      <c r="AM232" s="501"/>
      <c r="AN232" s="501"/>
      <c r="AO232" s="501"/>
      <c r="AP232" s="501"/>
      <c r="AQ232" s="501"/>
      <c r="AR232" s="501"/>
      <c r="AS232" s="501"/>
      <c r="AT232" s="501"/>
      <c r="AU232" s="501"/>
      <c r="AV232" s="501"/>
      <c r="AW232" s="501"/>
      <c r="AX232" s="501"/>
      <c r="AY232" s="501"/>
      <c r="AZ232" s="501"/>
      <c r="BA232" s="501"/>
      <c r="BB232" s="501"/>
      <c r="BC232" s="501"/>
      <c r="BD232" s="501"/>
      <c r="BE232" s="501"/>
      <c r="BF232" s="501"/>
      <c r="BG232" s="501"/>
      <c r="BH232" s="501"/>
      <c r="BI232" s="501"/>
      <c r="BJ232" s="501"/>
      <c r="BK232" s="501"/>
      <c r="BL232" s="501"/>
      <c r="BM232" s="501"/>
      <c r="BN232" s="501"/>
      <c r="BO232" s="501"/>
      <c r="BP232" s="501"/>
      <c r="BQ232" s="501"/>
      <c r="BR232" s="501"/>
      <c r="BS232" s="501"/>
      <c r="BT232" s="501"/>
      <c r="BU232" s="501"/>
      <c r="BV232" s="501"/>
      <c r="BW232" s="501"/>
      <c r="BX232" s="501"/>
      <c r="BY232" s="501"/>
      <c r="BZ232" s="501"/>
      <c r="CA232" s="501"/>
      <c r="CB232" s="501"/>
      <c r="CC232" s="501"/>
      <c r="CD232" s="501"/>
      <c r="CE232" s="501"/>
      <c r="CF232" s="501"/>
      <c r="CG232" s="501"/>
      <c r="CH232" s="501"/>
      <c r="CI232" s="501"/>
      <c r="CJ232" s="501"/>
      <c r="CK232" s="501"/>
      <c r="CL232" s="501"/>
      <c r="CM232" s="501"/>
      <c r="CN232" s="501"/>
      <c r="CO232" s="501"/>
      <c r="CP232" s="501"/>
      <c r="CQ232" s="501"/>
      <c r="CR232" s="501"/>
      <c r="CS232" s="501"/>
      <c r="CT232" s="501"/>
    </row>
    <row r="233">
      <c r="A233" s="569"/>
      <c r="B233" s="569"/>
      <c r="C233" s="569"/>
      <c r="D233" s="498"/>
      <c r="E233" s="499"/>
      <c r="F233" s="499"/>
      <c r="G233" s="766"/>
      <c r="H233" s="766"/>
      <c r="I233" s="766"/>
      <c r="J233" s="766"/>
      <c r="K233" s="683"/>
      <c r="L233" s="683"/>
      <c r="M233" s="683"/>
      <c r="N233" s="683"/>
      <c r="O233" s="683"/>
      <c r="P233" s="683"/>
      <c r="Q233" s="683"/>
      <c r="R233" s="683"/>
      <c r="S233" s="683"/>
      <c r="T233" s="501"/>
      <c r="U233" s="501"/>
      <c r="V233" s="501"/>
      <c r="W233" s="501"/>
      <c r="X233" s="501"/>
      <c r="Y233" s="501"/>
      <c r="Z233" s="501"/>
      <c r="AA233" s="501"/>
      <c r="AB233" s="501"/>
      <c r="AC233" s="501"/>
      <c r="AD233" s="501"/>
      <c r="AE233" s="501"/>
      <c r="AF233" s="501"/>
      <c r="AG233" s="501"/>
      <c r="AH233" s="501"/>
      <c r="AI233" s="501"/>
      <c r="AJ233" s="501"/>
      <c r="AK233" s="501"/>
      <c r="AL233" s="501"/>
      <c r="AM233" s="501"/>
      <c r="AN233" s="501"/>
      <c r="AO233" s="501"/>
      <c r="AP233" s="501"/>
      <c r="AQ233" s="501"/>
      <c r="AR233" s="501"/>
      <c r="AS233" s="501"/>
      <c r="AT233" s="501"/>
      <c r="AU233" s="501"/>
      <c r="AV233" s="501"/>
      <c r="AW233" s="501"/>
      <c r="AX233" s="501"/>
      <c r="AY233" s="501"/>
      <c r="AZ233" s="501"/>
      <c r="BA233" s="501"/>
      <c r="BB233" s="501"/>
      <c r="BC233" s="501"/>
      <c r="BD233" s="501"/>
      <c r="BE233" s="501"/>
      <c r="BF233" s="501"/>
      <c r="BG233" s="501"/>
      <c r="BH233" s="501"/>
      <c r="BI233" s="501"/>
      <c r="BJ233" s="501"/>
      <c r="BK233" s="501"/>
      <c r="BL233" s="501"/>
      <c r="BM233" s="501"/>
      <c r="BN233" s="501"/>
      <c r="BO233" s="501"/>
      <c r="BP233" s="501"/>
      <c r="BQ233" s="501"/>
      <c r="BR233" s="501"/>
      <c r="BS233" s="501"/>
      <c r="BT233" s="501"/>
      <c r="BU233" s="501"/>
      <c r="BV233" s="501"/>
      <c r="BW233" s="501"/>
      <c r="BX233" s="501"/>
      <c r="BY233" s="501"/>
      <c r="BZ233" s="501"/>
      <c r="CA233" s="501"/>
      <c r="CB233" s="501"/>
      <c r="CC233" s="501"/>
      <c r="CD233" s="501"/>
      <c r="CE233" s="501"/>
      <c r="CF233" s="501"/>
      <c r="CG233" s="501"/>
      <c r="CH233" s="501"/>
      <c r="CI233" s="501"/>
      <c r="CJ233" s="501"/>
      <c r="CK233" s="501"/>
      <c r="CL233" s="501"/>
      <c r="CM233" s="501"/>
      <c r="CN233" s="501"/>
      <c r="CO233" s="501"/>
      <c r="CP233" s="501"/>
      <c r="CQ233" s="501"/>
      <c r="CR233" s="501"/>
      <c r="CS233" s="501"/>
      <c r="CT233" s="501"/>
    </row>
    <row r="234">
      <c r="A234" s="569"/>
      <c r="B234" s="569"/>
      <c r="C234" s="569"/>
      <c r="D234" s="498"/>
      <c r="E234" s="499"/>
      <c r="F234" s="499"/>
      <c r="G234" s="766"/>
      <c r="H234" s="766"/>
      <c r="I234" s="766"/>
      <c r="J234" s="766"/>
      <c r="K234" s="683"/>
      <c r="L234" s="683"/>
      <c r="M234" s="683"/>
      <c r="N234" s="683"/>
      <c r="O234" s="683"/>
      <c r="P234" s="683"/>
      <c r="Q234" s="683"/>
      <c r="R234" s="683"/>
      <c r="S234" s="683"/>
      <c r="T234" s="501"/>
      <c r="U234" s="501"/>
      <c r="V234" s="501"/>
      <c r="W234" s="501"/>
      <c r="X234" s="501"/>
      <c r="Y234" s="501"/>
      <c r="Z234" s="501"/>
      <c r="AA234" s="501"/>
      <c r="AB234" s="501"/>
      <c r="AC234" s="501"/>
      <c r="AD234" s="501"/>
      <c r="AE234" s="501"/>
      <c r="AF234" s="501"/>
      <c r="AG234" s="501"/>
      <c r="AH234" s="501"/>
      <c r="AI234" s="501"/>
      <c r="AJ234" s="501"/>
      <c r="AK234" s="501"/>
      <c r="AL234" s="501"/>
      <c r="AM234" s="501"/>
      <c r="AN234" s="501"/>
      <c r="AO234" s="501"/>
      <c r="AP234" s="501"/>
      <c r="AQ234" s="501"/>
      <c r="AR234" s="501"/>
      <c r="AS234" s="501"/>
      <c r="AT234" s="501"/>
      <c r="AU234" s="501"/>
      <c r="AV234" s="501"/>
      <c r="AW234" s="501"/>
      <c r="AX234" s="501"/>
      <c r="AY234" s="501"/>
      <c r="AZ234" s="501"/>
      <c r="BA234" s="501"/>
      <c r="BB234" s="501"/>
      <c r="BC234" s="501"/>
      <c r="BD234" s="501"/>
      <c r="BE234" s="501"/>
      <c r="BF234" s="501"/>
      <c r="BG234" s="501"/>
      <c r="BH234" s="501"/>
      <c r="BI234" s="501"/>
      <c r="BJ234" s="501"/>
      <c r="BK234" s="501"/>
      <c r="BL234" s="501"/>
      <c r="BM234" s="501"/>
      <c r="BN234" s="501"/>
      <c r="BO234" s="501"/>
      <c r="BP234" s="501"/>
      <c r="BQ234" s="501"/>
      <c r="BR234" s="501"/>
      <c r="BS234" s="501"/>
      <c r="BT234" s="501"/>
      <c r="BU234" s="501"/>
      <c r="BV234" s="501"/>
      <c r="BW234" s="501"/>
      <c r="BX234" s="501"/>
      <c r="BY234" s="501"/>
      <c r="BZ234" s="501"/>
      <c r="CA234" s="501"/>
      <c r="CB234" s="501"/>
      <c r="CC234" s="501"/>
      <c r="CD234" s="501"/>
      <c r="CE234" s="501"/>
      <c r="CF234" s="501"/>
      <c r="CG234" s="501"/>
      <c r="CH234" s="501"/>
      <c r="CI234" s="501"/>
      <c r="CJ234" s="501"/>
      <c r="CK234" s="501"/>
      <c r="CL234" s="501"/>
      <c r="CM234" s="501"/>
      <c r="CN234" s="501"/>
      <c r="CO234" s="501"/>
      <c r="CP234" s="501"/>
      <c r="CQ234" s="501"/>
      <c r="CR234" s="501"/>
      <c r="CS234" s="501"/>
      <c r="CT234" s="501"/>
    </row>
    <row r="235">
      <c r="A235" s="569"/>
      <c r="B235" s="569"/>
      <c r="C235" s="569"/>
      <c r="D235" s="498"/>
      <c r="E235" s="499"/>
      <c r="F235" s="499"/>
      <c r="G235" s="766"/>
      <c r="H235" s="766"/>
      <c r="I235" s="766"/>
      <c r="J235" s="766"/>
      <c r="K235" s="683"/>
      <c r="L235" s="683"/>
      <c r="M235" s="683"/>
      <c r="N235" s="683"/>
      <c r="O235" s="683"/>
      <c r="P235" s="683"/>
      <c r="Q235" s="683"/>
      <c r="R235" s="683"/>
      <c r="S235" s="683"/>
      <c r="T235" s="501"/>
      <c r="U235" s="501"/>
      <c r="V235" s="501"/>
      <c r="W235" s="501"/>
      <c r="X235" s="501"/>
      <c r="Y235" s="501"/>
      <c r="Z235" s="501"/>
      <c r="AA235" s="501"/>
      <c r="AB235" s="501"/>
      <c r="AC235" s="501"/>
      <c r="AD235" s="501"/>
      <c r="AE235" s="501"/>
      <c r="AF235" s="501"/>
      <c r="AG235" s="501"/>
      <c r="AH235" s="501"/>
      <c r="AI235" s="501"/>
      <c r="AJ235" s="501"/>
      <c r="AK235" s="501"/>
      <c r="AL235" s="501"/>
      <c r="AM235" s="501"/>
      <c r="AN235" s="501"/>
      <c r="AO235" s="501"/>
      <c r="AP235" s="501"/>
      <c r="AQ235" s="501"/>
      <c r="AR235" s="501"/>
      <c r="AS235" s="501"/>
      <c r="AT235" s="501"/>
      <c r="AU235" s="501"/>
      <c r="AV235" s="501"/>
      <c r="AW235" s="501"/>
      <c r="AX235" s="501"/>
      <c r="AY235" s="501"/>
      <c r="AZ235" s="501"/>
      <c r="BA235" s="501"/>
      <c r="BB235" s="501"/>
      <c r="BC235" s="501"/>
      <c r="BD235" s="501"/>
      <c r="BE235" s="501"/>
      <c r="BF235" s="501"/>
      <c r="BG235" s="501"/>
      <c r="BH235" s="501"/>
      <c r="BI235" s="501"/>
      <c r="BJ235" s="501"/>
      <c r="BK235" s="501"/>
      <c r="BL235" s="501"/>
      <c r="BM235" s="501"/>
      <c r="BN235" s="501"/>
      <c r="BO235" s="501"/>
      <c r="BP235" s="501"/>
      <c r="BQ235" s="501"/>
      <c r="BR235" s="501"/>
      <c r="BS235" s="501"/>
      <c r="BT235" s="501"/>
      <c r="BU235" s="501"/>
      <c r="BV235" s="501"/>
      <c r="BW235" s="501"/>
      <c r="BX235" s="501"/>
      <c r="BY235" s="501"/>
      <c r="BZ235" s="501"/>
      <c r="CA235" s="501"/>
      <c r="CB235" s="501"/>
      <c r="CC235" s="501"/>
      <c r="CD235" s="501"/>
      <c r="CE235" s="501"/>
      <c r="CF235" s="501"/>
      <c r="CG235" s="501"/>
      <c r="CH235" s="501"/>
      <c r="CI235" s="501"/>
      <c r="CJ235" s="501"/>
      <c r="CK235" s="501"/>
      <c r="CL235" s="501"/>
      <c r="CM235" s="501"/>
      <c r="CN235" s="501"/>
      <c r="CO235" s="501"/>
      <c r="CP235" s="501"/>
      <c r="CQ235" s="501"/>
      <c r="CR235" s="501"/>
      <c r="CS235" s="501"/>
      <c r="CT235" s="501"/>
    </row>
    <row r="236">
      <c r="A236" s="569"/>
      <c r="B236" s="569"/>
      <c r="C236" s="569"/>
      <c r="D236" s="498"/>
      <c r="E236" s="499"/>
      <c r="F236" s="499"/>
      <c r="G236" s="766"/>
      <c r="H236" s="766"/>
      <c r="I236" s="766"/>
      <c r="J236" s="766"/>
      <c r="K236" s="683"/>
      <c r="L236" s="683"/>
      <c r="M236" s="683"/>
      <c r="N236" s="683"/>
      <c r="O236" s="683"/>
      <c r="P236" s="683"/>
      <c r="Q236" s="683"/>
      <c r="R236" s="683"/>
      <c r="S236" s="683"/>
      <c r="T236" s="501"/>
      <c r="U236" s="501"/>
      <c r="V236" s="501"/>
      <c r="W236" s="501"/>
      <c r="X236" s="501"/>
      <c r="Y236" s="501"/>
      <c r="Z236" s="501"/>
      <c r="AA236" s="501"/>
      <c r="AB236" s="501"/>
      <c r="AC236" s="501"/>
      <c r="AD236" s="501"/>
      <c r="AE236" s="501"/>
      <c r="AF236" s="501"/>
      <c r="AG236" s="501"/>
      <c r="AH236" s="501"/>
      <c r="AI236" s="501"/>
      <c r="AJ236" s="501"/>
      <c r="AK236" s="501"/>
      <c r="AL236" s="501"/>
      <c r="AM236" s="501"/>
      <c r="AN236" s="501"/>
      <c r="AO236" s="501"/>
      <c r="AP236" s="501"/>
      <c r="AQ236" s="501"/>
      <c r="AR236" s="501"/>
      <c r="AS236" s="501"/>
      <c r="AT236" s="501"/>
      <c r="AU236" s="501"/>
      <c r="AV236" s="501"/>
      <c r="AW236" s="501"/>
      <c r="AX236" s="501"/>
      <c r="AY236" s="501"/>
      <c r="AZ236" s="501"/>
      <c r="BA236" s="501"/>
      <c r="BB236" s="501"/>
      <c r="BC236" s="501"/>
      <c r="BD236" s="501"/>
      <c r="BE236" s="501"/>
      <c r="BF236" s="501"/>
      <c r="BG236" s="501"/>
      <c r="BH236" s="501"/>
      <c r="BI236" s="501"/>
      <c r="BJ236" s="501"/>
      <c r="BK236" s="501"/>
      <c r="BL236" s="501"/>
      <c r="BM236" s="501"/>
      <c r="BN236" s="501"/>
      <c r="BO236" s="501"/>
      <c r="BP236" s="501"/>
      <c r="BQ236" s="501"/>
      <c r="BR236" s="501"/>
      <c r="BS236" s="501"/>
      <c r="BT236" s="501"/>
      <c r="BU236" s="501"/>
      <c r="BV236" s="501"/>
      <c r="BW236" s="501"/>
      <c r="BX236" s="501"/>
      <c r="BY236" s="501"/>
      <c r="BZ236" s="501"/>
      <c r="CA236" s="501"/>
      <c r="CB236" s="501"/>
      <c r="CC236" s="501"/>
      <c r="CD236" s="501"/>
      <c r="CE236" s="501"/>
      <c r="CF236" s="501"/>
      <c r="CG236" s="501"/>
      <c r="CH236" s="501"/>
      <c r="CI236" s="501"/>
      <c r="CJ236" s="501"/>
      <c r="CK236" s="501"/>
      <c r="CL236" s="501"/>
      <c r="CM236" s="501"/>
      <c r="CN236" s="501"/>
      <c r="CO236" s="501"/>
      <c r="CP236" s="501"/>
      <c r="CQ236" s="501"/>
      <c r="CR236" s="501"/>
      <c r="CS236" s="501"/>
      <c r="CT236" s="501"/>
    </row>
    <row r="237">
      <c r="A237" s="569"/>
      <c r="B237" s="569"/>
      <c r="C237" s="569"/>
      <c r="D237" s="498"/>
      <c r="E237" s="499"/>
      <c r="F237" s="499"/>
      <c r="G237" s="766"/>
      <c r="H237" s="766"/>
      <c r="I237" s="766"/>
      <c r="J237" s="766"/>
      <c r="K237" s="683"/>
      <c r="L237" s="683"/>
      <c r="M237" s="683"/>
      <c r="N237" s="683"/>
      <c r="O237" s="683"/>
      <c r="P237" s="683"/>
      <c r="Q237" s="683"/>
      <c r="R237" s="683"/>
      <c r="S237" s="683"/>
      <c r="T237" s="501"/>
      <c r="U237" s="501"/>
      <c r="V237" s="501"/>
      <c r="W237" s="501"/>
      <c r="X237" s="501"/>
      <c r="Y237" s="501"/>
      <c r="Z237" s="501"/>
      <c r="AA237" s="501"/>
      <c r="AB237" s="501"/>
      <c r="AC237" s="501"/>
      <c r="AD237" s="501"/>
      <c r="AE237" s="501"/>
      <c r="AF237" s="501"/>
      <c r="AG237" s="501"/>
      <c r="AH237" s="501"/>
      <c r="AI237" s="501"/>
      <c r="AJ237" s="501"/>
      <c r="AK237" s="501"/>
      <c r="AL237" s="501"/>
      <c r="AM237" s="501"/>
      <c r="AN237" s="501"/>
      <c r="AO237" s="501"/>
      <c r="AP237" s="501"/>
      <c r="AQ237" s="501"/>
      <c r="AR237" s="501"/>
      <c r="AS237" s="501"/>
      <c r="AT237" s="501"/>
      <c r="AU237" s="501"/>
      <c r="AV237" s="501"/>
      <c r="AW237" s="501"/>
      <c r="AX237" s="501"/>
      <c r="AY237" s="501"/>
      <c r="AZ237" s="501"/>
      <c r="BA237" s="501"/>
      <c r="BB237" s="501"/>
      <c r="BC237" s="501"/>
      <c r="BD237" s="501"/>
      <c r="BE237" s="501"/>
      <c r="BF237" s="501"/>
      <c r="BG237" s="501"/>
      <c r="BH237" s="501"/>
      <c r="BI237" s="501"/>
      <c r="BJ237" s="501"/>
      <c r="BK237" s="501"/>
      <c r="BL237" s="501"/>
      <c r="BM237" s="501"/>
      <c r="BN237" s="501"/>
      <c r="BO237" s="501"/>
      <c r="BP237" s="501"/>
      <c r="BQ237" s="501"/>
      <c r="BR237" s="501"/>
      <c r="BS237" s="501"/>
      <c r="BT237" s="501"/>
      <c r="BU237" s="501"/>
      <c r="BV237" s="501"/>
      <c r="BW237" s="501"/>
      <c r="BX237" s="501"/>
      <c r="BY237" s="501"/>
      <c r="BZ237" s="501"/>
      <c r="CA237" s="501"/>
      <c r="CB237" s="501"/>
      <c r="CC237" s="501"/>
      <c r="CD237" s="501"/>
      <c r="CE237" s="501"/>
      <c r="CF237" s="501"/>
      <c r="CG237" s="501"/>
      <c r="CH237" s="501"/>
      <c r="CI237" s="501"/>
      <c r="CJ237" s="501"/>
      <c r="CK237" s="501"/>
      <c r="CL237" s="501"/>
      <c r="CM237" s="501"/>
      <c r="CN237" s="501"/>
      <c r="CO237" s="501"/>
      <c r="CP237" s="501"/>
      <c r="CQ237" s="501"/>
      <c r="CR237" s="501"/>
      <c r="CS237" s="501"/>
      <c r="CT237" s="501"/>
    </row>
    <row r="238">
      <c r="A238" s="569"/>
      <c r="B238" s="569"/>
      <c r="C238" s="569"/>
      <c r="D238" s="498"/>
      <c r="E238" s="499"/>
      <c r="F238" s="499"/>
      <c r="G238" s="766"/>
      <c r="H238" s="766"/>
      <c r="I238" s="766"/>
      <c r="J238" s="766"/>
      <c r="K238" s="683"/>
      <c r="L238" s="683"/>
      <c r="M238" s="683"/>
      <c r="N238" s="683"/>
      <c r="O238" s="683"/>
      <c r="P238" s="683"/>
      <c r="Q238" s="683"/>
      <c r="R238" s="683"/>
      <c r="S238" s="683"/>
      <c r="T238" s="501"/>
      <c r="U238" s="501"/>
      <c r="V238" s="501"/>
      <c r="W238" s="501"/>
      <c r="X238" s="501"/>
      <c r="Y238" s="501"/>
      <c r="Z238" s="501"/>
      <c r="AA238" s="501"/>
      <c r="AB238" s="501"/>
      <c r="AC238" s="501"/>
      <c r="AD238" s="501"/>
      <c r="AE238" s="501"/>
      <c r="AF238" s="501"/>
      <c r="AG238" s="501"/>
      <c r="AH238" s="501"/>
      <c r="AI238" s="501"/>
      <c r="AJ238" s="501"/>
      <c r="AK238" s="501"/>
      <c r="AL238" s="501"/>
      <c r="AM238" s="501"/>
      <c r="AN238" s="501"/>
      <c r="AO238" s="501"/>
      <c r="AP238" s="501"/>
      <c r="AQ238" s="501"/>
      <c r="AR238" s="501"/>
      <c r="AS238" s="501"/>
      <c r="AT238" s="501"/>
      <c r="AU238" s="501"/>
      <c r="AV238" s="501"/>
      <c r="AW238" s="501"/>
      <c r="AX238" s="501"/>
      <c r="AY238" s="501"/>
      <c r="AZ238" s="501"/>
      <c r="BA238" s="501"/>
      <c r="BB238" s="501"/>
      <c r="BC238" s="501"/>
      <c r="BD238" s="501"/>
      <c r="BE238" s="501"/>
      <c r="BF238" s="501"/>
      <c r="BG238" s="501"/>
      <c r="BH238" s="501"/>
      <c r="BI238" s="501"/>
      <c r="BJ238" s="501"/>
      <c r="BK238" s="501"/>
      <c r="BL238" s="501"/>
      <c r="BM238" s="501"/>
      <c r="BN238" s="501"/>
      <c r="BO238" s="501"/>
      <c r="BP238" s="501"/>
      <c r="BQ238" s="501"/>
      <c r="BR238" s="501"/>
      <c r="BS238" s="501"/>
      <c r="BT238" s="501"/>
      <c r="BU238" s="501"/>
      <c r="BV238" s="501"/>
      <c r="BW238" s="501"/>
      <c r="BX238" s="501"/>
      <c r="BY238" s="501"/>
      <c r="BZ238" s="501"/>
      <c r="CA238" s="501"/>
      <c r="CB238" s="501"/>
      <c r="CC238" s="501"/>
      <c r="CD238" s="501"/>
      <c r="CE238" s="501"/>
      <c r="CF238" s="501"/>
      <c r="CG238" s="501"/>
      <c r="CH238" s="501"/>
      <c r="CI238" s="501"/>
      <c r="CJ238" s="501"/>
      <c r="CK238" s="501"/>
      <c r="CL238" s="501"/>
      <c r="CM238" s="501"/>
      <c r="CN238" s="501"/>
      <c r="CO238" s="501"/>
      <c r="CP238" s="501"/>
      <c r="CQ238" s="501"/>
      <c r="CR238" s="501"/>
      <c r="CS238" s="501"/>
      <c r="CT238" s="501"/>
    </row>
    <row r="239">
      <c r="A239" s="569"/>
      <c r="B239" s="569"/>
      <c r="C239" s="569"/>
      <c r="D239" s="498"/>
      <c r="E239" s="499"/>
      <c r="F239" s="499"/>
      <c r="G239" s="766"/>
      <c r="H239" s="766"/>
      <c r="I239" s="766"/>
      <c r="J239" s="766"/>
      <c r="K239" s="683"/>
      <c r="L239" s="683"/>
      <c r="M239" s="683"/>
      <c r="N239" s="683"/>
      <c r="O239" s="683"/>
      <c r="P239" s="683"/>
      <c r="Q239" s="683"/>
      <c r="R239" s="683"/>
      <c r="S239" s="683"/>
      <c r="T239" s="501"/>
      <c r="U239" s="501"/>
      <c r="V239" s="501"/>
      <c r="W239" s="501"/>
      <c r="X239" s="501"/>
      <c r="Y239" s="501"/>
      <c r="Z239" s="501"/>
      <c r="AA239" s="501"/>
      <c r="AB239" s="501"/>
      <c r="AC239" s="501"/>
      <c r="AD239" s="501"/>
      <c r="AE239" s="501"/>
      <c r="AF239" s="501"/>
      <c r="AG239" s="501"/>
      <c r="AH239" s="501"/>
      <c r="AI239" s="501"/>
      <c r="AJ239" s="501"/>
      <c r="AK239" s="501"/>
      <c r="AL239" s="501"/>
      <c r="AM239" s="501"/>
      <c r="AN239" s="501"/>
      <c r="AO239" s="501"/>
      <c r="AP239" s="501"/>
      <c r="AQ239" s="501"/>
      <c r="AR239" s="501"/>
      <c r="AS239" s="501"/>
      <c r="AT239" s="501"/>
      <c r="AU239" s="501"/>
      <c r="AV239" s="501"/>
      <c r="AW239" s="501"/>
      <c r="AX239" s="501"/>
      <c r="AY239" s="501"/>
      <c r="AZ239" s="501"/>
      <c r="BA239" s="501"/>
      <c r="BB239" s="501"/>
      <c r="BC239" s="501"/>
      <c r="BD239" s="501"/>
      <c r="BE239" s="501"/>
      <c r="BF239" s="501"/>
      <c r="BG239" s="501"/>
      <c r="BH239" s="501"/>
      <c r="BI239" s="501"/>
      <c r="BJ239" s="501"/>
      <c r="BK239" s="501"/>
      <c r="BL239" s="501"/>
      <c r="BM239" s="501"/>
      <c r="BN239" s="501"/>
      <c r="BO239" s="501"/>
      <c r="BP239" s="501"/>
      <c r="BQ239" s="501"/>
      <c r="BR239" s="501"/>
      <c r="BS239" s="501"/>
      <c r="BT239" s="501"/>
      <c r="BU239" s="501"/>
      <c r="BV239" s="501"/>
      <c r="BW239" s="501"/>
      <c r="BX239" s="501"/>
      <c r="BY239" s="501"/>
      <c r="BZ239" s="501"/>
      <c r="CA239" s="501"/>
      <c r="CB239" s="501"/>
      <c r="CC239" s="501"/>
      <c r="CD239" s="501"/>
      <c r="CE239" s="501"/>
      <c r="CF239" s="501"/>
      <c r="CG239" s="501"/>
      <c r="CH239" s="501"/>
      <c r="CI239" s="501"/>
      <c r="CJ239" s="501"/>
      <c r="CK239" s="501"/>
      <c r="CL239" s="501"/>
      <c r="CM239" s="501"/>
      <c r="CN239" s="501"/>
      <c r="CO239" s="501"/>
      <c r="CP239" s="501"/>
      <c r="CQ239" s="501"/>
      <c r="CR239" s="501"/>
      <c r="CS239" s="501"/>
      <c r="CT239" s="501"/>
    </row>
    <row r="240">
      <c r="A240" s="569"/>
      <c r="B240" s="569"/>
      <c r="C240" s="569"/>
      <c r="D240" s="498"/>
      <c r="E240" s="499"/>
      <c r="F240" s="499"/>
      <c r="G240" s="766"/>
      <c r="H240" s="766"/>
      <c r="I240" s="766"/>
      <c r="J240" s="766"/>
      <c r="K240" s="683"/>
      <c r="L240" s="683"/>
      <c r="M240" s="683"/>
      <c r="N240" s="683"/>
      <c r="O240" s="683"/>
      <c r="P240" s="683"/>
      <c r="Q240" s="683"/>
      <c r="R240" s="683"/>
      <c r="S240" s="683"/>
      <c r="T240" s="501"/>
      <c r="U240" s="501"/>
      <c r="V240" s="501"/>
      <c r="W240" s="501"/>
      <c r="X240" s="501"/>
      <c r="Y240" s="501"/>
      <c r="Z240" s="501"/>
      <c r="AA240" s="501"/>
      <c r="AB240" s="501"/>
      <c r="AC240" s="501"/>
      <c r="AD240" s="501"/>
      <c r="AE240" s="501"/>
      <c r="AF240" s="501"/>
      <c r="AG240" s="501"/>
      <c r="AH240" s="501"/>
      <c r="AI240" s="501"/>
      <c r="AJ240" s="501"/>
      <c r="AK240" s="501"/>
      <c r="AL240" s="501"/>
      <c r="AM240" s="501"/>
      <c r="AN240" s="501"/>
      <c r="AO240" s="501"/>
      <c r="AP240" s="501"/>
      <c r="AQ240" s="501"/>
      <c r="AR240" s="501"/>
      <c r="AS240" s="501"/>
      <c r="AT240" s="501"/>
      <c r="AU240" s="501"/>
      <c r="AV240" s="501"/>
      <c r="AW240" s="501"/>
      <c r="AX240" s="501"/>
      <c r="AY240" s="501"/>
      <c r="AZ240" s="501"/>
      <c r="BA240" s="501"/>
      <c r="BB240" s="501"/>
      <c r="BC240" s="501"/>
      <c r="BD240" s="501"/>
      <c r="BE240" s="501"/>
      <c r="BF240" s="501"/>
      <c r="BG240" s="501"/>
      <c r="BH240" s="501"/>
      <c r="BI240" s="501"/>
      <c r="BJ240" s="501"/>
      <c r="BK240" s="501"/>
      <c r="BL240" s="501"/>
      <c r="BM240" s="501"/>
      <c r="BN240" s="501"/>
      <c r="BO240" s="501"/>
      <c r="BP240" s="501"/>
      <c r="BQ240" s="501"/>
      <c r="BR240" s="501"/>
      <c r="BS240" s="501"/>
      <c r="BT240" s="501"/>
      <c r="BU240" s="501"/>
      <c r="BV240" s="501"/>
      <c r="BW240" s="501"/>
      <c r="BX240" s="501"/>
      <c r="BY240" s="501"/>
      <c r="BZ240" s="501"/>
      <c r="CA240" s="501"/>
      <c r="CB240" s="501"/>
      <c r="CC240" s="501"/>
      <c r="CD240" s="501"/>
      <c r="CE240" s="501"/>
      <c r="CF240" s="501"/>
      <c r="CG240" s="501"/>
      <c r="CH240" s="501"/>
      <c r="CI240" s="501"/>
      <c r="CJ240" s="501"/>
      <c r="CK240" s="501"/>
      <c r="CL240" s="501"/>
      <c r="CM240" s="501"/>
      <c r="CN240" s="501"/>
      <c r="CO240" s="501"/>
      <c r="CP240" s="501"/>
      <c r="CQ240" s="501"/>
      <c r="CR240" s="501"/>
      <c r="CS240" s="501"/>
      <c r="CT240" s="501"/>
    </row>
    <row r="241">
      <c r="A241" s="569"/>
      <c r="B241" s="569"/>
      <c r="C241" s="569"/>
      <c r="D241" s="498"/>
      <c r="E241" s="499"/>
      <c r="F241" s="499"/>
      <c r="G241" s="766"/>
      <c r="H241" s="766"/>
      <c r="I241" s="766"/>
      <c r="J241" s="766"/>
      <c r="K241" s="683"/>
      <c r="L241" s="683"/>
      <c r="M241" s="683"/>
      <c r="N241" s="683"/>
      <c r="O241" s="683"/>
      <c r="P241" s="683"/>
      <c r="Q241" s="683"/>
      <c r="R241" s="683"/>
      <c r="S241" s="683"/>
      <c r="T241" s="501"/>
      <c r="U241" s="501"/>
      <c r="V241" s="501"/>
      <c r="W241" s="501"/>
      <c r="X241" s="501"/>
      <c r="Y241" s="501"/>
      <c r="Z241" s="501"/>
      <c r="AA241" s="501"/>
      <c r="AB241" s="501"/>
      <c r="AC241" s="501"/>
      <c r="AD241" s="501"/>
      <c r="AE241" s="501"/>
      <c r="AF241" s="501"/>
      <c r="AG241" s="501"/>
      <c r="AH241" s="501"/>
      <c r="AI241" s="501"/>
      <c r="AJ241" s="501"/>
      <c r="AK241" s="501"/>
      <c r="AL241" s="501"/>
      <c r="AM241" s="501"/>
      <c r="AN241" s="501"/>
      <c r="AO241" s="501"/>
      <c r="AP241" s="501"/>
      <c r="AQ241" s="501"/>
      <c r="AR241" s="501"/>
      <c r="AS241" s="501"/>
      <c r="AT241" s="501"/>
      <c r="AU241" s="501"/>
      <c r="AV241" s="501"/>
      <c r="AW241" s="501"/>
      <c r="AX241" s="501"/>
      <c r="AY241" s="501"/>
      <c r="AZ241" s="501"/>
      <c r="BA241" s="501"/>
      <c r="BB241" s="501"/>
      <c r="BC241" s="501"/>
      <c r="BD241" s="501"/>
      <c r="BE241" s="501"/>
      <c r="BF241" s="501"/>
      <c r="BG241" s="501"/>
      <c r="BH241" s="501"/>
      <c r="BI241" s="501"/>
      <c r="BJ241" s="501"/>
      <c r="BK241" s="501"/>
      <c r="BL241" s="501"/>
      <c r="BM241" s="501"/>
      <c r="BN241" s="501"/>
      <c r="BO241" s="501"/>
      <c r="BP241" s="501"/>
      <c r="BQ241" s="501"/>
      <c r="BR241" s="501"/>
      <c r="BS241" s="501"/>
      <c r="BT241" s="501"/>
      <c r="BU241" s="501"/>
      <c r="BV241" s="501"/>
      <c r="BW241" s="501"/>
      <c r="BX241" s="501"/>
      <c r="BY241" s="501"/>
      <c r="BZ241" s="501"/>
      <c r="CA241" s="501"/>
      <c r="CB241" s="501"/>
      <c r="CC241" s="501"/>
      <c r="CD241" s="501"/>
      <c r="CE241" s="501"/>
      <c r="CF241" s="501"/>
      <c r="CG241" s="501"/>
      <c r="CH241" s="501"/>
      <c r="CI241" s="501"/>
      <c r="CJ241" s="501"/>
      <c r="CK241" s="501"/>
      <c r="CL241" s="501"/>
      <c r="CM241" s="501"/>
      <c r="CN241" s="501"/>
      <c r="CO241" s="501"/>
      <c r="CP241" s="501"/>
      <c r="CQ241" s="501"/>
      <c r="CR241" s="501"/>
      <c r="CS241" s="501"/>
      <c r="CT241" s="501"/>
    </row>
    <row r="242">
      <c r="A242" s="569"/>
      <c r="B242" s="569"/>
      <c r="C242" s="569"/>
      <c r="D242" s="498"/>
      <c r="E242" s="499"/>
      <c r="F242" s="499"/>
      <c r="G242" s="766"/>
      <c r="H242" s="766"/>
      <c r="I242" s="766"/>
      <c r="J242" s="766"/>
      <c r="K242" s="683"/>
      <c r="L242" s="683"/>
      <c r="M242" s="683"/>
      <c r="N242" s="683"/>
      <c r="O242" s="683"/>
      <c r="P242" s="683"/>
      <c r="Q242" s="683"/>
      <c r="R242" s="683"/>
      <c r="S242" s="683"/>
      <c r="T242" s="501"/>
      <c r="U242" s="501"/>
      <c r="V242" s="501"/>
      <c r="W242" s="501"/>
      <c r="X242" s="501"/>
      <c r="Y242" s="501"/>
      <c r="Z242" s="501"/>
      <c r="AA242" s="501"/>
      <c r="AB242" s="501"/>
      <c r="AC242" s="501"/>
      <c r="AD242" s="501"/>
      <c r="AE242" s="501"/>
      <c r="AF242" s="501"/>
      <c r="AG242" s="501"/>
      <c r="AH242" s="501"/>
      <c r="AI242" s="501"/>
      <c r="AJ242" s="501"/>
      <c r="AK242" s="501"/>
      <c r="AL242" s="501"/>
      <c r="AM242" s="501"/>
      <c r="AN242" s="501"/>
      <c r="AO242" s="501"/>
      <c r="AP242" s="501"/>
      <c r="AQ242" s="501"/>
      <c r="AR242" s="501"/>
      <c r="AS242" s="501"/>
      <c r="AT242" s="501"/>
      <c r="AU242" s="501"/>
      <c r="AV242" s="501"/>
      <c r="AW242" s="501"/>
      <c r="AX242" s="501"/>
      <c r="AY242" s="501"/>
      <c r="AZ242" s="501"/>
      <c r="BA242" s="501"/>
      <c r="BB242" s="501"/>
      <c r="BC242" s="501"/>
      <c r="BD242" s="501"/>
      <c r="BE242" s="501"/>
      <c r="BF242" s="501"/>
      <c r="BG242" s="501"/>
      <c r="BH242" s="501"/>
      <c r="BI242" s="501"/>
      <c r="BJ242" s="501"/>
      <c r="BK242" s="501"/>
      <c r="BL242" s="501"/>
      <c r="BM242" s="501"/>
      <c r="BN242" s="501"/>
      <c r="BO242" s="501"/>
      <c r="BP242" s="501"/>
      <c r="BQ242" s="501"/>
      <c r="BR242" s="501"/>
      <c r="BS242" s="501"/>
      <c r="BT242" s="501"/>
      <c r="BU242" s="501"/>
      <c r="BV242" s="501"/>
      <c r="BW242" s="501"/>
      <c r="BX242" s="501"/>
      <c r="BY242" s="501"/>
      <c r="BZ242" s="501"/>
      <c r="CA242" s="501"/>
      <c r="CB242" s="501"/>
      <c r="CC242" s="501"/>
      <c r="CD242" s="501"/>
      <c r="CE242" s="501"/>
      <c r="CF242" s="501"/>
      <c r="CG242" s="501"/>
      <c r="CH242" s="501"/>
      <c r="CI242" s="501"/>
      <c r="CJ242" s="501"/>
      <c r="CK242" s="501"/>
      <c r="CL242" s="501"/>
      <c r="CM242" s="501"/>
      <c r="CN242" s="501"/>
      <c r="CO242" s="501"/>
      <c r="CP242" s="501"/>
      <c r="CQ242" s="501"/>
      <c r="CR242" s="501"/>
      <c r="CS242" s="501"/>
      <c r="CT242" s="501"/>
    </row>
    <row r="243">
      <c r="A243" s="569"/>
      <c r="B243" s="569"/>
      <c r="C243" s="569"/>
      <c r="D243" s="498"/>
      <c r="E243" s="499"/>
      <c r="F243" s="499"/>
      <c r="G243" s="766"/>
      <c r="H243" s="766"/>
      <c r="I243" s="766"/>
      <c r="J243" s="766"/>
      <c r="K243" s="683"/>
      <c r="L243" s="683"/>
      <c r="M243" s="683"/>
      <c r="N243" s="683"/>
      <c r="O243" s="683"/>
      <c r="P243" s="683"/>
      <c r="Q243" s="683"/>
      <c r="R243" s="683"/>
      <c r="S243" s="683"/>
      <c r="T243" s="501"/>
      <c r="U243" s="501"/>
      <c r="V243" s="501"/>
      <c r="W243" s="501"/>
      <c r="X243" s="501"/>
      <c r="Y243" s="501"/>
      <c r="Z243" s="501"/>
      <c r="AA243" s="501"/>
      <c r="AB243" s="501"/>
      <c r="AC243" s="501"/>
      <c r="AD243" s="501"/>
      <c r="AE243" s="501"/>
      <c r="AF243" s="501"/>
      <c r="AG243" s="501"/>
      <c r="AH243" s="501"/>
      <c r="AI243" s="501"/>
      <c r="AJ243" s="501"/>
      <c r="AK243" s="501"/>
      <c r="AL243" s="501"/>
      <c r="AM243" s="501"/>
      <c r="AN243" s="501"/>
      <c r="AO243" s="501"/>
      <c r="AP243" s="501"/>
      <c r="AQ243" s="501"/>
      <c r="AR243" s="501"/>
      <c r="AS243" s="501"/>
      <c r="AT243" s="501"/>
      <c r="AU243" s="501"/>
      <c r="AV243" s="501"/>
      <c r="AW243" s="501"/>
      <c r="AX243" s="501"/>
      <c r="AY243" s="501"/>
      <c r="AZ243" s="501"/>
      <c r="BA243" s="501"/>
      <c r="BB243" s="501"/>
      <c r="BC243" s="501"/>
      <c r="BD243" s="501"/>
      <c r="BE243" s="501"/>
      <c r="BF243" s="501"/>
      <c r="BG243" s="501"/>
      <c r="BH243" s="501"/>
      <c r="BI243" s="501"/>
      <c r="BJ243" s="501"/>
      <c r="BK243" s="501"/>
      <c r="BL243" s="501"/>
      <c r="BM243" s="501"/>
      <c r="BN243" s="501"/>
      <c r="BO243" s="501"/>
      <c r="BP243" s="501"/>
      <c r="BQ243" s="501"/>
      <c r="BR243" s="501"/>
      <c r="BS243" s="501"/>
      <c r="BT243" s="501"/>
      <c r="BU243" s="501"/>
      <c r="BV243" s="501"/>
      <c r="BW243" s="501"/>
      <c r="BX243" s="501"/>
      <c r="BY243" s="501"/>
      <c r="BZ243" s="501"/>
      <c r="CA243" s="501"/>
      <c r="CB243" s="501"/>
      <c r="CC243" s="501"/>
      <c r="CD243" s="501"/>
      <c r="CE243" s="501"/>
      <c r="CF243" s="501"/>
      <c r="CG243" s="501"/>
      <c r="CH243" s="501"/>
      <c r="CI243" s="501"/>
      <c r="CJ243" s="501"/>
      <c r="CK243" s="501"/>
      <c r="CL243" s="501"/>
      <c r="CM243" s="501"/>
      <c r="CN243" s="501"/>
      <c r="CO243" s="501"/>
      <c r="CP243" s="501"/>
      <c r="CQ243" s="501"/>
      <c r="CR243" s="501"/>
      <c r="CS243" s="501"/>
      <c r="CT243" s="501"/>
    </row>
    <row r="244">
      <c r="A244" s="569"/>
      <c r="B244" s="569"/>
      <c r="C244" s="569"/>
      <c r="D244" s="498"/>
      <c r="E244" s="499"/>
      <c r="F244" s="499"/>
      <c r="G244" s="766"/>
      <c r="H244" s="766"/>
      <c r="I244" s="766"/>
      <c r="J244" s="766"/>
      <c r="K244" s="683"/>
      <c r="L244" s="683"/>
      <c r="M244" s="683"/>
      <c r="N244" s="683"/>
      <c r="O244" s="683"/>
      <c r="P244" s="683"/>
      <c r="Q244" s="683"/>
      <c r="R244" s="683"/>
      <c r="S244" s="683"/>
      <c r="T244" s="501"/>
      <c r="U244" s="501"/>
      <c r="V244" s="501"/>
      <c r="W244" s="501"/>
      <c r="X244" s="501"/>
      <c r="Y244" s="501"/>
      <c r="Z244" s="501"/>
      <c r="AA244" s="501"/>
      <c r="AB244" s="501"/>
      <c r="AC244" s="501"/>
      <c r="AD244" s="501"/>
      <c r="AE244" s="501"/>
      <c r="AF244" s="501"/>
      <c r="AG244" s="501"/>
      <c r="AH244" s="501"/>
      <c r="AI244" s="501"/>
      <c r="AJ244" s="501"/>
      <c r="AK244" s="501"/>
      <c r="AL244" s="501"/>
      <c r="AM244" s="501"/>
      <c r="AN244" s="501"/>
      <c r="AO244" s="501"/>
      <c r="AP244" s="501"/>
      <c r="AQ244" s="501"/>
      <c r="AR244" s="501"/>
      <c r="AS244" s="501"/>
      <c r="AT244" s="501"/>
      <c r="AU244" s="501"/>
      <c r="AV244" s="501"/>
      <c r="AW244" s="501"/>
      <c r="AX244" s="501"/>
      <c r="AY244" s="501"/>
      <c r="AZ244" s="501"/>
      <c r="BA244" s="501"/>
      <c r="BB244" s="501"/>
      <c r="BC244" s="501"/>
      <c r="BD244" s="501"/>
      <c r="BE244" s="501"/>
      <c r="BF244" s="501"/>
      <c r="BG244" s="501"/>
      <c r="BH244" s="501"/>
      <c r="BI244" s="501"/>
      <c r="BJ244" s="501"/>
      <c r="BK244" s="501"/>
      <c r="BL244" s="501"/>
      <c r="BM244" s="501"/>
      <c r="BN244" s="501"/>
      <c r="BO244" s="501"/>
      <c r="BP244" s="501"/>
      <c r="BQ244" s="501"/>
      <c r="BR244" s="501"/>
      <c r="BS244" s="501"/>
      <c r="BT244" s="501"/>
      <c r="BU244" s="501"/>
      <c r="BV244" s="501"/>
      <c r="BW244" s="501"/>
      <c r="BX244" s="501"/>
      <c r="BY244" s="501"/>
      <c r="BZ244" s="501"/>
      <c r="CA244" s="501"/>
      <c r="CB244" s="501"/>
      <c r="CC244" s="501"/>
      <c r="CD244" s="501"/>
      <c r="CE244" s="501"/>
      <c r="CF244" s="501"/>
      <c r="CG244" s="501"/>
      <c r="CH244" s="501"/>
      <c r="CI244" s="501"/>
      <c r="CJ244" s="501"/>
      <c r="CK244" s="501"/>
      <c r="CL244" s="501"/>
      <c r="CM244" s="501"/>
      <c r="CN244" s="501"/>
      <c r="CO244" s="501"/>
      <c r="CP244" s="501"/>
      <c r="CQ244" s="501"/>
      <c r="CR244" s="501"/>
      <c r="CS244" s="501"/>
      <c r="CT244" s="501"/>
    </row>
    <row r="245">
      <c r="A245" s="569"/>
      <c r="B245" s="569"/>
      <c r="C245" s="569"/>
      <c r="D245" s="498"/>
      <c r="E245" s="499"/>
      <c r="F245" s="499"/>
      <c r="G245" s="766"/>
      <c r="H245" s="766"/>
      <c r="I245" s="766"/>
      <c r="J245" s="766"/>
      <c r="K245" s="683"/>
      <c r="L245" s="683"/>
      <c r="M245" s="683"/>
      <c r="N245" s="683"/>
      <c r="O245" s="683"/>
      <c r="P245" s="683"/>
      <c r="Q245" s="683"/>
      <c r="R245" s="683"/>
      <c r="S245" s="683"/>
      <c r="T245" s="501"/>
      <c r="U245" s="501"/>
      <c r="V245" s="501"/>
      <c r="W245" s="501"/>
      <c r="X245" s="501"/>
      <c r="Y245" s="501"/>
      <c r="Z245" s="501"/>
      <c r="AA245" s="501"/>
      <c r="AB245" s="501"/>
      <c r="AC245" s="501"/>
      <c r="AD245" s="501"/>
      <c r="AE245" s="501"/>
      <c r="AF245" s="501"/>
      <c r="AG245" s="501"/>
      <c r="AH245" s="501"/>
      <c r="AI245" s="501"/>
      <c r="AJ245" s="501"/>
      <c r="AK245" s="501"/>
      <c r="AL245" s="501"/>
      <c r="AM245" s="501"/>
      <c r="AN245" s="501"/>
      <c r="AO245" s="501"/>
      <c r="AP245" s="501"/>
      <c r="AQ245" s="501"/>
      <c r="AR245" s="501"/>
      <c r="AS245" s="501"/>
      <c r="AT245" s="501"/>
      <c r="AU245" s="501"/>
      <c r="AV245" s="501"/>
      <c r="AW245" s="501"/>
      <c r="AX245" s="501"/>
      <c r="AY245" s="501"/>
      <c r="AZ245" s="501"/>
      <c r="BA245" s="501"/>
      <c r="BB245" s="501"/>
      <c r="BC245" s="501"/>
      <c r="BD245" s="501"/>
      <c r="BE245" s="501"/>
      <c r="BF245" s="501"/>
      <c r="BG245" s="501"/>
      <c r="BH245" s="501"/>
      <c r="BI245" s="501"/>
      <c r="BJ245" s="501"/>
      <c r="BK245" s="501"/>
      <c r="BL245" s="501"/>
      <c r="BM245" s="501"/>
      <c r="BN245" s="501"/>
      <c r="BO245" s="501"/>
      <c r="BP245" s="501"/>
      <c r="BQ245" s="501"/>
      <c r="BR245" s="501"/>
      <c r="BS245" s="501"/>
      <c r="BT245" s="501"/>
      <c r="BU245" s="501"/>
      <c r="BV245" s="501"/>
      <c r="BW245" s="501"/>
      <c r="BX245" s="501"/>
      <c r="BY245" s="501"/>
      <c r="BZ245" s="501"/>
      <c r="CA245" s="501"/>
      <c r="CB245" s="501"/>
      <c r="CC245" s="501"/>
      <c r="CD245" s="501"/>
      <c r="CE245" s="501"/>
      <c r="CF245" s="501"/>
      <c r="CG245" s="501"/>
      <c r="CH245" s="501"/>
      <c r="CI245" s="501"/>
      <c r="CJ245" s="501"/>
      <c r="CK245" s="501"/>
      <c r="CL245" s="501"/>
      <c r="CM245" s="501"/>
      <c r="CN245" s="501"/>
      <c r="CO245" s="501"/>
      <c r="CP245" s="501"/>
      <c r="CQ245" s="501"/>
      <c r="CR245" s="501"/>
      <c r="CS245" s="501"/>
      <c r="CT245" s="501"/>
    </row>
    <row r="246">
      <c r="A246" s="569"/>
      <c r="B246" s="569"/>
      <c r="C246" s="569"/>
      <c r="D246" s="498"/>
      <c r="E246" s="499"/>
      <c r="F246" s="499"/>
      <c r="G246" s="766"/>
      <c r="H246" s="766"/>
      <c r="I246" s="766"/>
      <c r="J246" s="766"/>
      <c r="K246" s="683"/>
      <c r="L246" s="683"/>
      <c r="M246" s="683"/>
      <c r="N246" s="683"/>
      <c r="O246" s="683"/>
      <c r="P246" s="683"/>
      <c r="Q246" s="683"/>
      <c r="R246" s="683"/>
      <c r="S246" s="683"/>
      <c r="T246" s="501"/>
      <c r="U246" s="501"/>
      <c r="V246" s="501"/>
      <c r="W246" s="501"/>
      <c r="X246" s="501"/>
      <c r="Y246" s="501"/>
      <c r="Z246" s="501"/>
      <c r="AA246" s="501"/>
      <c r="AB246" s="501"/>
      <c r="AC246" s="501"/>
      <c r="AD246" s="501"/>
      <c r="AE246" s="501"/>
      <c r="AF246" s="501"/>
      <c r="AG246" s="501"/>
      <c r="AH246" s="501"/>
      <c r="AI246" s="501"/>
      <c r="AJ246" s="501"/>
      <c r="AK246" s="501"/>
      <c r="AL246" s="501"/>
      <c r="AM246" s="501"/>
      <c r="AN246" s="501"/>
      <c r="AO246" s="501"/>
      <c r="AP246" s="501"/>
      <c r="AQ246" s="501"/>
      <c r="AR246" s="501"/>
      <c r="AS246" s="501"/>
      <c r="AT246" s="501"/>
      <c r="AU246" s="501"/>
      <c r="AV246" s="501"/>
      <c r="AW246" s="501"/>
      <c r="AX246" s="501"/>
      <c r="AY246" s="501"/>
      <c r="AZ246" s="501"/>
      <c r="BA246" s="501"/>
      <c r="BB246" s="501"/>
      <c r="BC246" s="501"/>
      <c r="BD246" s="501"/>
      <c r="BE246" s="501"/>
      <c r="BF246" s="501"/>
      <c r="BG246" s="501"/>
      <c r="BH246" s="501"/>
      <c r="BI246" s="501"/>
      <c r="BJ246" s="501"/>
      <c r="BK246" s="501"/>
      <c r="BL246" s="501"/>
      <c r="BM246" s="501"/>
      <c r="BN246" s="501"/>
      <c r="BO246" s="501"/>
      <c r="BP246" s="501"/>
      <c r="BQ246" s="501"/>
      <c r="BR246" s="501"/>
      <c r="BS246" s="501"/>
      <c r="BT246" s="501"/>
      <c r="BU246" s="501"/>
      <c r="BV246" s="501"/>
      <c r="BW246" s="501"/>
      <c r="BX246" s="501"/>
      <c r="BY246" s="501"/>
      <c r="BZ246" s="501"/>
      <c r="CA246" s="501"/>
      <c r="CB246" s="501"/>
      <c r="CC246" s="501"/>
      <c r="CD246" s="501"/>
      <c r="CE246" s="501"/>
      <c r="CF246" s="501"/>
      <c r="CG246" s="501"/>
      <c r="CH246" s="501"/>
      <c r="CI246" s="501"/>
      <c r="CJ246" s="501"/>
      <c r="CK246" s="501"/>
      <c r="CL246" s="501"/>
      <c r="CM246" s="501"/>
      <c r="CN246" s="501"/>
      <c r="CO246" s="501"/>
      <c r="CP246" s="501"/>
      <c r="CQ246" s="501"/>
      <c r="CR246" s="501"/>
      <c r="CS246" s="501"/>
      <c r="CT246" s="501"/>
    </row>
    <row r="247">
      <c r="A247" s="569"/>
      <c r="B247" s="569"/>
      <c r="C247" s="569"/>
      <c r="D247" s="498"/>
      <c r="E247" s="499"/>
      <c r="F247" s="499"/>
      <c r="G247" s="766"/>
      <c r="H247" s="766"/>
      <c r="I247" s="766"/>
      <c r="J247" s="766"/>
      <c r="K247" s="683"/>
      <c r="L247" s="683"/>
      <c r="M247" s="683"/>
      <c r="N247" s="683"/>
      <c r="O247" s="683"/>
      <c r="P247" s="683"/>
      <c r="Q247" s="683"/>
      <c r="R247" s="683"/>
      <c r="S247" s="683"/>
      <c r="T247" s="501"/>
      <c r="U247" s="501"/>
      <c r="V247" s="501"/>
      <c r="W247" s="501"/>
      <c r="X247" s="501"/>
      <c r="Y247" s="501"/>
      <c r="Z247" s="501"/>
      <c r="AA247" s="501"/>
      <c r="AB247" s="501"/>
      <c r="AC247" s="501"/>
      <c r="AD247" s="501"/>
      <c r="AE247" s="501"/>
      <c r="AF247" s="501"/>
      <c r="AG247" s="501"/>
      <c r="AH247" s="501"/>
      <c r="AI247" s="501"/>
      <c r="AJ247" s="501"/>
      <c r="AK247" s="501"/>
      <c r="AL247" s="501"/>
      <c r="AM247" s="501"/>
      <c r="AN247" s="501"/>
      <c r="AO247" s="501"/>
      <c r="AP247" s="501"/>
      <c r="AQ247" s="501"/>
      <c r="AR247" s="501"/>
      <c r="AS247" s="501"/>
      <c r="AT247" s="501"/>
      <c r="AU247" s="501"/>
      <c r="AV247" s="501"/>
      <c r="AW247" s="501"/>
      <c r="AX247" s="501"/>
      <c r="AY247" s="501"/>
      <c r="AZ247" s="501"/>
      <c r="BA247" s="501"/>
      <c r="BB247" s="501"/>
      <c r="BC247" s="501"/>
      <c r="BD247" s="501"/>
      <c r="BE247" s="501"/>
      <c r="BF247" s="501"/>
      <c r="BG247" s="501"/>
      <c r="BH247" s="501"/>
      <c r="BI247" s="501"/>
      <c r="BJ247" s="501"/>
      <c r="BK247" s="501"/>
      <c r="BL247" s="501"/>
      <c r="BM247" s="501"/>
      <c r="BN247" s="501"/>
      <c r="BO247" s="501"/>
      <c r="BP247" s="501"/>
      <c r="BQ247" s="501"/>
      <c r="BR247" s="501"/>
      <c r="BS247" s="501"/>
      <c r="BT247" s="501"/>
      <c r="BU247" s="501"/>
      <c r="BV247" s="501"/>
      <c r="BW247" s="501"/>
      <c r="BX247" s="501"/>
      <c r="BY247" s="501"/>
      <c r="BZ247" s="501"/>
      <c r="CA247" s="501"/>
      <c r="CB247" s="501"/>
      <c r="CC247" s="501"/>
      <c r="CD247" s="501"/>
      <c r="CE247" s="501"/>
      <c r="CF247" s="501"/>
      <c r="CG247" s="501"/>
      <c r="CH247" s="501"/>
      <c r="CI247" s="501"/>
      <c r="CJ247" s="501"/>
      <c r="CK247" s="501"/>
      <c r="CL247" s="501"/>
      <c r="CM247" s="501"/>
      <c r="CN247" s="501"/>
      <c r="CO247" s="501"/>
      <c r="CP247" s="501"/>
      <c r="CQ247" s="501"/>
      <c r="CR247" s="501"/>
      <c r="CS247" s="501"/>
      <c r="CT247" s="501"/>
    </row>
    <row r="248">
      <c r="A248" s="569"/>
      <c r="B248" s="569"/>
      <c r="C248" s="569"/>
      <c r="D248" s="498"/>
      <c r="E248" s="499"/>
      <c r="F248" s="499"/>
      <c r="G248" s="766"/>
      <c r="H248" s="766"/>
      <c r="I248" s="766"/>
      <c r="J248" s="766"/>
      <c r="K248" s="683"/>
      <c r="L248" s="683"/>
      <c r="M248" s="683"/>
      <c r="N248" s="683"/>
      <c r="O248" s="683"/>
      <c r="P248" s="683"/>
      <c r="Q248" s="683"/>
      <c r="R248" s="683"/>
      <c r="S248" s="683"/>
      <c r="T248" s="501"/>
      <c r="U248" s="501"/>
      <c r="V248" s="501"/>
      <c r="W248" s="501"/>
      <c r="X248" s="501"/>
      <c r="Y248" s="501"/>
      <c r="Z248" s="501"/>
      <c r="AA248" s="501"/>
      <c r="AB248" s="501"/>
      <c r="AC248" s="501"/>
      <c r="AD248" s="501"/>
      <c r="AE248" s="501"/>
      <c r="AF248" s="501"/>
      <c r="AG248" s="501"/>
      <c r="AH248" s="501"/>
      <c r="AI248" s="501"/>
      <c r="AJ248" s="501"/>
      <c r="AK248" s="501"/>
      <c r="AL248" s="501"/>
      <c r="AM248" s="501"/>
      <c r="AN248" s="501"/>
      <c r="AO248" s="501"/>
      <c r="AP248" s="501"/>
      <c r="AQ248" s="501"/>
      <c r="AR248" s="501"/>
      <c r="AS248" s="501"/>
      <c r="AT248" s="501"/>
      <c r="AU248" s="501"/>
      <c r="AV248" s="501"/>
      <c r="AW248" s="501"/>
      <c r="AX248" s="501"/>
      <c r="AY248" s="501"/>
      <c r="AZ248" s="501"/>
      <c r="BA248" s="501"/>
      <c r="BB248" s="501"/>
      <c r="BC248" s="501"/>
      <c r="BD248" s="501"/>
      <c r="BE248" s="501"/>
      <c r="BF248" s="501"/>
      <c r="BG248" s="501"/>
      <c r="BH248" s="501"/>
      <c r="BI248" s="501"/>
      <c r="BJ248" s="501"/>
      <c r="BK248" s="501"/>
      <c r="BL248" s="501"/>
      <c r="BM248" s="501"/>
      <c r="BN248" s="501"/>
      <c r="BO248" s="501"/>
      <c r="BP248" s="501"/>
      <c r="BQ248" s="501"/>
      <c r="BR248" s="501"/>
      <c r="BS248" s="501"/>
      <c r="BT248" s="501"/>
      <c r="BU248" s="501"/>
      <c r="BV248" s="501"/>
      <c r="BW248" s="501"/>
      <c r="BX248" s="501"/>
      <c r="BY248" s="501"/>
      <c r="BZ248" s="501"/>
      <c r="CA248" s="501"/>
      <c r="CB248" s="501"/>
      <c r="CC248" s="501"/>
      <c r="CD248" s="501"/>
      <c r="CE248" s="501"/>
      <c r="CF248" s="501"/>
      <c r="CG248" s="501"/>
      <c r="CH248" s="501"/>
      <c r="CI248" s="501"/>
      <c r="CJ248" s="501"/>
      <c r="CK248" s="501"/>
      <c r="CL248" s="501"/>
      <c r="CM248" s="501"/>
      <c r="CN248" s="501"/>
      <c r="CO248" s="501"/>
      <c r="CP248" s="501"/>
      <c r="CQ248" s="501"/>
      <c r="CR248" s="501"/>
      <c r="CS248" s="501"/>
      <c r="CT248" s="501"/>
    </row>
    <row r="249">
      <c r="A249" s="569"/>
      <c r="B249" s="569"/>
      <c r="C249" s="569"/>
      <c r="D249" s="498"/>
      <c r="E249" s="499"/>
      <c r="F249" s="499"/>
      <c r="G249" s="766"/>
      <c r="H249" s="766"/>
      <c r="I249" s="766"/>
      <c r="J249" s="766"/>
      <c r="K249" s="683"/>
      <c r="L249" s="683"/>
      <c r="M249" s="683"/>
      <c r="N249" s="683"/>
      <c r="O249" s="683"/>
      <c r="P249" s="683"/>
      <c r="Q249" s="683"/>
      <c r="R249" s="683"/>
      <c r="S249" s="683"/>
      <c r="T249" s="501"/>
      <c r="U249" s="501"/>
      <c r="V249" s="501"/>
      <c r="W249" s="501"/>
      <c r="X249" s="501"/>
      <c r="Y249" s="501"/>
      <c r="Z249" s="501"/>
      <c r="AA249" s="501"/>
      <c r="AB249" s="501"/>
      <c r="AC249" s="501"/>
      <c r="AD249" s="501"/>
      <c r="AE249" s="501"/>
      <c r="AF249" s="501"/>
      <c r="AG249" s="501"/>
      <c r="AH249" s="501"/>
      <c r="AI249" s="501"/>
      <c r="AJ249" s="501"/>
      <c r="AK249" s="501"/>
      <c r="AL249" s="501"/>
      <c r="AM249" s="501"/>
      <c r="AN249" s="501"/>
      <c r="AO249" s="501"/>
      <c r="AP249" s="501"/>
      <c r="AQ249" s="501"/>
      <c r="AR249" s="501"/>
      <c r="AS249" s="501"/>
      <c r="AT249" s="501"/>
      <c r="AU249" s="501"/>
      <c r="AV249" s="501"/>
      <c r="AW249" s="501"/>
      <c r="AX249" s="501"/>
      <c r="AY249" s="501"/>
      <c r="AZ249" s="501"/>
      <c r="BA249" s="501"/>
      <c r="BB249" s="501"/>
      <c r="BC249" s="501"/>
      <c r="BD249" s="501"/>
      <c r="BE249" s="501"/>
      <c r="BF249" s="501"/>
      <c r="BG249" s="501"/>
      <c r="BH249" s="501"/>
      <c r="BI249" s="501"/>
      <c r="BJ249" s="501"/>
      <c r="BK249" s="501"/>
      <c r="BL249" s="501"/>
      <c r="BM249" s="501"/>
      <c r="BN249" s="501"/>
      <c r="BO249" s="501"/>
      <c r="BP249" s="501"/>
      <c r="BQ249" s="501"/>
      <c r="BR249" s="501"/>
      <c r="BS249" s="501"/>
      <c r="BT249" s="501"/>
      <c r="BU249" s="501"/>
      <c r="BV249" s="501"/>
      <c r="BW249" s="501"/>
      <c r="BX249" s="501"/>
      <c r="BY249" s="501"/>
      <c r="BZ249" s="501"/>
      <c r="CA249" s="501"/>
      <c r="CB249" s="501"/>
      <c r="CC249" s="501"/>
      <c r="CD249" s="501"/>
      <c r="CE249" s="501"/>
      <c r="CF249" s="501"/>
      <c r="CG249" s="501"/>
      <c r="CH249" s="501"/>
      <c r="CI249" s="501"/>
      <c r="CJ249" s="501"/>
      <c r="CK249" s="501"/>
      <c r="CL249" s="501"/>
      <c r="CM249" s="501"/>
      <c r="CN249" s="501"/>
      <c r="CO249" s="501"/>
      <c r="CP249" s="501"/>
      <c r="CQ249" s="501"/>
      <c r="CR249" s="501"/>
      <c r="CS249" s="501"/>
      <c r="CT249" s="501"/>
    </row>
    <row r="250">
      <c r="A250" s="569"/>
      <c r="B250" s="569"/>
      <c r="C250" s="569"/>
      <c r="D250" s="498"/>
      <c r="E250" s="499"/>
      <c r="F250" s="499"/>
      <c r="G250" s="766"/>
      <c r="H250" s="766"/>
      <c r="I250" s="766"/>
      <c r="J250" s="766"/>
      <c r="K250" s="683"/>
      <c r="L250" s="683"/>
      <c r="M250" s="683"/>
      <c r="N250" s="683"/>
      <c r="O250" s="683"/>
      <c r="P250" s="683"/>
      <c r="Q250" s="683"/>
      <c r="R250" s="683"/>
      <c r="S250" s="683"/>
      <c r="T250" s="501"/>
      <c r="U250" s="501"/>
      <c r="V250" s="501"/>
      <c r="W250" s="501"/>
      <c r="X250" s="501"/>
      <c r="Y250" s="501"/>
      <c r="Z250" s="501"/>
      <c r="AA250" s="501"/>
      <c r="AB250" s="501"/>
      <c r="AC250" s="501"/>
      <c r="AD250" s="501"/>
      <c r="AE250" s="501"/>
      <c r="AF250" s="501"/>
      <c r="AG250" s="501"/>
      <c r="AH250" s="501"/>
      <c r="AI250" s="501"/>
      <c r="AJ250" s="501"/>
      <c r="AK250" s="501"/>
      <c r="AL250" s="501"/>
      <c r="AM250" s="501"/>
      <c r="AN250" s="501"/>
      <c r="AO250" s="501"/>
      <c r="AP250" s="501"/>
      <c r="AQ250" s="501"/>
      <c r="AR250" s="501"/>
      <c r="AS250" s="501"/>
      <c r="AT250" s="501"/>
      <c r="AU250" s="501"/>
      <c r="AV250" s="501"/>
      <c r="AW250" s="501"/>
      <c r="AX250" s="501"/>
      <c r="AY250" s="501"/>
      <c r="AZ250" s="501"/>
      <c r="BA250" s="501"/>
      <c r="BB250" s="501"/>
      <c r="BC250" s="501"/>
      <c r="BD250" s="501"/>
      <c r="BE250" s="501"/>
      <c r="BF250" s="501"/>
      <c r="BG250" s="501"/>
      <c r="BH250" s="501"/>
      <c r="BI250" s="501"/>
      <c r="BJ250" s="501"/>
      <c r="BK250" s="501"/>
      <c r="BL250" s="501"/>
      <c r="BM250" s="501"/>
      <c r="BN250" s="501"/>
      <c r="BO250" s="501"/>
      <c r="BP250" s="501"/>
      <c r="BQ250" s="501"/>
      <c r="BR250" s="501"/>
      <c r="BS250" s="501"/>
      <c r="BT250" s="501"/>
      <c r="BU250" s="501"/>
      <c r="BV250" s="501"/>
      <c r="BW250" s="501"/>
      <c r="BX250" s="501"/>
      <c r="BY250" s="501"/>
      <c r="BZ250" s="501"/>
      <c r="CA250" s="501"/>
      <c r="CB250" s="501"/>
      <c r="CC250" s="501"/>
      <c r="CD250" s="501"/>
      <c r="CE250" s="501"/>
      <c r="CF250" s="501"/>
      <c r="CG250" s="501"/>
      <c r="CH250" s="501"/>
      <c r="CI250" s="501"/>
      <c r="CJ250" s="501"/>
      <c r="CK250" s="501"/>
      <c r="CL250" s="501"/>
      <c r="CM250" s="501"/>
      <c r="CN250" s="501"/>
      <c r="CO250" s="501"/>
      <c r="CP250" s="501"/>
      <c r="CQ250" s="501"/>
      <c r="CR250" s="501"/>
      <c r="CS250" s="501"/>
      <c r="CT250" s="501"/>
    </row>
    <row r="251">
      <c r="A251" s="569"/>
      <c r="B251" s="569"/>
      <c r="C251" s="569"/>
      <c r="D251" s="498"/>
      <c r="E251" s="499"/>
      <c r="F251" s="499"/>
      <c r="G251" s="766"/>
      <c r="H251" s="766"/>
      <c r="I251" s="766"/>
      <c r="J251" s="766"/>
      <c r="K251" s="683"/>
      <c r="L251" s="683"/>
      <c r="M251" s="683"/>
      <c r="N251" s="683"/>
      <c r="O251" s="683"/>
      <c r="P251" s="683"/>
      <c r="Q251" s="683"/>
      <c r="R251" s="683"/>
      <c r="S251" s="683"/>
      <c r="T251" s="501"/>
      <c r="U251" s="501"/>
      <c r="V251" s="501"/>
      <c r="W251" s="501"/>
      <c r="X251" s="501"/>
      <c r="Y251" s="501"/>
      <c r="Z251" s="501"/>
      <c r="AA251" s="501"/>
      <c r="AB251" s="501"/>
      <c r="AC251" s="501"/>
      <c r="AD251" s="501"/>
      <c r="AE251" s="501"/>
      <c r="AF251" s="501"/>
      <c r="AG251" s="501"/>
      <c r="AH251" s="501"/>
      <c r="AI251" s="501"/>
      <c r="AJ251" s="501"/>
      <c r="AK251" s="501"/>
      <c r="AL251" s="501"/>
      <c r="AM251" s="501"/>
      <c r="AN251" s="501"/>
      <c r="AO251" s="501"/>
      <c r="AP251" s="501"/>
      <c r="AQ251" s="501"/>
      <c r="AR251" s="501"/>
      <c r="AS251" s="501"/>
      <c r="AT251" s="501"/>
      <c r="AU251" s="501"/>
      <c r="AV251" s="501"/>
      <c r="AW251" s="501"/>
      <c r="AX251" s="501"/>
      <c r="AY251" s="501"/>
      <c r="AZ251" s="501"/>
      <c r="BA251" s="501"/>
      <c r="BB251" s="501"/>
      <c r="BC251" s="501"/>
      <c r="BD251" s="501"/>
      <c r="BE251" s="501"/>
      <c r="BF251" s="501"/>
      <c r="BG251" s="501"/>
      <c r="BH251" s="501"/>
      <c r="BI251" s="501"/>
      <c r="BJ251" s="501"/>
      <c r="BK251" s="501"/>
      <c r="BL251" s="501"/>
      <c r="BM251" s="501"/>
      <c r="BN251" s="501"/>
      <c r="BO251" s="501"/>
      <c r="BP251" s="501"/>
      <c r="BQ251" s="501"/>
      <c r="BR251" s="501"/>
      <c r="BS251" s="501"/>
      <c r="BT251" s="501"/>
      <c r="BU251" s="501"/>
      <c r="BV251" s="501"/>
      <c r="BW251" s="501"/>
      <c r="BX251" s="501"/>
      <c r="BY251" s="501"/>
      <c r="BZ251" s="501"/>
      <c r="CA251" s="501"/>
      <c r="CB251" s="501"/>
      <c r="CC251" s="501"/>
      <c r="CD251" s="501"/>
      <c r="CE251" s="501"/>
      <c r="CF251" s="501"/>
      <c r="CG251" s="501"/>
      <c r="CH251" s="501"/>
      <c r="CI251" s="501"/>
      <c r="CJ251" s="501"/>
      <c r="CK251" s="501"/>
      <c r="CL251" s="501"/>
      <c r="CM251" s="501"/>
      <c r="CN251" s="501"/>
      <c r="CO251" s="501"/>
      <c r="CP251" s="501"/>
      <c r="CQ251" s="501"/>
      <c r="CR251" s="501"/>
      <c r="CS251" s="501"/>
      <c r="CT251" s="501"/>
    </row>
    <row r="252">
      <c r="A252" s="569"/>
      <c r="B252" s="569"/>
      <c r="C252" s="569"/>
      <c r="D252" s="498"/>
      <c r="E252" s="499"/>
      <c r="F252" s="499"/>
      <c r="G252" s="766"/>
      <c r="H252" s="766"/>
      <c r="I252" s="766"/>
      <c r="J252" s="766"/>
      <c r="K252" s="683"/>
      <c r="L252" s="683"/>
      <c r="M252" s="683"/>
      <c r="N252" s="683"/>
      <c r="O252" s="683"/>
      <c r="P252" s="683"/>
      <c r="Q252" s="683"/>
      <c r="R252" s="683"/>
      <c r="S252" s="683"/>
      <c r="T252" s="501"/>
      <c r="U252" s="501"/>
      <c r="V252" s="501"/>
      <c r="W252" s="501"/>
      <c r="X252" s="501"/>
      <c r="Y252" s="501"/>
      <c r="Z252" s="501"/>
      <c r="AA252" s="501"/>
      <c r="AB252" s="501"/>
      <c r="AC252" s="501"/>
      <c r="AD252" s="501"/>
      <c r="AE252" s="501"/>
      <c r="AF252" s="501"/>
      <c r="AG252" s="501"/>
      <c r="AH252" s="501"/>
      <c r="AI252" s="501"/>
      <c r="AJ252" s="501"/>
      <c r="AK252" s="501"/>
      <c r="AL252" s="501"/>
      <c r="AM252" s="501"/>
      <c r="AN252" s="501"/>
      <c r="AO252" s="501"/>
      <c r="AP252" s="501"/>
      <c r="AQ252" s="501"/>
      <c r="AR252" s="501"/>
      <c r="AS252" s="501"/>
      <c r="AT252" s="501"/>
      <c r="AU252" s="501"/>
      <c r="AV252" s="501"/>
      <c r="AW252" s="501"/>
      <c r="AX252" s="501"/>
      <c r="AY252" s="501"/>
      <c r="AZ252" s="501"/>
      <c r="BA252" s="501"/>
      <c r="BB252" s="501"/>
      <c r="BC252" s="501"/>
      <c r="BD252" s="501"/>
      <c r="BE252" s="501"/>
      <c r="BF252" s="501"/>
      <c r="BG252" s="501"/>
      <c r="BH252" s="501"/>
      <c r="BI252" s="501"/>
      <c r="BJ252" s="501"/>
      <c r="BK252" s="501"/>
      <c r="BL252" s="501"/>
      <c r="BM252" s="501"/>
      <c r="BN252" s="501"/>
      <c r="BO252" s="501"/>
      <c r="BP252" s="501"/>
      <c r="BQ252" s="501"/>
      <c r="BR252" s="501"/>
      <c r="BS252" s="501"/>
      <c r="BT252" s="501"/>
      <c r="BU252" s="501"/>
      <c r="BV252" s="501"/>
      <c r="BW252" s="501"/>
      <c r="BX252" s="501"/>
      <c r="BY252" s="501"/>
      <c r="BZ252" s="501"/>
      <c r="CA252" s="501"/>
      <c r="CB252" s="501"/>
      <c r="CC252" s="501"/>
      <c r="CD252" s="501"/>
      <c r="CE252" s="501"/>
      <c r="CF252" s="501"/>
      <c r="CG252" s="501"/>
      <c r="CH252" s="501"/>
      <c r="CI252" s="501"/>
      <c r="CJ252" s="501"/>
      <c r="CK252" s="501"/>
      <c r="CL252" s="501"/>
      <c r="CM252" s="501"/>
      <c r="CN252" s="501"/>
      <c r="CO252" s="501"/>
      <c r="CP252" s="501"/>
      <c r="CQ252" s="501"/>
      <c r="CR252" s="501"/>
      <c r="CS252" s="501"/>
      <c r="CT252" s="501"/>
    </row>
    <row r="253">
      <c r="A253" s="569"/>
      <c r="B253" s="569"/>
      <c r="C253" s="569"/>
      <c r="D253" s="498"/>
      <c r="E253" s="499"/>
      <c r="F253" s="499"/>
      <c r="G253" s="766"/>
      <c r="H253" s="766"/>
      <c r="I253" s="766"/>
      <c r="J253" s="766"/>
      <c r="K253" s="683"/>
      <c r="L253" s="683"/>
      <c r="M253" s="683"/>
      <c r="N253" s="683"/>
      <c r="O253" s="683"/>
      <c r="P253" s="683"/>
      <c r="Q253" s="683"/>
      <c r="R253" s="683"/>
      <c r="S253" s="683"/>
      <c r="T253" s="501"/>
      <c r="U253" s="501"/>
      <c r="V253" s="501"/>
      <c r="W253" s="501"/>
      <c r="X253" s="501"/>
      <c r="Y253" s="501"/>
      <c r="Z253" s="501"/>
      <c r="AA253" s="501"/>
      <c r="AB253" s="501"/>
      <c r="AC253" s="501"/>
      <c r="AD253" s="501"/>
      <c r="AE253" s="501"/>
      <c r="AF253" s="501"/>
      <c r="AG253" s="501"/>
      <c r="AH253" s="501"/>
      <c r="AI253" s="501"/>
      <c r="AJ253" s="501"/>
      <c r="AK253" s="501"/>
      <c r="AL253" s="501"/>
      <c r="AM253" s="501"/>
      <c r="AN253" s="501"/>
      <c r="AO253" s="501"/>
      <c r="AP253" s="501"/>
      <c r="AQ253" s="501"/>
      <c r="AR253" s="501"/>
      <c r="AS253" s="501"/>
      <c r="AT253" s="501"/>
      <c r="AU253" s="501"/>
      <c r="AV253" s="501"/>
      <c r="AW253" s="501"/>
      <c r="AX253" s="501"/>
      <c r="AY253" s="501"/>
      <c r="AZ253" s="501"/>
      <c r="BA253" s="501"/>
      <c r="BB253" s="501"/>
      <c r="BC253" s="501"/>
      <c r="BD253" s="501"/>
      <c r="BE253" s="501"/>
      <c r="BF253" s="501"/>
      <c r="BG253" s="501"/>
      <c r="BH253" s="501"/>
      <c r="BI253" s="501"/>
      <c r="BJ253" s="501"/>
      <c r="BK253" s="501"/>
      <c r="BL253" s="501"/>
      <c r="BM253" s="501"/>
      <c r="BN253" s="501"/>
      <c r="BO253" s="501"/>
      <c r="BP253" s="501"/>
      <c r="BQ253" s="501"/>
      <c r="BR253" s="501"/>
      <c r="BS253" s="501"/>
      <c r="BT253" s="501"/>
      <c r="BU253" s="501"/>
      <c r="BV253" s="501"/>
      <c r="BW253" s="501"/>
      <c r="BX253" s="501"/>
      <c r="BY253" s="501"/>
      <c r="BZ253" s="501"/>
      <c r="CA253" s="501"/>
      <c r="CB253" s="501"/>
      <c r="CC253" s="501"/>
      <c r="CD253" s="501"/>
      <c r="CE253" s="501"/>
      <c r="CF253" s="501"/>
      <c r="CG253" s="501"/>
      <c r="CH253" s="501"/>
      <c r="CI253" s="501"/>
      <c r="CJ253" s="501"/>
      <c r="CK253" s="501"/>
      <c r="CL253" s="501"/>
      <c r="CM253" s="501"/>
      <c r="CN253" s="501"/>
      <c r="CO253" s="501"/>
      <c r="CP253" s="501"/>
      <c r="CQ253" s="501"/>
      <c r="CR253" s="501"/>
      <c r="CS253" s="501"/>
      <c r="CT253" s="501"/>
    </row>
    <row r="254">
      <c r="A254" s="569"/>
      <c r="B254" s="569"/>
      <c r="C254" s="569"/>
      <c r="D254" s="498"/>
      <c r="E254" s="499"/>
      <c r="F254" s="499"/>
      <c r="G254" s="766"/>
      <c r="H254" s="766"/>
      <c r="I254" s="766"/>
      <c r="J254" s="766"/>
      <c r="K254" s="683"/>
      <c r="L254" s="683"/>
      <c r="M254" s="683"/>
      <c r="N254" s="683"/>
      <c r="O254" s="683"/>
      <c r="P254" s="683"/>
      <c r="Q254" s="683"/>
      <c r="R254" s="683"/>
      <c r="S254" s="683"/>
      <c r="T254" s="501"/>
      <c r="U254" s="501"/>
      <c r="V254" s="501"/>
      <c r="W254" s="501"/>
      <c r="X254" s="501"/>
      <c r="Y254" s="501"/>
      <c r="Z254" s="501"/>
      <c r="AA254" s="501"/>
      <c r="AB254" s="501"/>
      <c r="AC254" s="501"/>
      <c r="AD254" s="501"/>
      <c r="AE254" s="501"/>
      <c r="AF254" s="501"/>
      <c r="AG254" s="501"/>
      <c r="AH254" s="501"/>
      <c r="AI254" s="501"/>
      <c r="AJ254" s="501"/>
      <c r="AK254" s="501"/>
      <c r="AL254" s="501"/>
      <c r="AM254" s="501"/>
      <c r="AN254" s="501"/>
      <c r="AO254" s="501"/>
      <c r="AP254" s="501"/>
      <c r="AQ254" s="501"/>
      <c r="AR254" s="501"/>
      <c r="AS254" s="501"/>
      <c r="AT254" s="501"/>
      <c r="AU254" s="501"/>
      <c r="AV254" s="501"/>
      <c r="AW254" s="501"/>
      <c r="AX254" s="501"/>
      <c r="AY254" s="501"/>
      <c r="AZ254" s="501"/>
      <c r="BA254" s="501"/>
      <c r="BB254" s="501"/>
      <c r="BC254" s="501"/>
      <c r="BD254" s="501"/>
      <c r="BE254" s="501"/>
      <c r="BF254" s="501"/>
      <c r="BG254" s="501"/>
      <c r="BH254" s="501"/>
      <c r="BI254" s="501"/>
      <c r="BJ254" s="501"/>
      <c r="BK254" s="501"/>
      <c r="BL254" s="501"/>
      <c r="BM254" s="501"/>
      <c r="BN254" s="501"/>
      <c r="BO254" s="501"/>
      <c r="BP254" s="501"/>
      <c r="BQ254" s="501"/>
      <c r="BR254" s="501"/>
      <c r="BS254" s="501"/>
      <c r="BT254" s="501"/>
      <c r="BU254" s="501"/>
      <c r="BV254" s="501"/>
      <c r="BW254" s="501"/>
      <c r="BX254" s="501"/>
      <c r="BY254" s="501"/>
      <c r="BZ254" s="501"/>
      <c r="CA254" s="501"/>
      <c r="CB254" s="501"/>
      <c r="CC254" s="501"/>
      <c r="CD254" s="501"/>
      <c r="CE254" s="501"/>
      <c r="CF254" s="501"/>
      <c r="CG254" s="501"/>
      <c r="CH254" s="501"/>
      <c r="CI254" s="501"/>
      <c r="CJ254" s="501"/>
      <c r="CK254" s="501"/>
      <c r="CL254" s="501"/>
      <c r="CM254" s="501"/>
      <c r="CN254" s="501"/>
      <c r="CO254" s="501"/>
      <c r="CP254" s="501"/>
      <c r="CQ254" s="501"/>
      <c r="CR254" s="501"/>
      <c r="CS254" s="501"/>
      <c r="CT254" s="501"/>
    </row>
    <row r="255">
      <c r="A255" s="569"/>
      <c r="B255" s="569"/>
      <c r="C255" s="569"/>
      <c r="D255" s="498"/>
      <c r="E255" s="499"/>
      <c r="F255" s="499"/>
      <c r="G255" s="766"/>
      <c r="H255" s="766"/>
      <c r="I255" s="766"/>
      <c r="J255" s="766"/>
      <c r="K255" s="683"/>
      <c r="L255" s="683"/>
      <c r="M255" s="683"/>
      <c r="N255" s="683"/>
      <c r="O255" s="683"/>
      <c r="P255" s="683"/>
      <c r="Q255" s="683"/>
      <c r="R255" s="683"/>
      <c r="S255" s="683"/>
      <c r="T255" s="501"/>
      <c r="U255" s="501"/>
      <c r="V255" s="501"/>
      <c r="W255" s="501"/>
      <c r="X255" s="501"/>
      <c r="Y255" s="501"/>
      <c r="Z255" s="501"/>
      <c r="AA255" s="501"/>
      <c r="AB255" s="501"/>
      <c r="AC255" s="501"/>
      <c r="AD255" s="501"/>
      <c r="AE255" s="501"/>
      <c r="AF255" s="501"/>
      <c r="AG255" s="501"/>
      <c r="AH255" s="501"/>
      <c r="AI255" s="501"/>
      <c r="AJ255" s="501"/>
      <c r="AK255" s="501"/>
      <c r="AL255" s="501"/>
      <c r="AM255" s="501"/>
      <c r="AN255" s="501"/>
      <c r="AO255" s="501"/>
      <c r="AP255" s="501"/>
      <c r="AQ255" s="501"/>
      <c r="AR255" s="501"/>
      <c r="AS255" s="501"/>
      <c r="AT255" s="501"/>
      <c r="AU255" s="501"/>
      <c r="AV255" s="501"/>
      <c r="AW255" s="501"/>
      <c r="AX255" s="501"/>
      <c r="AY255" s="501"/>
      <c r="AZ255" s="501"/>
      <c r="BA255" s="501"/>
      <c r="BB255" s="501"/>
      <c r="BC255" s="501"/>
      <c r="BD255" s="501"/>
      <c r="BE255" s="501"/>
      <c r="BF255" s="501"/>
      <c r="BG255" s="501"/>
      <c r="BH255" s="501"/>
      <c r="BI255" s="501"/>
      <c r="BJ255" s="501"/>
      <c r="BK255" s="501"/>
      <c r="BL255" s="501"/>
      <c r="BM255" s="501"/>
      <c r="BN255" s="501"/>
      <c r="BO255" s="501"/>
      <c r="BP255" s="501"/>
      <c r="BQ255" s="501"/>
      <c r="BR255" s="501"/>
      <c r="BS255" s="501"/>
      <c r="BT255" s="501"/>
      <c r="BU255" s="501"/>
      <c r="BV255" s="501"/>
      <c r="BW255" s="501"/>
      <c r="BX255" s="501"/>
      <c r="BY255" s="501"/>
      <c r="BZ255" s="501"/>
      <c r="CA255" s="501"/>
      <c r="CB255" s="501"/>
      <c r="CC255" s="501"/>
      <c r="CD255" s="501"/>
      <c r="CE255" s="501"/>
      <c r="CF255" s="501"/>
      <c r="CG255" s="501"/>
      <c r="CH255" s="501"/>
      <c r="CI255" s="501"/>
      <c r="CJ255" s="501"/>
      <c r="CK255" s="501"/>
      <c r="CL255" s="501"/>
      <c r="CM255" s="501"/>
      <c r="CN255" s="501"/>
      <c r="CO255" s="501"/>
      <c r="CP255" s="501"/>
      <c r="CQ255" s="501"/>
      <c r="CR255" s="501"/>
      <c r="CS255" s="501"/>
      <c r="CT255" s="501"/>
    </row>
    <row r="256">
      <c r="A256" s="569"/>
      <c r="B256" s="569"/>
      <c r="C256" s="569"/>
      <c r="D256" s="498"/>
      <c r="E256" s="499"/>
      <c r="F256" s="499"/>
      <c r="G256" s="766"/>
      <c r="H256" s="766"/>
      <c r="I256" s="766"/>
      <c r="J256" s="766"/>
      <c r="K256" s="683"/>
      <c r="L256" s="683"/>
      <c r="M256" s="683"/>
      <c r="N256" s="683"/>
      <c r="O256" s="683"/>
      <c r="P256" s="683"/>
      <c r="Q256" s="683"/>
      <c r="R256" s="683"/>
      <c r="S256" s="683"/>
      <c r="T256" s="501"/>
      <c r="U256" s="501"/>
      <c r="V256" s="501"/>
      <c r="W256" s="501"/>
      <c r="X256" s="501"/>
      <c r="Y256" s="501"/>
      <c r="Z256" s="501"/>
      <c r="AA256" s="501"/>
      <c r="AB256" s="501"/>
      <c r="AC256" s="501"/>
      <c r="AD256" s="501"/>
      <c r="AE256" s="501"/>
      <c r="AF256" s="501"/>
      <c r="AG256" s="501"/>
      <c r="AH256" s="501"/>
      <c r="AI256" s="501"/>
      <c r="AJ256" s="501"/>
      <c r="AK256" s="501"/>
      <c r="AL256" s="501"/>
      <c r="AM256" s="501"/>
      <c r="AN256" s="501"/>
      <c r="AO256" s="501"/>
      <c r="AP256" s="501"/>
      <c r="AQ256" s="501"/>
      <c r="AR256" s="501"/>
      <c r="AS256" s="501"/>
      <c r="AT256" s="501"/>
      <c r="AU256" s="501"/>
      <c r="AV256" s="501"/>
      <c r="AW256" s="501"/>
      <c r="AX256" s="501"/>
      <c r="AY256" s="501"/>
      <c r="AZ256" s="501"/>
      <c r="BA256" s="501"/>
      <c r="BB256" s="501"/>
      <c r="BC256" s="501"/>
      <c r="BD256" s="501"/>
      <c r="BE256" s="501"/>
      <c r="BF256" s="501"/>
      <c r="BG256" s="501"/>
      <c r="BH256" s="501"/>
      <c r="BI256" s="501"/>
      <c r="BJ256" s="501"/>
      <c r="BK256" s="501"/>
      <c r="BL256" s="501"/>
      <c r="BM256" s="501"/>
      <c r="BN256" s="501"/>
      <c r="BO256" s="501"/>
      <c r="BP256" s="501"/>
      <c r="BQ256" s="501"/>
      <c r="BR256" s="501"/>
      <c r="BS256" s="501"/>
      <c r="BT256" s="501"/>
      <c r="BU256" s="501"/>
      <c r="BV256" s="501"/>
      <c r="BW256" s="501"/>
      <c r="BX256" s="501"/>
      <c r="BY256" s="501"/>
      <c r="BZ256" s="501"/>
      <c r="CA256" s="501"/>
      <c r="CB256" s="501"/>
      <c r="CC256" s="501"/>
      <c r="CD256" s="501"/>
      <c r="CE256" s="501"/>
      <c r="CF256" s="501"/>
      <c r="CG256" s="501"/>
      <c r="CH256" s="501"/>
      <c r="CI256" s="501"/>
      <c r="CJ256" s="501"/>
      <c r="CK256" s="501"/>
      <c r="CL256" s="501"/>
      <c r="CM256" s="501"/>
      <c r="CN256" s="501"/>
      <c r="CO256" s="501"/>
      <c r="CP256" s="501"/>
      <c r="CQ256" s="501"/>
      <c r="CR256" s="501"/>
      <c r="CS256" s="501"/>
      <c r="CT256" s="501"/>
    </row>
    <row r="257">
      <c r="A257" s="569"/>
      <c r="B257" s="569"/>
      <c r="C257" s="569"/>
      <c r="D257" s="498"/>
      <c r="E257" s="499"/>
      <c r="F257" s="499"/>
      <c r="G257" s="766"/>
      <c r="H257" s="766"/>
      <c r="I257" s="766"/>
      <c r="J257" s="766"/>
      <c r="K257" s="683"/>
      <c r="L257" s="683"/>
      <c r="M257" s="683"/>
      <c r="N257" s="683"/>
      <c r="O257" s="683"/>
      <c r="P257" s="683"/>
      <c r="Q257" s="683"/>
      <c r="R257" s="683"/>
      <c r="S257" s="683"/>
      <c r="T257" s="501"/>
      <c r="U257" s="501"/>
      <c r="V257" s="501"/>
      <c r="W257" s="501"/>
      <c r="X257" s="501"/>
      <c r="Y257" s="501"/>
      <c r="Z257" s="501"/>
      <c r="AA257" s="501"/>
      <c r="AB257" s="501"/>
      <c r="AC257" s="501"/>
      <c r="AD257" s="501"/>
      <c r="AE257" s="501"/>
      <c r="AF257" s="501"/>
      <c r="AG257" s="501"/>
      <c r="AH257" s="501"/>
      <c r="AI257" s="501"/>
      <c r="AJ257" s="501"/>
      <c r="AK257" s="501"/>
      <c r="AL257" s="501"/>
      <c r="AM257" s="501"/>
      <c r="AN257" s="501"/>
      <c r="AO257" s="501"/>
      <c r="AP257" s="501"/>
      <c r="AQ257" s="501"/>
      <c r="AR257" s="501"/>
      <c r="AS257" s="501"/>
      <c r="AT257" s="501"/>
      <c r="AU257" s="501"/>
      <c r="AV257" s="501"/>
      <c r="AW257" s="501"/>
      <c r="AX257" s="501"/>
      <c r="AY257" s="501"/>
      <c r="AZ257" s="501"/>
      <c r="BA257" s="501"/>
      <c r="BB257" s="501"/>
      <c r="BC257" s="501"/>
      <c r="BD257" s="501"/>
      <c r="BE257" s="501"/>
      <c r="BF257" s="501"/>
      <c r="BG257" s="501"/>
      <c r="BH257" s="501"/>
      <c r="BI257" s="501"/>
      <c r="BJ257" s="501"/>
      <c r="BK257" s="501"/>
      <c r="BL257" s="501"/>
      <c r="BM257" s="501"/>
      <c r="BN257" s="501"/>
      <c r="BO257" s="501"/>
      <c r="BP257" s="501"/>
      <c r="BQ257" s="501"/>
      <c r="BR257" s="501"/>
      <c r="BS257" s="501"/>
      <c r="BT257" s="501"/>
      <c r="BU257" s="501"/>
      <c r="BV257" s="501"/>
      <c r="BW257" s="501"/>
      <c r="BX257" s="501"/>
      <c r="BY257" s="501"/>
      <c r="BZ257" s="501"/>
      <c r="CA257" s="501"/>
      <c r="CB257" s="501"/>
      <c r="CC257" s="501"/>
      <c r="CD257" s="501"/>
      <c r="CE257" s="501"/>
      <c r="CF257" s="501"/>
      <c r="CG257" s="501"/>
      <c r="CH257" s="501"/>
      <c r="CI257" s="501"/>
      <c r="CJ257" s="501"/>
      <c r="CK257" s="501"/>
      <c r="CL257" s="501"/>
      <c r="CM257" s="501"/>
      <c r="CN257" s="501"/>
      <c r="CO257" s="501"/>
      <c r="CP257" s="501"/>
      <c r="CQ257" s="501"/>
      <c r="CR257" s="501"/>
      <c r="CS257" s="501"/>
      <c r="CT257" s="501"/>
    </row>
    <row r="258">
      <c r="A258" s="569"/>
      <c r="B258" s="569"/>
      <c r="C258" s="569"/>
      <c r="D258" s="498"/>
      <c r="E258" s="499"/>
      <c r="F258" s="499"/>
      <c r="G258" s="766"/>
      <c r="H258" s="766"/>
      <c r="I258" s="766"/>
      <c r="J258" s="766"/>
      <c r="K258" s="683"/>
      <c r="L258" s="683"/>
      <c r="M258" s="683"/>
      <c r="N258" s="683"/>
      <c r="O258" s="683"/>
      <c r="P258" s="683"/>
      <c r="Q258" s="683"/>
      <c r="R258" s="683"/>
      <c r="S258" s="683"/>
      <c r="T258" s="501"/>
      <c r="U258" s="501"/>
      <c r="V258" s="501"/>
      <c r="W258" s="501"/>
      <c r="X258" s="501"/>
      <c r="Y258" s="501"/>
      <c r="Z258" s="501"/>
      <c r="AA258" s="501"/>
      <c r="AB258" s="501"/>
      <c r="AC258" s="501"/>
      <c r="AD258" s="501"/>
      <c r="AE258" s="501"/>
      <c r="AF258" s="501"/>
      <c r="AG258" s="501"/>
      <c r="AH258" s="501"/>
      <c r="AI258" s="501"/>
      <c r="AJ258" s="501"/>
      <c r="AK258" s="501"/>
      <c r="AL258" s="501"/>
      <c r="AM258" s="501"/>
      <c r="AN258" s="501"/>
      <c r="AO258" s="501"/>
      <c r="AP258" s="501"/>
      <c r="AQ258" s="501"/>
      <c r="AR258" s="501"/>
      <c r="AS258" s="501"/>
      <c r="AT258" s="501"/>
      <c r="AU258" s="501"/>
      <c r="AV258" s="501"/>
      <c r="AW258" s="501"/>
      <c r="AX258" s="501"/>
      <c r="AY258" s="501"/>
      <c r="AZ258" s="501"/>
      <c r="BA258" s="501"/>
      <c r="BB258" s="501"/>
      <c r="BC258" s="501"/>
      <c r="BD258" s="501"/>
      <c r="BE258" s="501"/>
      <c r="BF258" s="501"/>
      <c r="BG258" s="501"/>
      <c r="BH258" s="501"/>
      <c r="BI258" s="501"/>
      <c r="BJ258" s="501"/>
      <c r="BK258" s="501"/>
      <c r="BL258" s="501"/>
      <c r="BM258" s="501"/>
      <c r="BN258" s="501"/>
      <c r="BO258" s="501"/>
      <c r="BP258" s="501"/>
      <c r="BQ258" s="501"/>
      <c r="BR258" s="501"/>
      <c r="BS258" s="501"/>
      <c r="BT258" s="501"/>
      <c r="BU258" s="501"/>
      <c r="BV258" s="501"/>
      <c r="BW258" s="501"/>
      <c r="BX258" s="501"/>
      <c r="BY258" s="501"/>
      <c r="BZ258" s="501"/>
      <c r="CA258" s="501"/>
      <c r="CB258" s="501"/>
      <c r="CC258" s="501"/>
      <c r="CD258" s="501"/>
      <c r="CE258" s="501"/>
      <c r="CF258" s="501"/>
      <c r="CG258" s="501"/>
      <c r="CH258" s="501"/>
      <c r="CI258" s="501"/>
      <c r="CJ258" s="501"/>
      <c r="CK258" s="501"/>
      <c r="CL258" s="501"/>
      <c r="CM258" s="501"/>
      <c r="CN258" s="501"/>
      <c r="CO258" s="501"/>
      <c r="CP258" s="501"/>
      <c r="CQ258" s="501"/>
      <c r="CR258" s="501"/>
      <c r="CS258" s="501"/>
      <c r="CT258" s="501"/>
    </row>
    <row r="259">
      <c r="A259" s="569"/>
      <c r="B259" s="569"/>
      <c r="C259" s="569"/>
      <c r="D259" s="498"/>
      <c r="E259" s="499"/>
      <c r="F259" s="499"/>
      <c r="G259" s="766"/>
      <c r="H259" s="766"/>
      <c r="I259" s="766"/>
      <c r="J259" s="766"/>
      <c r="K259" s="683"/>
      <c r="L259" s="683"/>
      <c r="M259" s="683"/>
      <c r="N259" s="683"/>
      <c r="O259" s="683"/>
      <c r="P259" s="683"/>
      <c r="Q259" s="683"/>
      <c r="R259" s="683"/>
      <c r="S259" s="683"/>
      <c r="T259" s="501"/>
      <c r="U259" s="501"/>
      <c r="V259" s="501"/>
      <c r="W259" s="501"/>
      <c r="X259" s="501"/>
      <c r="Y259" s="501"/>
      <c r="Z259" s="501"/>
      <c r="AA259" s="501"/>
      <c r="AB259" s="501"/>
      <c r="AC259" s="501"/>
      <c r="AD259" s="501"/>
      <c r="AE259" s="501"/>
      <c r="AF259" s="501"/>
      <c r="AG259" s="501"/>
      <c r="AH259" s="501"/>
      <c r="AI259" s="501"/>
      <c r="AJ259" s="501"/>
      <c r="AK259" s="501"/>
      <c r="AL259" s="501"/>
      <c r="AM259" s="501"/>
      <c r="AN259" s="501"/>
      <c r="AO259" s="501"/>
      <c r="AP259" s="501"/>
      <c r="AQ259" s="501"/>
      <c r="AR259" s="501"/>
      <c r="AS259" s="501"/>
      <c r="AT259" s="501"/>
      <c r="AU259" s="501"/>
      <c r="AV259" s="501"/>
      <c r="AW259" s="501"/>
      <c r="AX259" s="501"/>
      <c r="AY259" s="501"/>
      <c r="AZ259" s="501"/>
      <c r="BA259" s="501"/>
      <c r="BB259" s="501"/>
      <c r="BC259" s="501"/>
      <c r="BD259" s="501"/>
      <c r="BE259" s="501"/>
      <c r="BF259" s="501"/>
      <c r="BG259" s="501"/>
      <c r="BH259" s="501"/>
      <c r="BI259" s="501"/>
      <c r="BJ259" s="501"/>
      <c r="BK259" s="501"/>
      <c r="BL259" s="501"/>
      <c r="BM259" s="501"/>
      <c r="BN259" s="501"/>
      <c r="BO259" s="501"/>
      <c r="BP259" s="501"/>
      <c r="BQ259" s="501"/>
      <c r="BR259" s="501"/>
      <c r="BS259" s="501"/>
      <c r="BT259" s="501"/>
      <c r="BU259" s="501"/>
      <c r="BV259" s="501"/>
      <c r="BW259" s="501"/>
      <c r="BX259" s="501"/>
      <c r="BY259" s="501"/>
      <c r="BZ259" s="501"/>
      <c r="CA259" s="501"/>
      <c r="CB259" s="501"/>
      <c r="CC259" s="501"/>
      <c r="CD259" s="501"/>
      <c r="CE259" s="501"/>
      <c r="CF259" s="501"/>
      <c r="CG259" s="501"/>
      <c r="CH259" s="501"/>
      <c r="CI259" s="501"/>
      <c r="CJ259" s="501"/>
      <c r="CK259" s="501"/>
      <c r="CL259" s="501"/>
      <c r="CM259" s="501"/>
      <c r="CN259" s="501"/>
      <c r="CO259" s="501"/>
      <c r="CP259" s="501"/>
      <c r="CQ259" s="501"/>
      <c r="CR259" s="501"/>
      <c r="CS259" s="501"/>
      <c r="CT259" s="501"/>
    </row>
    <row r="260">
      <c r="A260" s="569"/>
      <c r="B260" s="569"/>
      <c r="C260" s="569"/>
      <c r="D260" s="498"/>
      <c r="E260" s="499"/>
      <c r="F260" s="499"/>
      <c r="G260" s="766"/>
      <c r="H260" s="766"/>
      <c r="I260" s="766"/>
      <c r="J260" s="766"/>
      <c r="K260" s="683"/>
      <c r="L260" s="683"/>
      <c r="M260" s="683"/>
      <c r="N260" s="683"/>
      <c r="O260" s="683"/>
      <c r="P260" s="683"/>
      <c r="Q260" s="683"/>
      <c r="R260" s="683"/>
      <c r="S260" s="683"/>
      <c r="T260" s="501"/>
      <c r="U260" s="501"/>
      <c r="V260" s="501"/>
      <c r="W260" s="501"/>
      <c r="X260" s="501"/>
      <c r="Y260" s="501"/>
      <c r="Z260" s="501"/>
      <c r="AA260" s="501"/>
      <c r="AB260" s="501"/>
      <c r="AC260" s="501"/>
      <c r="AD260" s="501"/>
      <c r="AE260" s="501"/>
      <c r="AF260" s="501"/>
      <c r="AG260" s="501"/>
      <c r="AH260" s="501"/>
      <c r="AI260" s="501"/>
      <c r="AJ260" s="501"/>
      <c r="AK260" s="501"/>
      <c r="AL260" s="501"/>
      <c r="AM260" s="501"/>
      <c r="AN260" s="501"/>
      <c r="AO260" s="501"/>
      <c r="AP260" s="501"/>
      <c r="AQ260" s="501"/>
      <c r="AR260" s="501"/>
      <c r="AS260" s="501"/>
      <c r="AT260" s="501"/>
      <c r="AU260" s="501"/>
      <c r="AV260" s="501"/>
      <c r="AW260" s="501"/>
      <c r="AX260" s="501"/>
      <c r="AY260" s="501"/>
      <c r="AZ260" s="501"/>
      <c r="BA260" s="501"/>
      <c r="BB260" s="501"/>
      <c r="BC260" s="501"/>
      <c r="BD260" s="501"/>
      <c r="BE260" s="501"/>
      <c r="BF260" s="501"/>
      <c r="BG260" s="501"/>
      <c r="BH260" s="501"/>
      <c r="BI260" s="501"/>
      <c r="BJ260" s="501"/>
      <c r="BK260" s="501"/>
      <c r="BL260" s="501"/>
      <c r="BM260" s="501"/>
      <c r="BN260" s="501"/>
      <c r="BO260" s="501"/>
      <c r="BP260" s="501"/>
      <c r="BQ260" s="501"/>
      <c r="BR260" s="501"/>
      <c r="BS260" s="501"/>
      <c r="BT260" s="501"/>
      <c r="BU260" s="501"/>
      <c r="BV260" s="501"/>
      <c r="BW260" s="501"/>
      <c r="BX260" s="501"/>
      <c r="BY260" s="501"/>
      <c r="BZ260" s="501"/>
      <c r="CA260" s="501"/>
      <c r="CB260" s="501"/>
      <c r="CC260" s="501"/>
      <c r="CD260" s="501"/>
      <c r="CE260" s="501"/>
      <c r="CF260" s="501"/>
      <c r="CG260" s="501"/>
      <c r="CH260" s="501"/>
      <c r="CI260" s="501"/>
      <c r="CJ260" s="501"/>
      <c r="CK260" s="501"/>
      <c r="CL260" s="501"/>
      <c r="CM260" s="501"/>
      <c r="CN260" s="501"/>
      <c r="CO260" s="501"/>
      <c r="CP260" s="501"/>
      <c r="CQ260" s="501"/>
      <c r="CR260" s="501"/>
      <c r="CS260" s="501"/>
      <c r="CT260" s="501"/>
    </row>
    <row r="261">
      <c r="A261" s="569"/>
      <c r="B261" s="569"/>
      <c r="C261" s="569"/>
      <c r="D261" s="498"/>
      <c r="E261" s="499"/>
      <c r="F261" s="499"/>
      <c r="G261" s="766"/>
      <c r="H261" s="766"/>
      <c r="I261" s="766"/>
      <c r="J261" s="766"/>
      <c r="K261" s="683"/>
      <c r="L261" s="683"/>
      <c r="M261" s="683"/>
      <c r="N261" s="683"/>
      <c r="O261" s="683"/>
      <c r="P261" s="683"/>
      <c r="Q261" s="683"/>
      <c r="R261" s="683"/>
      <c r="S261" s="683"/>
      <c r="T261" s="501"/>
      <c r="U261" s="501"/>
      <c r="V261" s="501"/>
      <c r="W261" s="501"/>
      <c r="X261" s="501"/>
      <c r="Y261" s="501"/>
      <c r="Z261" s="501"/>
      <c r="AA261" s="501"/>
      <c r="AB261" s="501"/>
      <c r="AC261" s="501"/>
      <c r="AD261" s="501"/>
      <c r="AE261" s="501"/>
      <c r="AF261" s="501"/>
      <c r="AG261" s="501"/>
      <c r="AH261" s="501"/>
      <c r="AI261" s="501"/>
      <c r="AJ261" s="501"/>
      <c r="AK261" s="501"/>
      <c r="AL261" s="501"/>
      <c r="AM261" s="501"/>
      <c r="AN261" s="501"/>
      <c r="AO261" s="501"/>
      <c r="AP261" s="501"/>
      <c r="AQ261" s="501"/>
      <c r="AR261" s="501"/>
      <c r="AS261" s="501"/>
      <c r="AT261" s="501"/>
      <c r="AU261" s="501"/>
      <c r="AV261" s="501"/>
      <c r="AW261" s="501"/>
      <c r="AX261" s="501"/>
      <c r="AY261" s="501"/>
      <c r="AZ261" s="501"/>
      <c r="BA261" s="501"/>
      <c r="BB261" s="501"/>
      <c r="BC261" s="501"/>
      <c r="BD261" s="501"/>
      <c r="BE261" s="501"/>
      <c r="BF261" s="501"/>
      <c r="BG261" s="501"/>
      <c r="BH261" s="501"/>
      <c r="BI261" s="501"/>
      <c r="BJ261" s="501"/>
      <c r="BK261" s="501"/>
      <c r="BL261" s="501"/>
      <c r="BM261" s="501"/>
      <c r="BN261" s="501"/>
      <c r="BO261" s="501"/>
      <c r="BP261" s="501"/>
      <c r="BQ261" s="501"/>
      <c r="BR261" s="501"/>
      <c r="BS261" s="501"/>
      <c r="BT261" s="501"/>
      <c r="BU261" s="501"/>
      <c r="BV261" s="501"/>
      <c r="BW261" s="501"/>
      <c r="BX261" s="501"/>
      <c r="BY261" s="501"/>
      <c r="BZ261" s="501"/>
      <c r="CA261" s="501"/>
      <c r="CB261" s="501"/>
      <c r="CC261" s="501"/>
      <c r="CD261" s="501"/>
      <c r="CE261" s="501"/>
      <c r="CF261" s="501"/>
      <c r="CG261" s="501"/>
      <c r="CH261" s="501"/>
      <c r="CI261" s="501"/>
      <c r="CJ261" s="501"/>
      <c r="CK261" s="501"/>
      <c r="CL261" s="501"/>
      <c r="CM261" s="501"/>
      <c r="CN261" s="501"/>
      <c r="CO261" s="501"/>
      <c r="CP261" s="501"/>
      <c r="CQ261" s="501"/>
      <c r="CR261" s="501"/>
      <c r="CS261" s="501"/>
      <c r="CT261" s="501"/>
    </row>
    <row r="262">
      <c r="A262" s="569"/>
      <c r="B262" s="569"/>
      <c r="C262" s="569"/>
      <c r="D262" s="498"/>
      <c r="E262" s="499"/>
      <c r="F262" s="499"/>
      <c r="G262" s="766"/>
      <c r="H262" s="766"/>
      <c r="I262" s="766"/>
      <c r="J262" s="766"/>
      <c r="K262" s="683"/>
      <c r="L262" s="683"/>
      <c r="M262" s="683"/>
      <c r="N262" s="683"/>
      <c r="O262" s="683"/>
      <c r="P262" s="683"/>
      <c r="Q262" s="683"/>
      <c r="R262" s="683"/>
      <c r="S262" s="683"/>
      <c r="T262" s="501"/>
      <c r="U262" s="501"/>
      <c r="V262" s="501"/>
      <c r="W262" s="501"/>
      <c r="X262" s="501"/>
      <c r="Y262" s="501"/>
      <c r="Z262" s="501"/>
      <c r="AA262" s="501"/>
      <c r="AB262" s="501"/>
      <c r="AC262" s="501"/>
      <c r="AD262" s="501"/>
      <c r="AE262" s="501"/>
      <c r="AF262" s="501"/>
      <c r="AG262" s="501"/>
      <c r="AH262" s="501"/>
      <c r="AI262" s="501"/>
      <c r="AJ262" s="501"/>
      <c r="AK262" s="501"/>
      <c r="AL262" s="501"/>
      <c r="AM262" s="501"/>
      <c r="AN262" s="501"/>
      <c r="AO262" s="501"/>
      <c r="AP262" s="501"/>
      <c r="AQ262" s="501"/>
      <c r="AR262" s="501"/>
      <c r="AS262" s="501"/>
      <c r="AT262" s="501"/>
      <c r="AU262" s="501"/>
      <c r="AV262" s="501"/>
      <c r="AW262" s="501"/>
      <c r="AX262" s="501"/>
      <c r="AY262" s="501"/>
      <c r="AZ262" s="501"/>
      <c r="BA262" s="501"/>
      <c r="BB262" s="501"/>
      <c r="BC262" s="501"/>
      <c r="BD262" s="501"/>
      <c r="BE262" s="501"/>
      <c r="BF262" s="501"/>
      <c r="BG262" s="501"/>
      <c r="BH262" s="501"/>
      <c r="BI262" s="501"/>
      <c r="BJ262" s="501"/>
      <c r="BK262" s="501"/>
      <c r="BL262" s="501"/>
      <c r="BM262" s="501"/>
      <c r="BN262" s="501"/>
      <c r="BO262" s="501"/>
      <c r="BP262" s="501"/>
      <c r="BQ262" s="501"/>
      <c r="BR262" s="501"/>
      <c r="BS262" s="501"/>
      <c r="BT262" s="501"/>
      <c r="BU262" s="501"/>
      <c r="BV262" s="501"/>
      <c r="BW262" s="501"/>
      <c r="BX262" s="501"/>
      <c r="BY262" s="501"/>
      <c r="BZ262" s="501"/>
      <c r="CA262" s="501"/>
      <c r="CB262" s="501"/>
      <c r="CC262" s="501"/>
      <c r="CD262" s="501"/>
      <c r="CE262" s="501"/>
      <c r="CF262" s="501"/>
      <c r="CG262" s="501"/>
      <c r="CH262" s="501"/>
      <c r="CI262" s="501"/>
      <c r="CJ262" s="501"/>
      <c r="CK262" s="501"/>
      <c r="CL262" s="501"/>
      <c r="CM262" s="501"/>
      <c r="CN262" s="501"/>
      <c r="CO262" s="501"/>
      <c r="CP262" s="501"/>
      <c r="CQ262" s="501"/>
      <c r="CR262" s="501"/>
      <c r="CS262" s="501"/>
      <c r="CT262" s="501"/>
    </row>
    <row r="263">
      <c r="A263" s="569"/>
      <c r="B263" s="569"/>
      <c r="C263" s="569"/>
      <c r="D263" s="498"/>
      <c r="E263" s="499"/>
      <c r="F263" s="499"/>
      <c r="G263" s="766"/>
      <c r="H263" s="766"/>
      <c r="I263" s="766"/>
      <c r="J263" s="766"/>
      <c r="K263" s="683"/>
      <c r="L263" s="683"/>
      <c r="M263" s="683"/>
      <c r="N263" s="683"/>
      <c r="O263" s="683"/>
      <c r="P263" s="683"/>
      <c r="Q263" s="683"/>
      <c r="R263" s="683"/>
      <c r="S263" s="683"/>
      <c r="T263" s="501"/>
      <c r="U263" s="501"/>
      <c r="V263" s="501"/>
      <c r="W263" s="501"/>
      <c r="X263" s="501"/>
      <c r="Y263" s="501"/>
      <c r="Z263" s="501"/>
      <c r="AA263" s="501"/>
      <c r="AB263" s="501"/>
      <c r="AC263" s="501"/>
      <c r="AD263" s="501"/>
      <c r="AE263" s="501"/>
      <c r="AF263" s="501"/>
      <c r="AG263" s="501"/>
      <c r="AH263" s="501"/>
      <c r="AI263" s="501"/>
      <c r="AJ263" s="501"/>
      <c r="AK263" s="501"/>
      <c r="AL263" s="501"/>
      <c r="AM263" s="501"/>
      <c r="AN263" s="501"/>
      <c r="AO263" s="501"/>
      <c r="AP263" s="501"/>
      <c r="AQ263" s="501"/>
      <c r="AR263" s="501"/>
      <c r="AS263" s="501"/>
      <c r="AT263" s="501"/>
      <c r="AU263" s="501"/>
      <c r="AV263" s="501"/>
      <c r="AW263" s="501"/>
      <c r="AX263" s="501"/>
      <c r="AY263" s="501"/>
      <c r="AZ263" s="501"/>
      <c r="BA263" s="501"/>
      <c r="BB263" s="501"/>
      <c r="BC263" s="501"/>
      <c r="BD263" s="501"/>
      <c r="BE263" s="501"/>
      <c r="BF263" s="501"/>
      <c r="BG263" s="501"/>
      <c r="BH263" s="501"/>
      <c r="BI263" s="501"/>
      <c r="BJ263" s="501"/>
      <c r="BK263" s="501"/>
      <c r="BL263" s="501"/>
      <c r="BM263" s="501"/>
      <c r="BN263" s="501"/>
      <c r="BO263" s="501"/>
      <c r="BP263" s="501"/>
      <c r="BQ263" s="501"/>
      <c r="BR263" s="501"/>
      <c r="BS263" s="501"/>
      <c r="BT263" s="501"/>
      <c r="BU263" s="501"/>
      <c r="BV263" s="501"/>
      <c r="BW263" s="501"/>
      <c r="BX263" s="501"/>
      <c r="BY263" s="501"/>
      <c r="BZ263" s="501"/>
      <c r="CA263" s="501"/>
      <c r="CB263" s="501"/>
      <c r="CC263" s="501"/>
      <c r="CD263" s="501"/>
      <c r="CE263" s="501"/>
      <c r="CF263" s="501"/>
      <c r="CG263" s="501"/>
      <c r="CH263" s="501"/>
      <c r="CI263" s="501"/>
      <c r="CJ263" s="501"/>
      <c r="CK263" s="501"/>
      <c r="CL263" s="501"/>
      <c r="CM263" s="501"/>
      <c r="CN263" s="501"/>
      <c r="CO263" s="501"/>
      <c r="CP263" s="501"/>
      <c r="CQ263" s="501"/>
      <c r="CR263" s="501"/>
      <c r="CS263" s="501"/>
      <c r="CT263" s="501"/>
    </row>
    <row r="264">
      <c r="A264" s="569"/>
      <c r="B264" s="569"/>
      <c r="C264" s="569"/>
      <c r="D264" s="498"/>
      <c r="E264" s="499"/>
      <c r="F264" s="499"/>
      <c r="G264" s="766"/>
      <c r="H264" s="766"/>
      <c r="I264" s="766"/>
      <c r="J264" s="766"/>
      <c r="K264" s="683"/>
      <c r="L264" s="683"/>
      <c r="M264" s="683"/>
      <c r="N264" s="683"/>
      <c r="O264" s="683"/>
      <c r="P264" s="683"/>
      <c r="Q264" s="683"/>
      <c r="R264" s="683"/>
      <c r="S264" s="683"/>
      <c r="T264" s="501"/>
      <c r="U264" s="501"/>
      <c r="V264" s="501"/>
      <c r="W264" s="501"/>
      <c r="X264" s="501"/>
      <c r="Y264" s="501"/>
      <c r="Z264" s="501"/>
      <c r="AA264" s="501"/>
      <c r="AB264" s="501"/>
      <c r="AC264" s="501"/>
      <c r="AD264" s="501"/>
      <c r="AE264" s="501"/>
      <c r="AF264" s="501"/>
      <c r="AG264" s="501"/>
      <c r="AH264" s="501"/>
      <c r="AI264" s="501"/>
      <c r="AJ264" s="501"/>
      <c r="AK264" s="501"/>
      <c r="AL264" s="501"/>
      <c r="AM264" s="501"/>
      <c r="AN264" s="501"/>
      <c r="AO264" s="501"/>
      <c r="AP264" s="501"/>
      <c r="AQ264" s="501"/>
      <c r="AR264" s="501"/>
      <c r="AS264" s="501"/>
      <c r="AT264" s="501"/>
      <c r="AU264" s="501"/>
      <c r="AV264" s="501"/>
      <c r="AW264" s="501"/>
      <c r="AX264" s="501"/>
      <c r="AY264" s="501"/>
      <c r="AZ264" s="501"/>
      <c r="BA264" s="501"/>
      <c r="BB264" s="501"/>
      <c r="BC264" s="501"/>
      <c r="BD264" s="501"/>
      <c r="BE264" s="501"/>
      <c r="BF264" s="501"/>
      <c r="BG264" s="501"/>
      <c r="BH264" s="501"/>
      <c r="BI264" s="501"/>
      <c r="BJ264" s="501"/>
      <c r="BK264" s="501"/>
      <c r="BL264" s="501"/>
      <c r="BM264" s="501"/>
      <c r="BN264" s="501"/>
      <c r="BO264" s="501"/>
      <c r="BP264" s="501"/>
      <c r="BQ264" s="501"/>
      <c r="BR264" s="501"/>
      <c r="BS264" s="501"/>
      <c r="BT264" s="501"/>
      <c r="BU264" s="501"/>
      <c r="BV264" s="501"/>
      <c r="BW264" s="501"/>
      <c r="BX264" s="501"/>
      <c r="BY264" s="501"/>
      <c r="BZ264" s="501"/>
      <c r="CA264" s="501"/>
      <c r="CB264" s="501"/>
      <c r="CC264" s="501"/>
      <c r="CD264" s="501"/>
      <c r="CE264" s="501"/>
      <c r="CF264" s="501"/>
      <c r="CG264" s="501"/>
      <c r="CH264" s="501"/>
      <c r="CI264" s="501"/>
      <c r="CJ264" s="501"/>
      <c r="CK264" s="501"/>
      <c r="CL264" s="501"/>
      <c r="CM264" s="501"/>
      <c r="CN264" s="501"/>
      <c r="CO264" s="501"/>
      <c r="CP264" s="501"/>
      <c r="CQ264" s="501"/>
      <c r="CR264" s="501"/>
      <c r="CS264" s="501"/>
      <c r="CT264" s="501"/>
    </row>
    <row r="265">
      <c r="A265" s="569"/>
      <c r="B265" s="569"/>
      <c r="C265" s="569"/>
      <c r="D265" s="498"/>
      <c r="E265" s="499"/>
      <c r="F265" s="499"/>
      <c r="G265" s="766"/>
      <c r="H265" s="766"/>
      <c r="I265" s="766"/>
      <c r="J265" s="766"/>
      <c r="K265" s="683"/>
      <c r="L265" s="683"/>
      <c r="M265" s="683"/>
      <c r="N265" s="683"/>
      <c r="O265" s="683"/>
      <c r="P265" s="683"/>
      <c r="Q265" s="683"/>
      <c r="R265" s="683"/>
      <c r="S265" s="683"/>
      <c r="T265" s="501"/>
      <c r="U265" s="501"/>
      <c r="V265" s="501"/>
      <c r="W265" s="501"/>
      <c r="X265" s="501"/>
      <c r="Y265" s="501"/>
      <c r="Z265" s="501"/>
      <c r="AA265" s="501"/>
      <c r="AB265" s="501"/>
      <c r="AC265" s="501"/>
      <c r="AD265" s="501"/>
      <c r="AE265" s="501"/>
      <c r="AF265" s="501"/>
      <c r="AG265" s="501"/>
      <c r="AH265" s="501"/>
      <c r="AI265" s="501"/>
      <c r="AJ265" s="501"/>
      <c r="AK265" s="501"/>
      <c r="AL265" s="501"/>
      <c r="AM265" s="501"/>
      <c r="AN265" s="501"/>
      <c r="AO265" s="501"/>
      <c r="AP265" s="501"/>
      <c r="AQ265" s="501"/>
      <c r="AR265" s="501"/>
      <c r="AS265" s="501"/>
      <c r="AT265" s="501"/>
      <c r="AU265" s="501"/>
      <c r="AV265" s="501"/>
      <c r="AW265" s="501"/>
      <c r="AX265" s="501"/>
      <c r="AY265" s="501"/>
      <c r="AZ265" s="501"/>
      <c r="BA265" s="501"/>
      <c r="BB265" s="501"/>
      <c r="BC265" s="501"/>
      <c r="BD265" s="501"/>
      <c r="BE265" s="501"/>
      <c r="BF265" s="501"/>
      <c r="BG265" s="501"/>
      <c r="BH265" s="501"/>
      <c r="BI265" s="501"/>
      <c r="BJ265" s="501"/>
      <c r="BK265" s="501"/>
      <c r="BL265" s="501"/>
      <c r="BM265" s="501"/>
      <c r="BN265" s="501"/>
      <c r="BO265" s="501"/>
      <c r="BP265" s="501"/>
      <c r="BQ265" s="501"/>
      <c r="BR265" s="501"/>
      <c r="BS265" s="501"/>
      <c r="BT265" s="501"/>
      <c r="BU265" s="501"/>
      <c r="BV265" s="501"/>
      <c r="BW265" s="501"/>
      <c r="BX265" s="501"/>
      <c r="BY265" s="501"/>
      <c r="BZ265" s="501"/>
      <c r="CA265" s="501"/>
      <c r="CB265" s="501"/>
      <c r="CC265" s="501"/>
      <c r="CD265" s="501"/>
      <c r="CE265" s="501"/>
      <c r="CF265" s="501"/>
      <c r="CG265" s="501"/>
      <c r="CH265" s="501"/>
      <c r="CI265" s="501"/>
      <c r="CJ265" s="501"/>
      <c r="CK265" s="501"/>
      <c r="CL265" s="501"/>
      <c r="CM265" s="501"/>
      <c r="CN265" s="501"/>
      <c r="CO265" s="501"/>
      <c r="CP265" s="501"/>
      <c r="CQ265" s="501"/>
      <c r="CR265" s="501"/>
      <c r="CS265" s="501"/>
      <c r="CT265" s="501"/>
    </row>
    <row r="266">
      <c r="A266" s="569"/>
      <c r="B266" s="569"/>
      <c r="C266" s="569"/>
      <c r="D266" s="498"/>
      <c r="E266" s="499"/>
      <c r="F266" s="499"/>
      <c r="G266" s="766"/>
      <c r="H266" s="766"/>
      <c r="I266" s="766"/>
      <c r="J266" s="766"/>
      <c r="K266" s="683"/>
      <c r="L266" s="683"/>
      <c r="M266" s="683"/>
      <c r="N266" s="683"/>
      <c r="O266" s="683"/>
      <c r="P266" s="683"/>
      <c r="Q266" s="683"/>
      <c r="R266" s="683"/>
      <c r="S266" s="683"/>
      <c r="T266" s="501"/>
      <c r="U266" s="501"/>
      <c r="V266" s="501"/>
      <c r="W266" s="501"/>
      <c r="X266" s="501"/>
      <c r="Y266" s="501"/>
      <c r="Z266" s="501"/>
      <c r="AA266" s="501"/>
      <c r="AB266" s="501"/>
      <c r="AC266" s="501"/>
      <c r="AD266" s="501"/>
      <c r="AE266" s="501"/>
      <c r="AF266" s="501"/>
      <c r="AG266" s="501"/>
      <c r="AH266" s="501"/>
      <c r="AI266" s="501"/>
      <c r="AJ266" s="501"/>
      <c r="AK266" s="501"/>
      <c r="AL266" s="501"/>
      <c r="AM266" s="501"/>
      <c r="AN266" s="501"/>
      <c r="AO266" s="501"/>
      <c r="AP266" s="501"/>
      <c r="AQ266" s="501"/>
      <c r="AR266" s="501"/>
      <c r="AS266" s="501"/>
      <c r="AT266" s="501"/>
      <c r="AU266" s="501"/>
      <c r="AV266" s="501"/>
      <c r="AW266" s="501"/>
      <c r="AX266" s="501"/>
      <c r="AY266" s="501"/>
      <c r="AZ266" s="501"/>
      <c r="BA266" s="501"/>
      <c r="BB266" s="501"/>
      <c r="BC266" s="501"/>
      <c r="BD266" s="501"/>
      <c r="BE266" s="501"/>
      <c r="BF266" s="501"/>
      <c r="BG266" s="501"/>
      <c r="BH266" s="501"/>
      <c r="BI266" s="501"/>
      <c r="BJ266" s="501"/>
      <c r="BK266" s="501"/>
      <c r="BL266" s="501"/>
      <c r="BM266" s="501"/>
      <c r="BN266" s="501"/>
      <c r="BO266" s="501"/>
      <c r="BP266" s="501"/>
      <c r="BQ266" s="501"/>
      <c r="BR266" s="501"/>
      <c r="BS266" s="501"/>
      <c r="BT266" s="501"/>
      <c r="BU266" s="501"/>
      <c r="BV266" s="501"/>
      <c r="BW266" s="501"/>
      <c r="BX266" s="501"/>
      <c r="BY266" s="501"/>
      <c r="BZ266" s="501"/>
      <c r="CA266" s="501"/>
      <c r="CB266" s="501"/>
      <c r="CC266" s="501"/>
      <c r="CD266" s="501"/>
      <c r="CE266" s="501"/>
      <c r="CF266" s="501"/>
      <c r="CG266" s="501"/>
      <c r="CH266" s="501"/>
      <c r="CI266" s="501"/>
      <c r="CJ266" s="501"/>
      <c r="CK266" s="501"/>
      <c r="CL266" s="501"/>
      <c r="CM266" s="501"/>
      <c r="CN266" s="501"/>
      <c r="CO266" s="501"/>
      <c r="CP266" s="501"/>
      <c r="CQ266" s="501"/>
      <c r="CR266" s="501"/>
      <c r="CS266" s="501"/>
      <c r="CT266" s="501"/>
    </row>
    <row r="267">
      <c r="A267" s="569"/>
      <c r="B267" s="569"/>
      <c r="C267" s="569"/>
      <c r="D267" s="498"/>
      <c r="E267" s="499"/>
      <c r="F267" s="499"/>
      <c r="G267" s="766"/>
      <c r="H267" s="766"/>
      <c r="I267" s="766"/>
      <c r="J267" s="766"/>
      <c r="K267" s="683"/>
      <c r="L267" s="683"/>
      <c r="M267" s="683"/>
      <c r="N267" s="683"/>
      <c r="O267" s="683"/>
      <c r="P267" s="683"/>
      <c r="Q267" s="683"/>
      <c r="R267" s="683"/>
      <c r="S267" s="683"/>
      <c r="T267" s="501"/>
      <c r="U267" s="501"/>
      <c r="V267" s="501"/>
      <c r="W267" s="501"/>
      <c r="X267" s="501"/>
      <c r="Y267" s="501"/>
      <c r="Z267" s="501"/>
      <c r="AA267" s="501"/>
      <c r="AB267" s="501"/>
      <c r="AC267" s="501"/>
      <c r="AD267" s="501"/>
      <c r="AE267" s="501"/>
      <c r="AF267" s="501"/>
      <c r="AG267" s="501"/>
      <c r="AH267" s="501"/>
      <c r="AI267" s="501"/>
      <c r="AJ267" s="501"/>
      <c r="AK267" s="501"/>
      <c r="AL267" s="501"/>
      <c r="AM267" s="501"/>
      <c r="AN267" s="501"/>
      <c r="AO267" s="501"/>
      <c r="AP267" s="501"/>
      <c r="AQ267" s="501"/>
      <c r="AR267" s="501"/>
      <c r="AS267" s="501"/>
      <c r="AT267" s="501"/>
      <c r="AU267" s="501"/>
      <c r="AV267" s="501"/>
      <c r="AW267" s="501"/>
      <c r="AX267" s="501"/>
      <c r="AY267" s="501"/>
      <c r="AZ267" s="501"/>
      <c r="BA267" s="501"/>
      <c r="BB267" s="501"/>
      <c r="BC267" s="501"/>
      <c r="BD267" s="501"/>
      <c r="BE267" s="501"/>
      <c r="BF267" s="501"/>
      <c r="BG267" s="501"/>
      <c r="BH267" s="501"/>
      <c r="BI267" s="501"/>
      <c r="BJ267" s="501"/>
      <c r="BK267" s="501"/>
      <c r="BL267" s="501"/>
      <c r="BM267" s="501"/>
      <c r="BN267" s="501"/>
      <c r="BO267" s="501"/>
      <c r="BP267" s="501"/>
      <c r="BQ267" s="501"/>
      <c r="BR267" s="501"/>
      <c r="BS267" s="501"/>
      <c r="BT267" s="501"/>
      <c r="BU267" s="501"/>
      <c r="BV267" s="501"/>
      <c r="BW267" s="501"/>
      <c r="BX267" s="501"/>
      <c r="BY267" s="501"/>
      <c r="BZ267" s="501"/>
      <c r="CA267" s="501"/>
      <c r="CB267" s="501"/>
      <c r="CC267" s="501"/>
      <c r="CD267" s="501"/>
      <c r="CE267" s="501"/>
      <c r="CF267" s="501"/>
      <c r="CG267" s="501"/>
      <c r="CH267" s="501"/>
      <c r="CI267" s="501"/>
      <c r="CJ267" s="501"/>
      <c r="CK267" s="501"/>
      <c r="CL267" s="501"/>
      <c r="CM267" s="501"/>
      <c r="CN267" s="501"/>
      <c r="CO267" s="501"/>
      <c r="CP267" s="501"/>
      <c r="CQ267" s="501"/>
      <c r="CR267" s="501"/>
      <c r="CS267" s="501"/>
      <c r="CT267" s="501"/>
    </row>
    <row r="268">
      <c r="A268" s="569"/>
      <c r="B268" s="569"/>
      <c r="C268" s="569"/>
      <c r="D268" s="498"/>
      <c r="E268" s="499"/>
      <c r="F268" s="499"/>
      <c r="G268" s="766"/>
      <c r="H268" s="766"/>
      <c r="I268" s="766"/>
      <c r="J268" s="766"/>
      <c r="K268" s="683"/>
      <c r="L268" s="683"/>
      <c r="M268" s="683"/>
      <c r="N268" s="683"/>
      <c r="O268" s="683"/>
      <c r="P268" s="683"/>
      <c r="Q268" s="683"/>
      <c r="R268" s="683"/>
      <c r="S268" s="683"/>
      <c r="T268" s="501"/>
      <c r="U268" s="501"/>
      <c r="V268" s="501"/>
      <c r="W268" s="501"/>
      <c r="X268" s="501"/>
      <c r="Y268" s="501"/>
      <c r="Z268" s="501"/>
      <c r="AA268" s="501"/>
      <c r="AB268" s="501"/>
      <c r="AC268" s="501"/>
      <c r="AD268" s="501"/>
      <c r="AE268" s="501"/>
      <c r="AF268" s="501"/>
      <c r="AG268" s="501"/>
      <c r="AH268" s="501"/>
      <c r="AI268" s="501"/>
      <c r="AJ268" s="501"/>
      <c r="AK268" s="501"/>
      <c r="AL268" s="501"/>
      <c r="AM268" s="501"/>
      <c r="AN268" s="501"/>
      <c r="AO268" s="501"/>
      <c r="AP268" s="501"/>
      <c r="AQ268" s="501"/>
      <c r="AR268" s="501"/>
      <c r="AS268" s="501"/>
      <c r="AT268" s="501"/>
      <c r="AU268" s="501"/>
      <c r="AV268" s="501"/>
      <c r="AW268" s="501"/>
      <c r="AX268" s="501"/>
      <c r="AY268" s="501"/>
      <c r="AZ268" s="501"/>
      <c r="BA268" s="501"/>
      <c r="BB268" s="501"/>
      <c r="BC268" s="501"/>
      <c r="BD268" s="501"/>
      <c r="BE268" s="501"/>
      <c r="BF268" s="501"/>
      <c r="BG268" s="501"/>
      <c r="BH268" s="501"/>
      <c r="BI268" s="501"/>
      <c r="BJ268" s="501"/>
      <c r="BK268" s="501"/>
      <c r="BL268" s="501"/>
      <c r="BM268" s="501"/>
      <c r="BN268" s="501"/>
      <c r="BO268" s="501"/>
      <c r="BP268" s="501"/>
      <c r="BQ268" s="501"/>
      <c r="BR268" s="501"/>
      <c r="BS268" s="501"/>
      <c r="BT268" s="501"/>
      <c r="BU268" s="501"/>
      <c r="BV268" s="501"/>
      <c r="BW268" s="501"/>
      <c r="BX268" s="501"/>
      <c r="BY268" s="501"/>
      <c r="BZ268" s="501"/>
      <c r="CA268" s="501"/>
      <c r="CB268" s="501"/>
      <c r="CC268" s="501"/>
      <c r="CD268" s="501"/>
      <c r="CE268" s="501"/>
      <c r="CF268" s="501"/>
      <c r="CG268" s="501"/>
      <c r="CH268" s="501"/>
      <c r="CI268" s="501"/>
      <c r="CJ268" s="501"/>
      <c r="CK268" s="501"/>
      <c r="CL268" s="501"/>
      <c r="CM268" s="501"/>
      <c r="CN268" s="501"/>
      <c r="CO268" s="501"/>
      <c r="CP268" s="501"/>
      <c r="CQ268" s="501"/>
      <c r="CR268" s="501"/>
      <c r="CS268" s="501"/>
      <c r="CT268" s="501"/>
    </row>
    <row r="269">
      <c r="A269" s="569"/>
      <c r="B269" s="569"/>
      <c r="C269" s="569"/>
      <c r="D269" s="498"/>
      <c r="E269" s="499"/>
      <c r="F269" s="499"/>
      <c r="G269" s="766"/>
      <c r="H269" s="766"/>
      <c r="I269" s="766"/>
      <c r="J269" s="766"/>
      <c r="K269" s="683"/>
      <c r="L269" s="683"/>
      <c r="M269" s="683"/>
      <c r="N269" s="683"/>
      <c r="O269" s="683"/>
      <c r="P269" s="683"/>
      <c r="Q269" s="683"/>
      <c r="R269" s="683"/>
      <c r="S269" s="683"/>
      <c r="T269" s="501"/>
      <c r="U269" s="501"/>
      <c r="V269" s="501"/>
      <c r="W269" s="501"/>
      <c r="X269" s="501"/>
      <c r="Y269" s="501"/>
      <c r="Z269" s="501"/>
      <c r="AA269" s="501"/>
      <c r="AB269" s="501"/>
      <c r="AC269" s="501"/>
      <c r="AD269" s="501"/>
      <c r="AE269" s="501"/>
      <c r="AF269" s="501"/>
      <c r="AG269" s="501"/>
      <c r="AH269" s="501"/>
      <c r="AI269" s="501"/>
      <c r="AJ269" s="501"/>
      <c r="AK269" s="501"/>
      <c r="AL269" s="501"/>
      <c r="AM269" s="501"/>
      <c r="AN269" s="501"/>
      <c r="AO269" s="501"/>
      <c r="AP269" s="501"/>
      <c r="AQ269" s="501"/>
      <c r="AR269" s="501"/>
      <c r="AS269" s="501"/>
      <c r="AT269" s="501"/>
      <c r="AU269" s="501"/>
      <c r="AV269" s="501"/>
      <c r="AW269" s="501"/>
      <c r="AX269" s="501"/>
      <c r="AY269" s="501"/>
      <c r="AZ269" s="501"/>
      <c r="BA269" s="501"/>
      <c r="BB269" s="501"/>
      <c r="BC269" s="501"/>
      <c r="BD269" s="501"/>
      <c r="BE269" s="501"/>
      <c r="BF269" s="501"/>
      <c r="BG269" s="501"/>
      <c r="BH269" s="501"/>
      <c r="BI269" s="501"/>
      <c r="BJ269" s="501"/>
      <c r="BK269" s="501"/>
      <c r="BL269" s="501"/>
      <c r="BM269" s="501"/>
      <c r="BN269" s="501"/>
      <c r="BO269" s="501"/>
      <c r="BP269" s="501"/>
      <c r="BQ269" s="501"/>
      <c r="BR269" s="501"/>
      <c r="BS269" s="501"/>
      <c r="BT269" s="501"/>
      <c r="BU269" s="501"/>
      <c r="BV269" s="501"/>
      <c r="BW269" s="501"/>
      <c r="BX269" s="501"/>
      <c r="BY269" s="501"/>
      <c r="BZ269" s="501"/>
      <c r="CA269" s="501"/>
      <c r="CB269" s="501"/>
      <c r="CC269" s="501"/>
      <c r="CD269" s="501"/>
      <c r="CE269" s="501"/>
      <c r="CF269" s="501"/>
      <c r="CG269" s="501"/>
      <c r="CH269" s="501"/>
      <c r="CI269" s="501"/>
      <c r="CJ269" s="501"/>
      <c r="CK269" s="501"/>
      <c r="CL269" s="501"/>
      <c r="CM269" s="501"/>
      <c r="CN269" s="501"/>
      <c r="CO269" s="501"/>
      <c r="CP269" s="501"/>
      <c r="CQ269" s="501"/>
      <c r="CR269" s="501"/>
      <c r="CS269" s="501"/>
      <c r="CT269" s="501"/>
    </row>
    <row r="270">
      <c r="A270" s="569"/>
      <c r="B270" s="569"/>
      <c r="C270" s="569"/>
      <c r="D270" s="498"/>
      <c r="E270" s="499"/>
      <c r="F270" s="499"/>
      <c r="G270" s="766"/>
      <c r="H270" s="766"/>
      <c r="I270" s="766"/>
      <c r="J270" s="766"/>
      <c r="K270" s="683"/>
      <c r="L270" s="683"/>
      <c r="M270" s="683"/>
      <c r="N270" s="683"/>
      <c r="O270" s="683"/>
      <c r="P270" s="683"/>
      <c r="Q270" s="683"/>
      <c r="R270" s="683"/>
      <c r="S270" s="683"/>
      <c r="T270" s="501"/>
      <c r="U270" s="501"/>
      <c r="V270" s="501"/>
      <c r="W270" s="501"/>
      <c r="X270" s="501"/>
      <c r="Y270" s="501"/>
      <c r="Z270" s="501"/>
      <c r="AA270" s="501"/>
      <c r="AB270" s="501"/>
      <c r="AC270" s="501"/>
      <c r="AD270" s="501"/>
      <c r="AE270" s="501"/>
      <c r="AF270" s="501"/>
      <c r="AG270" s="501"/>
      <c r="AH270" s="501"/>
      <c r="AI270" s="501"/>
      <c r="AJ270" s="501"/>
      <c r="AK270" s="501"/>
      <c r="AL270" s="501"/>
      <c r="AM270" s="501"/>
      <c r="AN270" s="501"/>
      <c r="AO270" s="501"/>
      <c r="AP270" s="501"/>
      <c r="AQ270" s="501"/>
      <c r="AR270" s="501"/>
      <c r="AS270" s="501"/>
      <c r="AT270" s="501"/>
      <c r="AU270" s="501"/>
      <c r="AV270" s="501"/>
      <c r="AW270" s="501"/>
      <c r="AX270" s="501"/>
      <c r="AY270" s="501"/>
      <c r="AZ270" s="501"/>
      <c r="BA270" s="501"/>
      <c r="BB270" s="501"/>
      <c r="BC270" s="501"/>
      <c r="BD270" s="501"/>
      <c r="BE270" s="501"/>
      <c r="BF270" s="501"/>
      <c r="BG270" s="501"/>
      <c r="BH270" s="501"/>
      <c r="BI270" s="501"/>
      <c r="BJ270" s="501"/>
      <c r="BK270" s="501"/>
      <c r="BL270" s="501"/>
      <c r="BM270" s="501"/>
      <c r="BN270" s="501"/>
      <c r="BO270" s="501"/>
      <c r="BP270" s="501"/>
      <c r="BQ270" s="501"/>
      <c r="BR270" s="501"/>
      <c r="BS270" s="501"/>
      <c r="BT270" s="501"/>
      <c r="BU270" s="501"/>
      <c r="BV270" s="501"/>
      <c r="BW270" s="501"/>
      <c r="BX270" s="501"/>
      <c r="BY270" s="501"/>
      <c r="BZ270" s="501"/>
      <c r="CA270" s="501"/>
      <c r="CB270" s="501"/>
      <c r="CC270" s="501"/>
      <c r="CD270" s="501"/>
      <c r="CE270" s="501"/>
      <c r="CF270" s="501"/>
      <c r="CG270" s="501"/>
      <c r="CH270" s="501"/>
      <c r="CI270" s="501"/>
      <c r="CJ270" s="501"/>
      <c r="CK270" s="501"/>
      <c r="CL270" s="501"/>
      <c r="CM270" s="501"/>
      <c r="CN270" s="501"/>
      <c r="CO270" s="501"/>
      <c r="CP270" s="501"/>
      <c r="CQ270" s="501"/>
      <c r="CR270" s="501"/>
      <c r="CS270" s="501"/>
      <c r="CT270" s="501"/>
    </row>
    <row r="271">
      <c r="A271" s="569"/>
      <c r="B271" s="569"/>
      <c r="C271" s="569"/>
      <c r="D271" s="498"/>
      <c r="E271" s="499"/>
      <c r="F271" s="499"/>
      <c r="G271" s="766"/>
      <c r="H271" s="766"/>
      <c r="I271" s="766"/>
      <c r="J271" s="766"/>
      <c r="K271" s="683"/>
      <c r="L271" s="683"/>
      <c r="M271" s="683"/>
      <c r="N271" s="683"/>
      <c r="O271" s="683"/>
      <c r="P271" s="683"/>
      <c r="Q271" s="683"/>
      <c r="R271" s="683"/>
      <c r="S271" s="683"/>
      <c r="T271" s="501"/>
      <c r="U271" s="501"/>
      <c r="V271" s="501"/>
      <c r="W271" s="501"/>
      <c r="X271" s="501"/>
      <c r="Y271" s="501"/>
      <c r="Z271" s="501"/>
      <c r="AA271" s="501"/>
      <c r="AB271" s="501"/>
      <c r="AC271" s="501"/>
      <c r="AD271" s="501"/>
      <c r="AE271" s="501"/>
      <c r="AF271" s="501"/>
      <c r="AG271" s="501"/>
      <c r="AH271" s="501"/>
      <c r="AI271" s="501"/>
      <c r="AJ271" s="501"/>
      <c r="AK271" s="501"/>
      <c r="AL271" s="501"/>
      <c r="AM271" s="501"/>
      <c r="AN271" s="501"/>
      <c r="AO271" s="501"/>
      <c r="AP271" s="501"/>
      <c r="AQ271" s="501"/>
      <c r="AR271" s="501"/>
      <c r="AS271" s="501"/>
      <c r="AT271" s="501"/>
      <c r="AU271" s="501"/>
      <c r="AV271" s="501"/>
      <c r="AW271" s="501"/>
      <c r="AX271" s="501"/>
      <c r="AY271" s="501"/>
      <c r="AZ271" s="501"/>
      <c r="BA271" s="501"/>
      <c r="BB271" s="501"/>
      <c r="BC271" s="501"/>
      <c r="BD271" s="501"/>
      <c r="BE271" s="501"/>
      <c r="BF271" s="501"/>
      <c r="BG271" s="501"/>
      <c r="BH271" s="501"/>
      <c r="BI271" s="501"/>
      <c r="BJ271" s="501"/>
      <c r="BK271" s="501"/>
      <c r="BL271" s="501"/>
      <c r="BM271" s="501"/>
      <c r="BN271" s="501"/>
      <c r="BO271" s="501"/>
      <c r="BP271" s="501"/>
      <c r="BQ271" s="501"/>
      <c r="BR271" s="501"/>
      <c r="BS271" s="501"/>
      <c r="BT271" s="501"/>
      <c r="BU271" s="501"/>
      <c r="BV271" s="501"/>
      <c r="BW271" s="501"/>
      <c r="BX271" s="501"/>
      <c r="BY271" s="501"/>
      <c r="BZ271" s="501"/>
      <c r="CA271" s="501"/>
      <c r="CB271" s="501"/>
      <c r="CC271" s="501"/>
      <c r="CD271" s="501"/>
      <c r="CE271" s="501"/>
      <c r="CF271" s="501"/>
      <c r="CG271" s="501"/>
      <c r="CH271" s="501"/>
      <c r="CI271" s="501"/>
      <c r="CJ271" s="501"/>
      <c r="CK271" s="501"/>
      <c r="CL271" s="501"/>
      <c r="CM271" s="501"/>
      <c r="CN271" s="501"/>
      <c r="CO271" s="501"/>
      <c r="CP271" s="501"/>
      <c r="CQ271" s="501"/>
      <c r="CR271" s="501"/>
      <c r="CS271" s="501"/>
      <c r="CT271" s="501"/>
    </row>
    <row r="272">
      <c r="A272" s="569"/>
      <c r="B272" s="569"/>
      <c r="C272" s="569"/>
      <c r="D272" s="498"/>
      <c r="E272" s="499"/>
      <c r="F272" s="499"/>
      <c r="G272" s="766"/>
      <c r="H272" s="766"/>
      <c r="I272" s="766"/>
      <c r="J272" s="766"/>
      <c r="K272" s="683"/>
      <c r="L272" s="683"/>
      <c r="M272" s="683"/>
      <c r="N272" s="683"/>
      <c r="O272" s="683"/>
      <c r="P272" s="683"/>
      <c r="Q272" s="683"/>
      <c r="R272" s="683"/>
      <c r="S272" s="683"/>
      <c r="T272" s="501"/>
      <c r="U272" s="501"/>
      <c r="V272" s="501"/>
      <c r="W272" s="501"/>
      <c r="X272" s="501"/>
      <c r="Y272" s="501"/>
      <c r="Z272" s="501"/>
      <c r="AA272" s="501"/>
      <c r="AB272" s="501"/>
      <c r="AC272" s="501"/>
      <c r="AD272" s="501"/>
      <c r="AE272" s="501"/>
      <c r="AF272" s="501"/>
      <c r="AG272" s="501"/>
      <c r="AH272" s="501"/>
      <c r="AI272" s="501"/>
      <c r="AJ272" s="501"/>
      <c r="AK272" s="501"/>
      <c r="AL272" s="501"/>
      <c r="AM272" s="501"/>
      <c r="AN272" s="501"/>
      <c r="AO272" s="501"/>
      <c r="AP272" s="501"/>
      <c r="AQ272" s="501"/>
      <c r="AR272" s="501"/>
      <c r="AS272" s="501"/>
      <c r="AT272" s="501"/>
      <c r="AU272" s="501"/>
      <c r="AV272" s="501"/>
      <c r="AW272" s="501"/>
      <c r="AX272" s="501"/>
      <c r="AY272" s="501"/>
      <c r="AZ272" s="501"/>
      <c r="BA272" s="501"/>
      <c r="BB272" s="501"/>
      <c r="BC272" s="501"/>
      <c r="BD272" s="501"/>
      <c r="BE272" s="501"/>
      <c r="BF272" s="501"/>
      <c r="BG272" s="501"/>
      <c r="BH272" s="501"/>
      <c r="BI272" s="501"/>
      <c r="BJ272" s="501"/>
      <c r="BK272" s="501"/>
      <c r="BL272" s="501"/>
      <c r="BM272" s="501"/>
      <c r="BN272" s="501"/>
      <c r="BO272" s="501"/>
      <c r="BP272" s="501"/>
      <c r="BQ272" s="501"/>
      <c r="BR272" s="501"/>
      <c r="BS272" s="501"/>
      <c r="BT272" s="501"/>
      <c r="BU272" s="501"/>
      <c r="BV272" s="501"/>
      <c r="BW272" s="501"/>
      <c r="BX272" s="501"/>
      <c r="BY272" s="501"/>
      <c r="BZ272" s="501"/>
      <c r="CA272" s="501"/>
      <c r="CB272" s="501"/>
      <c r="CC272" s="501"/>
      <c r="CD272" s="501"/>
      <c r="CE272" s="501"/>
      <c r="CF272" s="501"/>
      <c r="CG272" s="501"/>
      <c r="CH272" s="501"/>
      <c r="CI272" s="501"/>
      <c r="CJ272" s="501"/>
      <c r="CK272" s="501"/>
      <c r="CL272" s="501"/>
      <c r="CM272" s="501"/>
      <c r="CN272" s="501"/>
      <c r="CO272" s="501"/>
      <c r="CP272" s="501"/>
      <c r="CQ272" s="501"/>
      <c r="CR272" s="501"/>
      <c r="CS272" s="501"/>
      <c r="CT272" s="501"/>
    </row>
    <row r="273">
      <c r="A273" s="569"/>
      <c r="B273" s="569"/>
      <c r="C273" s="569"/>
      <c r="D273" s="498"/>
      <c r="E273" s="499"/>
      <c r="F273" s="499"/>
      <c r="G273" s="766"/>
      <c r="H273" s="766"/>
      <c r="I273" s="766"/>
      <c r="J273" s="766"/>
      <c r="K273" s="683"/>
      <c r="L273" s="683"/>
      <c r="M273" s="683"/>
      <c r="N273" s="683"/>
      <c r="O273" s="683"/>
      <c r="P273" s="683"/>
      <c r="Q273" s="683"/>
      <c r="R273" s="683"/>
      <c r="S273" s="683"/>
      <c r="T273" s="501"/>
      <c r="U273" s="501"/>
      <c r="V273" s="501"/>
      <c r="W273" s="501"/>
      <c r="X273" s="501"/>
      <c r="Y273" s="501"/>
      <c r="Z273" s="501"/>
      <c r="AA273" s="501"/>
      <c r="AB273" s="501"/>
      <c r="AC273" s="501"/>
      <c r="AD273" s="501"/>
      <c r="AE273" s="501"/>
      <c r="AF273" s="501"/>
      <c r="AG273" s="501"/>
      <c r="AH273" s="501"/>
      <c r="AI273" s="501"/>
      <c r="AJ273" s="501"/>
      <c r="AK273" s="501"/>
      <c r="AL273" s="501"/>
      <c r="AM273" s="501"/>
      <c r="AN273" s="501"/>
      <c r="AO273" s="501"/>
      <c r="AP273" s="501"/>
      <c r="AQ273" s="501"/>
      <c r="AR273" s="501"/>
      <c r="AS273" s="501"/>
      <c r="AT273" s="501"/>
      <c r="AU273" s="501"/>
      <c r="AV273" s="501"/>
      <c r="AW273" s="501"/>
      <c r="AX273" s="501"/>
      <c r="AY273" s="501"/>
      <c r="AZ273" s="501"/>
      <c r="BA273" s="501"/>
      <c r="BB273" s="501"/>
      <c r="BC273" s="501"/>
      <c r="BD273" s="501"/>
      <c r="BE273" s="501"/>
      <c r="BF273" s="501"/>
      <c r="BG273" s="501"/>
      <c r="BH273" s="501"/>
      <c r="BI273" s="501"/>
      <c r="BJ273" s="501"/>
      <c r="BK273" s="501"/>
      <c r="BL273" s="501"/>
      <c r="BM273" s="501"/>
      <c r="BN273" s="501"/>
      <c r="BO273" s="501"/>
      <c r="BP273" s="501"/>
      <c r="BQ273" s="501"/>
      <c r="BR273" s="501"/>
      <c r="BS273" s="501"/>
      <c r="BT273" s="501"/>
      <c r="BU273" s="501"/>
      <c r="BV273" s="501"/>
      <c r="BW273" s="501"/>
      <c r="BX273" s="501"/>
      <c r="BY273" s="501"/>
      <c r="BZ273" s="501"/>
      <c r="CA273" s="501"/>
      <c r="CB273" s="501"/>
      <c r="CC273" s="501"/>
      <c r="CD273" s="501"/>
      <c r="CE273" s="501"/>
      <c r="CF273" s="501"/>
      <c r="CG273" s="501"/>
      <c r="CH273" s="501"/>
      <c r="CI273" s="501"/>
      <c r="CJ273" s="501"/>
      <c r="CK273" s="501"/>
      <c r="CL273" s="501"/>
      <c r="CM273" s="501"/>
      <c r="CN273" s="501"/>
      <c r="CO273" s="501"/>
      <c r="CP273" s="501"/>
      <c r="CQ273" s="501"/>
      <c r="CR273" s="501"/>
      <c r="CS273" s="501"/>
      <c r="CT273" s="501"/>
    </row>
    <row r="274">
      <c r="A274" s="569"/>
      <c r="B274" s="569"/>
      <c r="C274" s="569"/>
      <c r="D274" s="498"/>
      <c r="E274" s="499"/>
      <c r="F274" s="499"/>
      <c r="G274" s="766"/>
      <c r="H274" s="766"/>
      <c r="I274" s="766"/>
      <c r="J274" s="766"/>
      <c r="K274" s="683"/>
      <c r="L274" s="683"/>
      <c r="M274" s="683"/>
      <c r="N274" s="683"/>
      <c r="O274" s="683"/>
      <c r="P274" s="683"/>
      <c r="Q274" s="683"/>
      <c r="R274" s="683"/>
      <c r="S274" s="683"/>
      <c r="T274" s="501"/>
      <c r="U274" s="501"/>
      <c r="V274" s="501"/>
      <c r="W274" s="501"/>
      <c r="X274" s="501"/>
      <c r="Y274" s="501"/>
      <c r="Z274" s="501"/>
      <c r="AA274" s="501"/>
      <c r="AB274" s="501"/>
      <c r="AC274" s="501"/>
      <c r="AD274" s="501"/>
      <c r="AE274" s="501"/>
      <c r="AF274" s="501"/>
      <c r="AG274" s="501"/>
      <c r="AH274" s="501"/>
      <c r="AI274" s="501"/>
      <c r="AJ274" s="501"/>
      <c r="AK274" s="501"/>
      <c r="AL274" s="501"/>
      <c r="AM274" s="501"/>
      <c r="AN274" s="501"/>
      <c r="AO274" s="501"/>
      <c r="AP274" s="501"/>
      <c r="AQ274" s="501"/>
      <c r="AR274" s="501"/>
      <c r="AS274" s="501"/>
      <c r="AT274" s="501"/>
      <c r="AU274" s="501"/>
      <c r="AV274" s="501"/>
      <c r="AW274" s="501"/>
      <c r="AX274" s="501"/>
      <c r="AY274" s="501"/>
      <c r="AZ274" s="501"/>
      <c r="BA274" s="501"/>
      <c r="BB274" s="501"/>
      <c r="BC274" s="501"/>
      <c r="BD274" s="501"/>
      <c r="BE274" s="501"/>
      <c r="BF274" s="501"/>
      <c r="BG274" s="501"/>
      <c r="BH274" s="501"/>
      <c r="BI274" s="501"/>
      <c r="BJ274" s="501"/>
      <c r="BK274" s="501"/>
      <c r="BL274" s="501"/>
      <c r="BM274" s="501"/>
      <c r="BN274" s="501"/>
      <c r="BO274" s="501"/>
      <c r="BP274" s="501"/>
      <c r="BQ274" s="501"/>
      <c r="BR274" s="501"/>
      <c r="BS274" s="501"/>
      <c r="BT274" s="501"/>
      <c r="BU274" s="501"/>
      <c r="BV274" s="501"/>
      <c r="BW274" s="501"/>
      <c r="BX274" s="501"/>
      <c r="BY274" s="501"/>
      <c r="BZ274" s="501"/>
      <c r="CA274" s="501"/>
      <c r="CB274" s="501"/>
      <c r="CC274" s="501"/>
      <c r="CD274" s="501"/>
      <c r="CE274" s="501"/>
      <c r="CF274" s="501"/>
      <c r="CG274" s="501"/>
      <c r="CH274" s="501"/>
      <c r="CI274" s="501"/>
      <c r="CJ274" s="501"/>
      <c r="CK274" s="501"/>
      <c r="CL274" s="501"/>
      <c r="CM274" s="501"/>
      <c r="CN274" s="501"/>
      <c r="CO274" s="501"/>
      <c r="CP274" s="501"/>
      <c r="CQ274" s="501"/>
      <c r="CR274" s="501"/>
      <c r="CS274" s="501"/>
      <c r="CT274" s="501"/>
    </row>
    <row r="275">
      <c r="A275" s="569"/>
      <c r="B275" s="569"/>
      <c r="C275" s="569"/>
      <c r="D275" s="498"/>
      <c r="E275" s="499"/>
      <c r="F275" s="499"/>
      <c r="G275" s="766"/>
      <c r="H275" s="766"/>
      <c r="I275" s="766"/>
      <c r="J275" s="766"/>
      <c r="K275" s="683"/>
      <c r="L275" s="683"/>
      <c r="M275" s="683"/>
      <c r="N275" s="683"/>
      <c r="O275" s="683"/>
      <c r="P275" s="683"/>
      <c r="Q275" s="683"/>
      <c r="R275" s="683"/>
      <c r="S275" s="683"/>
      <c r="T275" s="501"/>
      <c r="U275" s="501"/>
      <c r="V275" s="501"/>
      <c r="W275" s="501"/>
      <c r="X275" s="501"/>
      <c r="Y275" s="501"/>
      <c r="Z275" s="501"/>
      <c r="AA275" s="501"/>
      <c r="AB275" s="501"/>
      <c r="AC275" s="501"/>
      <c r="AD275" s="501"/>
      <c r="AE275" s="501"/>
      <c r="AF275" s="501"/>
      <c r="AG275" s="501"/>
      <c r="AH275" s="501"/>
      <c r="AI275" s="501"/>
      <c r="AJ275" s="501"/>
      <c r="AK275" s="501"/>
      <c r="AL275" s="501"/>
      <c r="AM275" s="501"/>
      <c r="AN275" s="501"/>
      <c r="AO275" s="501"/>
      <c r="AP275" s="501"/>
      <c r="AQ275" s="501"/>
      <c r="AR275" s="501"/>
      <c r="AS275" s="501"/>
      <c r="AT275" s="501"/>
      <c r="AU275" s="501"/>
      <c r="AV275" s="501"/>
      <c r="AW275" s="501"/>
      <c r="AX275" s="501"/>
      <c r="AY275" s="501"/>
      <c r="AZ275" s="501"/>
      <c r="BA275" s="501"/>
      <c r="BB275" s="501"/>
      <c r="BC275" s="501"/>
      <c r="BD275" s="501"/>
      <c r="BE275" s="501"/>
      <c r="BF275" s="501"/>
      <c r="BG275" s="501"/>
      <c r="BH275" s="501"/>
      <c r="BI275" s="501"/>
      <c r="BJ275" s="501"/>
      <c r="BK275" s="501"/>
      <c r="BL275" s="501"/>
      <c r="BM275" s="501"/>
      <c r="BN275" s="501"/>
      <c r="BO275" s="501"/>
      <c r="BP275" s="501"/>
      <c r="BQ275" s="501"/>
      <c r="BR275" s="501"/>
      <c r="BS275" s="501"/>
      <c r="BT275" s="501"/>
      <c r="BU275" s="501"/>
      <c r="BV275" s="501"/>
      <c r="BW275" s="501"/>
      <c r="BX275" s="501"/>
      <c r="BY275" s="501"/>
      <c r="BZ275" s="501"/>
      <c r="CA275" s="501"/>
      <c r="CB275" s="501"/>
      <c r="CC275" s="501"/>
      <c r="CD275" s="501"/>
      <c r="CE275" s="501"/>
      <c r="CF275" s="501"/>
      <c r="CG275" s="501"/>
      <c r="CH275" s="501"/>
      <c r="CI275" s="501"/>
      <c r="CJ275" s="501"/>
      <c r="CK275" s="501"/>
      <c r="CL275" s="501"/>
      <c r="CM275" s="501"/>
      <c r="CN275" s="501"/>
      <c r="CO275" s="501"/>
      <c r="CP275" s="501"/>
      <c r="CQ275" s="501"/>
      <c r="CR275" s="501"/>
      <c r="CS275" s="501"/>
      <c r="CT275" s="501"/>
    </row>
    <row r="276">
      <c r="A276" s="569"/>
      <c r="B276" s="569"/>
      <c r="C276" s="569"/>
      <c r="D276" s="498"/>
      <c r="E276" s="499"/>
      <c r="F276" s="499"/>
      <c r="G276" s="766"/>
      <c r="H276" s="766"/>
      <c r="I276" s="766"/>
      <c r="J276" s="766"/>
      <c r="K276" s="683"/>
      <c r="L276" s="683"/>
      <c r="M276" s="683"/>
      <c r="N276" s="683"/>
      <c r="O276" s="683"/>
      <c r="P276" s="683"/>
      <c r="Q276" s="683"/>
      <c r="R276" s="683"/>
      <c r="S276" s="683"/>
      <c r="T276" s="501"/>
      <c r="U276" s="501"/>
      <c r="V276" s="501"/>
      <c r="W276" s="501"/>
      <c r="X276" s="501"/>
      <c r="Y276" s="501"/>
      <c r="Z276" s="501"/>
      <c r="AA276" s="501"/>
      <c r="AB276" s="501"/>
      <c r="AC276" s="501"/>
      <c r="AD276" s="501"/>
      <c r="AE276" s="501"/>
      <c r="AF276" s="501"/>
      <c r="AG276" s="501"/>
      <c r="AH276" s="501"/>
      <c r="AI276" s="501"/>
      <c r="AJ276" s="501"/>
      <c r="AK276" s="501"/>
      <c r="AL276" s="501"/>
      <c r="AM276" s="501"/>
      <c r="AN276" s="501"/>
      <c r="AO276" s="501"/>
      <c r="AP276" s="501"/>
      <c r="AQ276" s="501"/>
      <c r="AR276" s="501"/>
      <c r="AS276" s="501"/>
      <c r="AT276" s="501"/>
      <c r="AU276" s="501"/>
      <c r="AV276" s="501"/>
      <c r="AW276" s="501"/>
      <c r="AX276" s="501"/>
      <c r="AY276" s="501"/>
      <c r="AZ276" s="501"/>
      <c r="BA276" s="501"/>
      <c r="BB276" s="501"/>
      <c r="BC276" s="501"/>
      <c r="BD276" s="501"/>
      <c r="BE276" s="501"/>
      <c r="BF276" s="501"/>
      <c r="BG276" s="501"/>
      <c r="BH276" s="501"/>
      <c r="BI276" s="501"/>
      <c r="BJ276" s="501"/>
      <c r="BK276" s="501"/>
      <c r="BL276" s="501"/>
      <c r="BM276" s="501"/>
      <c r="BN276" s="501"/>
      <c r="BO276" s="501"/>
      <c r="BP276" s="501"/>
      <c r="BQ276" s="501"/>
      <c r="BR276" s="501"/>
      <c r="BS276" s="501"/>
      <c r="BT276" s="501"/>
      <c r="BU276" s="501"/>
      <c r="BV276" s="501"/>
      <c r="BW276" s="501"/>
      <c r="BX276" s="501"/>
      <c r="BY276" s="501"/>
      <c r="BZ276" s="501"/>
      <c r="CA276" s="501"/>
      <c r="CB276" s="501"/>
      <c r="CC276" s="501"/>
      <c r="CD276" s="501"/>
      <c r="CE276" s="501"/>
      <c r="CF276" s="501"/>
      <c r="CG276" s="501"/>
      <c r="CH276" s="501"/>
      <c r="CI276" s="501"/>
      <c r="CJ276" s="501"/>
      <c r="CK276" s="501"/>
      <c r="CL276" s="501"/>
      <c r="CM276" s="501"/>
      <c r="CN276" s="501"/>
      <c r="CO276" s="501"/>
      <c r="CP276" s="501"/>
      <c r="CQ276" s="501"/>
      <c r="CR276" s="501"/>
      <c r="CS276" s="501"/>
      <c r="CT276" s="501"/>
    </row>
    <row r="277">
      <c r="A277" s="569"/>
      <c r="B277" s="569"/>
      <c r="C277" s="569"/>
      <c r="D277" s="498"/>
      <c r="E277" s="499"/>
      <c r="F277" s="499"/>
      <c r="G277" s="766"/>
      <c r="H277" s="766"/>
      <c r="I277" s="766"/>
      <c r="J277" s="766"/>
      <c r="K277" s="683"/>
      <c r="L277" s="683"/>
      <c r="M277" s="683"/>
      <c r="N277" s="683"/>
      <c r="O277" s="683"/>
      <c r="P277" s="683"/>
      <c r="Q277" s="683"/>
      <c r="R277" s="683"/>
      <c r="S277" s="683"/>
      <c r="T277" s="501"/>
      <c r="U277" s="501"/>
      <c r="V277" s="501"/>
      <c r="W277" s="501"/>
      <c r="X277" s="501"/>
      <c r="Y277" s="501"/>
      <c r="Z277" s="501"/>
      <c r="AA277" s="501"/>
      <c r="AB277" s="501"/>
      <c r="AC277" s="501"/>
      <c r="AD277" s="501"/>
      <c r="AE277" s="501"/>
      <c r="AF277" s="501"/>
      <c r="AG277" s="501"/>
      <c r="AH277" s="501"/>
      <c r="AI277" s="501"/>
      <c r="AJ277" s="501"/>
      <c r="AK277" s="501"/>
      <c r="AL277" s="501"/>
      <c r="AM277" s="501"/>
      <c r="AN277" s="501"/>
      <c r="AO277" s="501"/>
      <c r="AP277" s="501"/>
      <c r="AQ277" s="501"/>
      <c r="AR277" s="501"/>
      <c r="AS277" s="501"/>
      <c r="AT277" s="501"/>
      <c r="AU277" s="501"/>
      <c r="AV277" s="501"/>
      <c r="AW277" s="501"/>
      <c r="AX277" s="501"/>
      <c r="AY277" s="501"/>
      <c r="AZ277" s="501"/>
      <c r="BA277" s="501"/>
      <c r="BB277" s="501"/>
      <c r="BC277" s="501"/>
      <c r="BD277" s="501"/>
      <c r="BE277" s="501"/>
      <c r="BF277" s="501"/>
      <c r="BG277" s="501"/>
      <c r="BH277" s="501"/>
      <c r="BI277" s="501"/>
      <c r="BJ277" s="501"/>
      <c r="BK277" s="501"/>
      <c r="BL277" s="501"/>
      <c r="BM277" s="501"/>
      <c r="BN277" s="501"/>
      <c r="BO277" s="501"/>
      <c r="BP277" s="501"/>
      <c r="BQ277" s="501"/>
      <c r="BR277" s="501"/>
      <c r="BS277" s="501"/>
      <c r="BT277" s="501"/>
      <c r="BU277" s="501"/>
      <c r="BV277" s="501"/>
      <c r="BW277" s="501"/>
      <c r="BX277" s="501"/>
      <c r="BY277" s="501"/>
      <c r="BZ277" s="501"/>
      <c r="CA277" s="501"/>
      <c r="CB277" s="501"/>
      <c r="CC277" s="501"/>
      <c r="CD277" s="501"/>
      <c r="CE277" s="501"/>
      <c r="CF277" s="501"/>
      <c r="CG277" s="501"/>
      <c r="CH277" s="501"/>
      <c r="CI277" s="501"/>
      <c r="CJ277" s="501"/>
      <c r="CK277" s="501"/>
      <c r="CL277" s="501"/>
      <c r="CM277" s="501"/>
      <c r="CN277" s="501"/>
      <c r="CO277" s="501"/>
      <c r="CP277" s="501"/>
      <c r="CQ277" s="501"/>
      <c r="CR277" s="501"/>
      <c r="CS277" s="501"/>
      <c r="CT277" s="501"/>
    </row>
    <row r="278">
      <c r="A278" s="569"/>
      <c r="B278" s="569"/>
      <c r="C278" s="569"/>
      <c r="D278" s="498"/>
      <c r="E278" s="499"/>
      <c r="F278" s="499"/>
      <c r="G278" s="766"/>
      <c r="H278" s="766"/>
      <c r="I278" s="766"/>
      <c r="J278" s="766"/>
      <c r="K278" s="683"/>
      <c r="L278" s="683"/>
      <c r="M278" s="683"/>
      <c r="N278" s="683"/>
      <c r="O278" s="683"/>
      <c r="P278" s="683"/>
      <c r="Q278" s="683"/>
      <c r="R278" s="683"/>
      <c r="S278" s="683"/>
      <c r="T278" s="501"/>
      <c r="U278" s="501"/>
      <c r="V278" s="501"/>
      <c r="W278" s="501"/>
      <c r="X278" s="501"/>
      <c r="Y278" s="501"/>
      <c r="Z278" s="501"/>
      <c r="AA278" s="501"/>
      <c r="AB278" s="501"/>
      <c r="AC278" s="501"/>
      <c r="AD278" s="501"/>
      <c r="AE278" s="501"/>
      <c r="AF278" s="501"/>
      <c r="AG278" s="501"/>
      <c r="AH278" s="501"/>
      <c r="AI278" s="501"/>
      <c r="AJ278" s="501"/>
      <c r="AK278" s="501"/>
      <c r="AL278" s="501"/>
      <c r="AM278" s="501"/>
      <c r="AN278" s="501"/>
      <c r="AO278" s="501"/>
      <c r="AP278" s="501"/>
      <c r="AQ278" s="501"/>
      <c r="AR278" s="501"/>
      <c r="AS278" s="501"/>
      <c r="AT278" s="501"/>
      <c r="AU278" s="501"/>
      <c r="AV278" s="501"/>
      <c r="AW278" s="501"/>
      <c r="AX278" s="501"/>
      <c r="AY278" s="501"/>
      <c r="AZ278" s="501"/>
      <c r="BA278" s="501"/>
      <c r="BB278" s="501"/>
      <c r="BC278" s="501"/>
      <c r="BD278" s="501"/>
      <c r="BE278" s="501"/>
      <c r="BF278" s="501"/>
      <c r="BG278" s="501"/>
      <c r="BH278" s="501"/>
      <c r="BI278" s="501"/>
      <c r="BJ278" s="501"/>
      <c r="BK278" s="501"/>
      <c r="BL278" s="501"/>
      <c r="BM278" s="501"/>
      <c r="BN278" s="501"/>
      <c r="BO278" s="501"/>
      <c r="BP278" s="501"/>
      <c r="BQ278" s="501"/>
      <c r="BR278" s="501"/>
      <c r="BS278" s="501"/>
      <c r="BT278" s="501"/>
      <c r="BU278" s="501"/>
      <c r="BV278" s="501"/>
      <c r="BW278" s="501"/>
      <c r="BX278" s="501"/>
      <c r="BY278" s="501"/>
      <c r="BZ278" s="501"/>
      <c r="CA278" s="501"/>
      <c r="CB278" s="501"/>
      <c r="CC278" s="501"/>
      <c r="CD278" s="501"/>
      <c r="CE278" s="501"/>
      <c r="CF278" s="501"/>
      <c r="CG278" s="501"/>
      <c r="CH278" s="501"/>
      <c r="CI278" s="501"/>
      <c r="CJ278" s="501"/>
      <c r="CK278" s="501"/>
      <c r="CL278" s="501"/>
      <c r="CM278" s="501"/>
      <c r="CN278" s="501"/>
      <c r="CO278" s="501"/>
      <c r="CP278" s="501"/>
      <c r="CQ278" s="501"/>
      <c r="CR278" s="501"/>
      <c r="CS278" s="501"/>
      <c r="CT278" s="501"/>
    </row>
    <row r="279">
      <c r="A279" s="569"/>
      <c r="B279" s="569"/>
      <c r="C279" s="569"/>
      <c r="D279" s="498"/>
      <c r="E279" s="499"/>
      <c r="F279" s="499"/>
      <c r="G279" s="766"/>
      <c r="H279" s="766"/>
      <c r="I279" s="766"/>
      <c r="J279" s="766"/>
      <c r="K279" s="683"/>
      <c r="L279" s="683"/>
      <c r="M279" s="683"/>
      <c r="N279" s="683"/>
      <c r="O279" s="683"/>
      <c r="P279" s="683"/>
      <c r="Q279" s="683"/>
      <c r="R279" s="683"/>
      <c r="S279" s="683"/>
      <c r="T279" s="501"/>
      <c r="U279" s="501"/>
      <c r="V279" s="501"/>
      <c r="W279" s="501"/>
      <c r="X279" s="501"/>
      <c r="Y279" s="501"/>
      <c r="Z279" s="501"/>
      <c r="AA279" s="501"/>
      <c r="AB279" s="501"/>
      <c r="AC279" s="501"/>
      <c r="AD279" s="501"/>
      <c r="AE279" s="501"/>
      <c r="AF279" s="501"/>
      <c r="AG279" s="501"/>
      <c r="AH279" s="501"/>
      <c r="AI279" s="501"/>
      <c r="AJ279" s="501"/>
      <c r="AK279" s="501"/>
      <c r="AL279" s="501"/>
      <c r="AM279" s="501"/>
      <c r="AN279" s="501"/>
      <c r="AO279" s="501"/>
      <c r="AP279" s="501"/>
      <c r="AQ279" s="501"/>
      <c r="AR279" s="501"/>
      <c r="AS279" s="501"/>
      <c r="AT279" s="501"/>
      <c r="AU279" s="501"/>
      <c r="AV279" s="501"/>
      <c r="AW279" s="501"/>
      <c r="AX279" s="501"/>
      <c r="AY279" s="501"/>
      <c r="AZ279" s="501"/>
      <c r="BA279" s="501"/>
      <c r="BB279" s="501"/>
      <c r="BC279" s="501"/>
      <c r="BD279" s="501"/>
      <c r="BE279" s="501"/>
      <c r="BF279" s="501"/>
      <c r="BG279" s="501"/>
      <c r="BH279" s="501"/>
      <c r="BI279" s="501"/>
      <c r="BJ279" s="501"/>
      <c r="BK279" s="501"/>
      <c r="BL279" s="501"/>
      <c r="BM279" s="501"/>
      <c r="BN279" s="501"/>
      <c r="BO279" s="501"/>
      <c r="BP279" s="501"/>
      <c r="BQ279" s="501"/>
      <c r="BR279" s="501"/>
      <c r="BS279" s="501"/>
      <c r="BT279" s="501"/>
      <c r="BU279" s="501"/>
      <c r="BV279" s="501"/>
      <c r="BW279" s="501"/>
      <c r="BX279" s="501"/>
      <c r="BY279" s="501"/>
      <c r="BZ279" s="501"/>
      <c r="CA279" s="501"/>
      <c r="CB279" s="501"/>
      <c r="CC279" s="501"/>
      <c r="CD279" s="501"/>
      <c r="CE279" s="501"/>
      <c r="CF279" s="501"/>
      <c r="CG279" s="501"/>
      <c r="CH279" s="501"/>
      <c r="CI279" s="501"/>
      <c r="CJ279" s="501"/>
      <c r="CK279" s="501"/>
      <c r="CL279" s="501"/>
      <c r="CM279" s="501"/>
      <c r="CN279" s="501"/>
      <c r="CO279" s="501"/>
      <c r="CP279" s="501"/>
      <c r="CQ279" s="501"/>
      <c r="CR279" s="501"/>
      <c r="CS279" s="501"/>
      <c r="CT279" s="501"/>
    </row>
    <row r="280">
      <c r="A280" s="569"/>
      <c r="B280" s="569"/>
      <c r="C280" s="569"/>
      <c r="D280" s="498"/>
      <c r="E280" s="499"/>
      <c r="F280" s="499"/>
      <c r="G280" s="766"/>
      <c r="H280" s="766"/>
      <c r="I280" s="766"/>
      <c r="J280" s="766"/>
      <c r="K280" s="683"/>
      <c r="L280" s="683"/>
      <c r="M280" s="683"/>
      <c r="N280" s="683"/>
      <c r="O280" s="683"/>
      <c r="P280" s="683"/>
      <c r="Q280" s="683"/>
      <c r="R280" s="683"/>
      <c r="S280" s="683"/>
      <c r="T280" s="501"/>
      <c r="U280" s="501"/>
      <c r="V280" s="501"/>
      <c r="W280" s="501"/>
      <c r="X280" s="501"/>
      <c r="Y280" s="501"/>
      <c r="Z280" s="501"/>
      <c r="AA280" s="501"/>
      <c r="AB280" s="501"/>
      <c r="AC280" s="501"/>
      <c r="AD280" s="501"/>
      <c r="AE280" s="501"/>
      <c r="AF280" s="501"/>
      <c r="AG280" s="501"/>
      <c r="AH280" s="501"/>
      <c r="AI280" s="501"/>
      <c r="AJ280" s="501"/>
      <c r="AK280" s="501"/>
      <c r="AL280" s="501"/>
      <c r="AM280" s="501"/>
      <c r="AN280" s="501"/>
      <c r="AO280" s="501"/>
      <c r="AP280" s="501"/>
      <c r="AQ280" s="501"/>
      <c r="AR280" s="501"/>
      <c r="AS280" s="501"/>
      <c r="AT280" s="501"/>
      <c r="AU280" s="501"/>
      <c r="AV280" s="501"/>
      <c r="AW280" s="501"/>
      <c r="AX280" s="501"/>
      <c r="AY280" s="501"/>
      <c r="AZ280" s="501"/>
      <c r="BA280" s="501"/>
      <c r="BB280" s="501"/>
      <c r="BC280" s="501"/>
      <c r="BD280" s="501"/>
      <c r="BE280" s="501"/>
      <c r="BF280" s="501"/>
      <c r="BG280" s="501"/>
      <c r="BH280" s="501"/>
      <c r="BI280" s="501"/>
      <c r="BJ280" s="501"/>
      <c r="BK280" s="501"/>
      <c r="BL280" s="501"/>
      <c r="BM280" s="501"/>
      <c r="BN280" s="501"/>
      <c r="BO280" s="501"/>
      <c r="BP280" s="501"/>
      <c r="BQ280" s="501"/>
      <c r="BR280" s="501"/>
      <c r="BS280" s="501"/>
      <c r="BT280" s="501"/>
      <c r="BU280" s="501"/>
      <c r="BV280" s="501"/>
      <c r="BW280" s="501"/>
      <c r="BX280" s="501"/>
      <c r="BY280" s="501"/>
      <c r="BZ280" s="501"/>
      <c r="CA280" s="501"/>
      <c r="CB280" s="501"/>
      <c r="CC280" s="501"/>
      <c r="CD280" s="501"/>
      <c r="CE280" s="501"/>
      <c r="CF280" s="501"/>
      <c r="CG280" s="501"/>
      <c r="CH280" s="501"/>
      <c r="CI280" s="501"/>
      <c r="CJ280" s="501"/>
      <c r="CK280" s="501"/>
      <c r="CL280" s="501"/>
      <c r="CM280" s="501"/>
      <c r="CN280" s="501"/>
      <c r="CO280" s="501"/>
      <c r="CP280" s="501"/>
      <c r="CQ280" s="501"/>
      <c r="CR280" s="501"/>
      <c r="CS280" s="501"/>
      <c r="CT280" s="501"/>
    </row>
    <row r="281">
      <c r="A281" s="569"/>
      <c r="B281" s="569"/>
      <c r="C281" s="569"/>
      <c r="D281" s="498"/>
      <c r="E281" s="499"/>
      <c r="F281" s="499"/>
      <c r="G281" s="766"/>
      <c r="H281" s="766"/>
      <c r="I281" s="766"/>
      <c r="J281" s="766"/>
      <c r="K281" s="683"/>
      <c r="L281" s="683"/>
      <c r="M281" s="683"/>
      <c r="N281" s="683"/>
      <c r="O281" s="683"/>
      <c r="P281" s="683"/>
      <c r="Q281" s="683"/>
      <c r="R281" s="683"/>
      <c r="S281" s="683"/>
      <c r="T281" s="501"/>
      <c r="U281" s="501"/>
      <c r="V281" s="501"/>
      <c r="W281" s="501"/>
      <c r="X281" s="501"/>
      <c r="Y281" s="501"/>
      <c r="Z281" s="501"/>
      <c r="AA281" s="501"/>
      <c r="AB281" s="501"/>
      <c r="AC281" s="501"/>
      <c r="AD281" s="501"/>
      <c r="AE281" s="501"/>
      <c r="AF281" s="501"/>
      <c r="AG281" s="501"/>
      <c r="AH281" s="501"/>
      <c r="AI281" s="501"/>
      <c r="AJ281" s="501"/>
      <c r="AK281" s="501"/>
      <c r="AL281" s="501"/>
      <c r="AM281" s="501"/>
      <c r="AN281" s="501"/>
      <c r="AO281" s="501"/>
      <c r="AP281" s="501"/>
      <c r="AQ281" s="501"/>
      <c r="AR281" s="501"/>
      <c r="AS281" s="501"/>
      <c r="AT281" s="501"/>
      <c r="AU281" s="501"/>
      <c r="AV281" s="501"/>
      <c r="AW281" s="501"/>
      <c r="AX281" s="501"/>
      <c r="AY281" s="501"/>
      <c r="AZ281" s="501"/>
      <c r="BA281" s="501"/>
      <c r="BB281" s="501"/>
      <c r="BC281" s="501"/>
      <c r="BD281" s="501"/>
      <c r="BE281" s="501"/>
      <c r="BF281" s="501"/>
      <c r="BG281" s="501"/>
      <c r="BH281" s="501"/>
      <c r="BI281" s="501"/>
      <c r="BJ281" s="501"/>
      <c r="BK281" s="501"/>
      <c r="BL281" s="501"/>
      <c r="BM281" s="501"/>
      <c r="BN281" s="501"/>
      <c r="BO281" s="501"/>
      <c r="BP281" s="501"/>
      <c r="BQ281" s="501"/>
      <c r="BR281" s="501"/>
      <c r="BS281" s="501"/>
      <c r="BT281" s="501"/>
      <c r="BU281" s="501"/>
      <c r="BV281" s="501"/>
      <c r="BW281" s="501"/>
      <c r="BX281" s="501"/>
      <c r="BY281" s="501"/>
      <c r="BZ281" s="501"/>
      <c r="CA281" s="501"/>
      <c r="CB281" s="501"/>
      <c r="CC281" s="501"/>
      <c r="CD281" s="501"/>
      <c r="CE281" s="501"/>
      <c r="CF281" s="501"/>
      <c r="CG281" s="501"/>
      <c r="CH281" s="501"/>
      <c r="CI281" s="501"/>
      <c r="CJ281" s="501"/>
      <c r="CK281" s="501"/>
      <c r="CL281" s="501"/>
      <c r="CM281" s="501"/>
      <c r="CN281" s="501"/>
      <c r="CO281" s="501"/>
      <c r="CP281" s="501"/>
      <c r="CQ281" s="501"/>
      <c r="CR281" s="501"/>
      <c r="CS281" s="501"/>
      <c r="CT281" s="501"/>
    </row>
    <row r="282">
      <c r="A282" s="569"/>
      <c r="B282" s="569"/>
      <c r="C282" s="569"/>
      <c r="D282" s="498"/>
      <c r="E282" s="499"/>
      <c r="F282" s="499"/>
      <c r="G282" s="766"/>
      <c r="H282" s="766"/>
      <c r="I282" s="766"/>
      <c r="J282" s="766"/>
      <c r="K282" s="683"/>
      <c r="L282" s="683"/>
      <c r="M282" s="683"/>
      <c r="N282" s="683"/>
      <c r="O282" s="683"/>
      <c r="P282" s="683"/>
      <c r="Q282" s="683"/>
      <c r="R282" s="683"/>
      <c r="S282" s="683"/>
      <c r="T282" s="501"/>
      <c r="U282" s="501"/>
      <c r="V282" s="501"/>
      <c r="W282" s="501"/>
      <c r="X282" s="501"/>
      <c r="Y282" s="501"/>
      <c r="Z282" s="501"/>
      <c r="AA282" s="501"/>
      <c r="AB282" s="501"/>
      <c r="AC282" s="501"/>
      <c r="AD282" s="501"/>
      <c r="AE282" s="501"/>
      <c r="AF282" s="501"/>
      <c r="AG282" s="501"/>
      <c r="AH282" s="501"/>
      <c r="AI282" s="501"/>
      <c r="AJ282" s="501"/>
      <c r="AK282" s="501"/>
      <c r="AL282" s="501"/>
      <c r="AM282" s="501"/>
      <c r="AN282" s="501"/>
      <c r="AO282" s="501"/>
      <c r="AP282" s="501"/>
      <c r="AQ282" s="501"/>
      <c r="AR282" s="501"/>
      <c r="AS282" s="501"/>
      <c r="AT282" s="501"/>
      <c r="AU282" s="501"/>
      <c r="AV282" s="501"/>
      <c r="AW282" s="501"/>
      <c r="AX282" s="501"/>
      <c r="AY282" s="501"/>
      <c r="AZ282" s="501"/>
      <c r="BA282" s="501"/>
      <c r="BB282" s="501"/>
      <c r="BC282" s="501"/>
      <c r="BD282" s="501"/>
      <c r="BE282" s="501"/>
      <c r="BF282" s="501"/>
      <c r="BG282" s="501"/>
      <c r="BH282" s="501"/>
      <c r="BI282" s="501"/>
      <c r="BJ282" s="501"/>
      <c r="BK282" s="501"/>
      <c r="BL282" s="501"/>
      <c r="BM282" s="501"/>
      <c r="BN282" s="501"/>
      <c r="BO282" s="501"/>
      <c r="BP282" s="501"/>
      <c r="BQ282" s="501"/>
      <c r="BR282" s="501"/>
      <c r="BS282" s="501"/>
      <c r="BT282" s="501"/>
      <c r="BU282" s="501"/>
      <c r="BV282" s="501"/>
      <c r="BW282" s="501"/>
      <c r="BX282" s="501"/>
      <c r="BY282" s="501"/>
      <c r="BZ282" s="501"/>
      <c r="CA282" s="501"/>
      <c r="CB282" s="501"/>
      <c r="CC282" s="501"/>
      <c r="CD282" s="501"/>
      <c r="CE282" s="501"/>
      <c r="CF282" s="501"/>
      <c r="CG282" s="501"/>
      <c r="CH282" s="501"/>
      <c r="CI282" s="501"/>
      <c r="CJ282" s="501"/>
      <c r="CK282" s="501"/>
      <c r="CL282" s="501"/>
      <c r="CM282" s="501"/>
      <c r="CN282" s="501"/>
      <c r="CO282" s="501"/>
      <c r="CP282" s="501"/>
      <c r="CQ282" s="501"/>
      <c r="CR282" s="501"/>
      <c r="CS282" s="501"/>
      <c r="CT282" s="501"/>
    </row>
    <row r="283">
      <c r="A283" s="569"/>
      <c r="B283" s="569"/>
      <c r="C283" s="569"/>
      <c r="D283" s="498"/>
      <c r="E283" s="499"/>
      <c r="F283" s="499"/>
      <c r="G283" s="766"/>
      <c r="H283" s="766"/>
      <c r="I283" s="766"/>
      <c r="J283" s="766"/>
      <c r="K283" s="683"/>
      <c r="L283" s="683"/>
      <c r="M283" s="683"/>
      <c r="N283" s="683"/>
      <c r="O283" s="683"/>
      <c r="P283" s="683"/>
      <c r="Q283" s="683"/>
      <c r="R283" s="683"/>
      <c r="S283" s="683"/>
      <c r="T283" s="501"/>
      <c r="U283" s="501"/>
      <c r="V283" s="501"/>
      <c r="W283" s="501"/>
      <c r="X283" s="501"/>
      <c r="Y283" s="501"/>
      <c r="Z283" s="501"/>
      <c r="AA283" s="501"/>
      <c r="AB283" s="501"/>
      <c r="AC283" s="501"/>
      <c r="AD283" s="501"/>
      <c r="AE283" s="501"/>
      <c r="AF283" s="501"/>
      <c r="AG283" s="501"/>
      <c r="AH283" s="501"/>
      <c r="AI283" s="501"/>
      <c r="AJ283" s="501"/>
      <c r="AK283" s="501"/>
      <c r="AL283" s="501"/>
      <c r="AM283" s="501"/>
      <c r="AN283" s="501"/>
      <c r="AO283" s="501"/>
      <c r="AP283" s="501"/>
      <c r="AQ283" s="501"/>
      <c r="AR283" s="501"/>
      <c r="AS283" s="501"/>
      <c r="AT283" s="501"/>
      <c r="AU283" s="501"/>
      <c r="AV283" s="501"/>
      <c r="AW283" s="501"/>
      <c r="AX283" s="501"/>
      <c r="AY283" s="501"/>
      <c r="AZ283" s="501"/>
      <c r="BA283" s="501"/>
      <c r="BB283" s="501"/>
      <c r="BC283" s="501"/>
      <c r="BD283" s="501"/>
      <c r="BE283" s="501"/>
      <c r="BF283" s="501"/>
      <c r="BG283" s="501"/>
      <c r="BH283" s="501"/>
      <c r="BI283" s="501"/>
      <c r="BJ283" s="501"/>
      <c r="BK283" s="501"/>
      <c r="BL283" s="501"/>
      <c r="BM283" s="501"/>
      <c r="BN283" s="501"/>
      <c r="BO283" s="501"/>
      <c r="BP283" s="501"/>
      <c r="BQ283" s="501"/>
      <c r="BR283" s="501"/>
      <c r="BS283" s="501"/>
      <c r="BT283" s="501"/>
      <c r="BU283" s="501"/>
      <c r="BV283" s="501"/>
      <c r="BW283" s="501"/>
      <c r="BX283" s="501"/>
      <c r="BY283" s="501"/>
      <c r="BZ283" s="501"/>
      <c r="CA283" s="501"/>
      <c r="CB283" s="501"/>
      <c r="CC283" s="501"/>
      <c r="CD283" s="501"/>
      <c r="CE283" s="501"/>
      <c r="CF283" s="501"/>
      <c r="CG283" s="501"/>
      <c r="CH283" s="501"/>
      <c r="CI283" s="501"/>
      <c r="CJ283" s="501"/>
      <c r="CK283" s="501"/>
      <c r="CL283" s="501"/>
      <c r="CM283" s="501"/>
      <c r="CN283" s="501"/>
      <c r="CO283" s="501"/>
      <c r="CP283" s="501"/>
      <c r="CQ283" s="501"/>
      <c r="CR283" s="501"/>
      <c r="CS283" s="501"/>
      <c r="CT283" s="501"/>
    </row>
    <row r="284">
      <c r="A284" s="569"/>
      <c r="B284" s="569"/>
      <c r="C284" s="569"/>
      <c r="D284" s="498"/>
      <c r="E284" s="499"/>
      <c r="F284" s="499"/>
      <c r="G284" s="766"/>
      <c r="H284" s="766"/>
      <c r="I284" s="766"/>
      <c r="J284" s="766"/>
      <c r="K284" s="683"/>
      <c r="L284" s="683"/>
      <c r="M284" s="683"/>
      <c r="N284" s="683"/>
      <c r="O284" s="683"/>
      <c r="P284" s="683"/>
      <c r="Q284" s="683"/>
      <c r="R284" s="683"/>
      <c r="S284" s="683"/>
      <c r="T284" s="501"/>
      <c r="U284" s="501"/>
      <c r="V284" s="501"/>
      <c r="W284" s="501"/>
      <c r="X284" s="501"/>
      <c r="Y284" s="501"/>
      <c r="Z284" s="501"/>
      <c r="AA284" s="501"/>
      <c r="AB284" s="501"/>
      <c r="AC284" s="501"/>
      <c r="AD284" s="501"/>
      <c r="AE284" s="501"/>
      <c r="AF284" s="501"/>
      <c r="AG284" s="501"/>
      <c r="AH284" s="501"/>
      <c r="AI284" s="501"/>
      <c r="AJ284" s="501"/>
      <c r="AK284" s="501"/>
      <c r="AL284" s="501"/>
      <c r="AM284" s="501"/>
      <c r="AN284" s="501"/>
      <c r="AO284" s="501"/>
      <c r="AP284" s="501"/>
      <c r="AQ284" s="501"/>
      <c r="AR284" s="501"/>
      <c r="AS284" s="501"/>
      <c r="AT284" s="501"/>
      <c r="AU284" s="501"/>
      <c r="AV284" s="501"/>
      <c r="AW284" s="501"/>
      <c r="AX284" s="501"/>
      <c r="AY284" s="501"/>
      <c r="AZ284" s="501"/>
      <c r="BA284" s="501"/>
      <c r="BB284" s="501"/>
      <c r="BC284" s="501"/>
      <c r="BD284" s="501"/>
      <c r="BE284" s="501"/>
      <c r="BF284" s="501"/>
      <c r="BG284" s="501"/>
      <c r="BH284" s="501"/>
      <c r="BI284" s="501"/>
      <c r="BJ284" s="501"/>
      <c r="BK284" s="501"/>
      <c r="BL284" s="501"/>
      <c r="BM284" s="501"/>
      <c r="BN284" s="501"/>
      <c r="BO284" s="501"/>
      <c r="BP284" s="501"/>
      <c r="BQ284" s="501"/>
      <c r="BR284" s="501"/>
      <c r="BS284" s="501"/>
      <c r="BT284" s="501"/>
      <c r="BU284" s="501"/>
      <c r="BV284" s="501"/>
      <c r="BW284" s="501"/>
      <c r="BX284" s="501"/>
      <c r="BY284" s="501"/>
      <c r="BZ284" s="501"/>
      <c r="CA284" s="501"/>
      <c r="CB284" s="501"/>
      <c r="CC284" s="501"/>
      <c r="CD284" s="501"/>
      <c r="CE284" s="501"/>
      <c r="CF284" s="501"/>
      <c r="CG284" s="501"/>
      <c r="CH284" s="501"/>
      <c r="CI284" s="501"/>
      <c r="CJ284" s="501"/>
      <c r="CK284" s="501"/>
      <c r="CL284" s="501"/>
      <c r="CM284" s="501"/>
      <c r="CN284" s="501"/>
      <c r="CO284" s="501"/>
      <c r="CP284" s="501"/>
      <c r="CQ284" s="501"/>
      <c r="CR284" s="501"/>
      <c r="CS284" s="501"/>
      <c r="CT284" s="501"/>
    </row>
    <row r="285">
      <c r="A285" s="569"/>
      <c r="B285" s="569"/>
      <c r="C285" s="569"/>
      <c r="D285" s="498"/>
      <c r="E285" s="499"/>
      <c r="F285" s="499"/>
      <c r="G285" s="766"/>
      <c r="H285" s="766"/>
      <c r="I285" s="766"/>
      <c r="J285" s="766"/>
      <c r="K285" s="683"/>
      <c r="L285" s="683"/>
      <c r="M285" s="683"/>
      <c r="N285" s="683"/>
      <c r="O285" s="683"/>
      <c r="P285" s="683"/>
      <c r="Q285" s="683"/>
      <c r="R285" s="683"/>
      <c r="S285" s="683"/>
      <c r="T285" s="501"/>
      <c r="U285" s="501"/>
      <c r="V285" s="501"/>
      <c r="W285" s="501"/>
      <c r="X285" s="501"/>
      <c r="Y285" s="501"/>
      <c r="Z285" s="501"/>
      <c r="AA285" s="501"/>
      <c r="AB285" s="501"/>
      <c r="AC285" s="501"/>
      <c r="AD285" s="501"/>
      <c r="AE285" s="501"/>
      <c r="AF285" s="501"/>
      <c r="AG285" s="501"/>
      <c r="AH285" s="501"/>
      <c r="AI285" s="501"/>
      <c r="AJ285" s="501"/>
      <c r="AK285" s="501"/>
      <c r="AL285" s="501"/>
      <c r="AM285" s="501"/>
      <c r="AN285" s="501"/>
      <c r="AO285" s="501"/>
      <c r="AP285" s="501"/>
      <c r="AQ285" s="501"/>
      <c r="AR285" s="501"/>
      <c r="AS285" s="501"/>
      <c r="AT285" s="501"/>
      <c r="AU285" s="501"/>
      <c r="AV285" s="501"/>
      <c r="AW285" s="501"/>
      <c r="AX285" s="501"/>
      <c r="AY285" s="501"/>
      <c r="AZ285" s="501"/>
      <c r="BA285" s="501"/>
      <c r="BB285" s="501"/>
      <c r="BC285" s="501"/>
      <c r="BD285" s="501"/>
      <c r="BE285" s="501"/>
      <c r="BF285" s="501"/>
      <c r="BG285" s="501"/>
      <c r="BH285" s="501"/>
      <c r="BI285" s="501"/>
      <c r="BJ285" s="501"/>
      <c r="BK285" s="501"/>
      <c r="BL285" s="501"/>
      <c r="BM285" s="501"/>
      <c r="BN285" s="501"/>
      <c r="BO285" s="501"/>
      <c r="BP285" s="501"/>
      <c r="BQ285" s="501"/>
      <c r="BR285" s="501"/>
      <c r="BS285" s="501"/>
      <c r="BT285" s="501"/>
      <c r="BU285" s="501"/>
      <c r="BV285" s="501"/>
      <c r="BW285" s="501"/>
      <c r="BX285" s="501"/>
      <c r="BY285" s="501"/>
      <c r="BZ285" s="501"/>
      <c r="CA285" s="501"/>
      <c r="CB285" s="501"/>
      <c r="CC285" s="501"/>
      <c r="CD285" s="501"/>
      <c r="CE285" s="501"/>
      <c r="CF285" s="501"/>
      <c r="CG285" s="501"/>
      <c r="CH285" s="501"/>
      <c r="CI285" s="501"/>
      <c r="CJ285" s="501"/>
      <c r="CK285" s="501"/>
      <c r="CL285" s="501"/>
      <c r="CM285" s="501"/>
      <c r="CN285" s="501"/>
      <c r="CO285" s="501"/>
      <c r="CP285" s="501"/>
      <c r="CQ285" s="501"/>
      <c r="CR285" s="501"/>
      <c r="CS285" s="501"/>
      <c r="CT285" s="501"/>
    </row>
    <row r="286">
      <c r="A286" s="569"/>
      <c r="B286" s="569"/>
      <c r="C286" s="569"/>
      <c r="D286" s="498"/>
      <c r="E286" s="499"/>
      <c r="F286" s="499"/>
      <c r="G286" s="766"/>
      <c r="H286" s="766"/>
      <c r="I286" s="766"/>
      <c r="J286" s="766"/>
      <c r="K286" s="683"/>
      <c r="L286" s="683"/>
      <c r="M286" s="683"/>
      <c r="N286" s="683"/>
      <c r="O286" s="683"/>
      <c r="P286" s="683"/>
      <c r="Q286" s="683"/>
      <c r="R286" s="683"/>
      <c r="S286" s="683"/>
      <c r="T286" s="501"/>
      <c r="U286" s="501"/>
      <c r="V286" s="501"/>
      <c r="W286" s="501"/>
      <c r="X286" s="501"/>
      <c r="Y286" s="501"/>
      <c r="Z286" s="501"/>
      <c r="AA286" s="501"/>
      <c r="AB286" s="501"/>
      <c r="AC286" s="501"/>
      <c r="AD286" s="501"/>
      <c r="AE286" s="501"/>
      <c r="AF286" s="501"/>
      <c r="AG286" s="501"/>
      <c r="AH286" s="501"/>
      <c r="AI286" s="501"/>
      <c r="AJ286" s="501"/>
      <c r="AK286" s="501"/>
      <c r="AL286" s="501"/>
      <c r="AM286" s="501"/>
      <c r="AN286" s="501"/>
      <c r="AO286" s="501"/>
      <c r="AP286" s="501"/>
      <c r="AQ286" s="501"/>
      <c r="AR286" s="501"/>
      <c r="AS286" s="501"/>
      <c r="AT286" s="501"/>
      <c r="AU286" s="501"/>
      <c r="AV286" s="501"/>
      <c r="AW286" s="501"/>
      <c r="AX286" s="501"/>
      <c r="AY286" s="501"/>
      <c r="AZ286" s="501"/>
      <c r="BA286" s="501"/>
      <c r="BB286" s="501"/>
      <c r="BC286" s="501"/>
      <c r="BD286" s="501"/>
      <c r="BE286" s="501"/>
      <c r="BF286" s="501"/>
      <c r="BG286" s="501"/>
      <c r="BH286" s="501"/>
      <c r="BI286" s="501"/>
      <c r="BJ286" s="501"/>
      <c r="BK286" s="501"/>
      <c r="BL286" s="501"/>
      <c r="BM286" s="501"/>
      <c r="BN286" s="501"/>
      <c r="BO286" s="501"/>
      <c r="BP286" s="501"/>
      <c r="BQ286" s="501"/>
      <c r="BR286" s="501"/>
      <c r="BS286" s="501"/>
      <c r="BT286" s="501"/>
      <c r="BU286" s="501"/>
      <c r="BV286" s="501"/>
      <c r="BW286" s="501"/>
      <c r="BX286" s="501"/>
      <c r="BY286" s="501"/>
      <c r="BZ286" s="501"/>
      <c r="CA286" s="501"/>
      <c r="CB286" s="501"/>
      <c r="CC286" s="501"/>
      <c r="CD286" s="501"/>
      <c r="CE286" s="501"/>
      <c r="CF286" s="501"/>
      <c r="CG286" s="501"/>
      <c r="CH286" s="501"/>
      <c r="CI286" s="501"/>
      <c r="CJ286" s="501"/>
      <c r="CK286" s="501"/>
      <c r="CL286" s="501"/>
      <c r="CM286" s="501"/>
      <c r="CN286" s="501"/>
      <c r="CO286" s="501"/>
      <c r="CP286" s="501"/>
      <c r="CQ286" s="501"/>
      <c r="CR286" s="501"/>
      <c r="CS286" s="501"/>
      <c r="CT286" s="501"/>
    </row>
    <row r="287">
      <c r="A287" s="569"/>
      <c r="B287" s="569"/>
      <c r="C287" s="569"/>
      <c r="D287" s="498"/>
      <c r="E287" s="499"/>
      <c r="F287" s="499"/>
      <c r="G287" s="766"/>
      <c r="H287" s="766"/>
      <c r="I287" s="766"/>
      <c r="J287" s="766"/>
      <c r="K287" s="683"/>
      <c r="L287" s="683"/>
      <c r="M287" s="683"/>
      <c r="N287" s="683"/>
      <c r="O287" s="683"/>
      <c r="P287" s="683"/>
      <c r="Q287" s="683"/>
      <c r="R287" s="683"/>
      <c r="S287" s="683"/>
      <c r="T287" s="501"/>
      <c r="U287" s="501"/>
      <c r="V287" s="501"/>
      <c r="W287" s="501"/>
      <c r="X287" s="501"/>
      <c r="Y287" s="501"/>
      <c r="Z287" s="501"/>
      <c r="AA287" s="501"/>
      <c r="AB287" s="501"/>
      <c r="AC287" s="501"/>
      <c r="AD287" s="501"/>
      <c r="AE287" s="501"/>
      <c r="AF287" s="501"/>
      <c r="AG287" s="501"/>
      <c r="AH287" s="501"/>
      <c r="AI287" s="501"/>
      <c r="AJ287" s="501"/>
      <c r="AK287" s="501"/>
      <c r="AL287" s="501"/>
      <c r="AM287" s="501"/>
      <c r="AN287" s="501"/>
      <c r="AO287" s="501"/>
      <c r="AP287" s="501"/>
      <c r="AQ287" s="501"/>
      <c r="AR287" s="501"/>
      <c r="AS287" s="501"/>
      <c r="AT287" s="501"/>
      <c r="AU287" s="501"/>
      <c r="AV287" s="501"/>
      <c r="AW287" s="501"/>
      <c r="AX287" s="501"/>
      <c r="AY287" s="501"/>
      <c r="AZ287" s="501"/>
      <c r="BA287" s="501"/>
      <c r="BB287" s="501"/>
      <c r="BC287" s="501"/>
      <c r="BD287" s="501"/>
      <c r="BE287" s="501"/>
      <c r="BF287" s="501"/>
      <c r="BG287" s="501"/>
      <c r="BH287" s="501"/>
      <c r="BI287" s="501"/>
      <c r="BJ287" s="501"/>
      <c r="BK287" s="501"/>
      <c r="BL287" s="501"/>
      <c r="BM287" s="501"/>
      <c r="BN287" s="501"/>
      <c r="BO287" s="501"/>
      <c r="BP287" s="501"/>
      <c r="BQ287" s="501"/>
      <c r="BR287" s="501"/>
      <c r="BS287" s="501"/>
      <c r="BT287" s="501"/>
      <c r="BU287" s="501"/>
      <c r="BV287" s="501"/>
      <c r="BW287" s="501"/>
      <c r="BX287" s="501"/>
      <c r="BY287" s="501"/>
      <c r="BZ287" s="501"/>
      <c r="CA287" s="501"/>
      <c r="CB287" s="501"/>
      <c r="CC287" s="501"/>
      <c r="CD287" s="501"/>
      <c r="CE287" s="501"/>
      <c r="CF287" s="501"/>
      <c r="CG287" s="501"/>
      <c r="CH287" s="501"/>
      <c r="CI287" s="501"/>
      <c r="CJ287" s="501"/>
      <c r="CK287" s="501"/>
      <c r="CL287" s="501"/>
      <c r="CM287" s="501"/>
      <c r="CN287" s="501"/>
      <c r="CO287" s="501"/>
      <c r="CP287" s="501"/>
      <c r="CQ287" s="501"/>
      <c r="CR287" s="501"/>
      <c r="CS287" s="501"/>
      <c r="CT287" s="501"/>
    </row>
    <row r="288">
      <c r="A288" s="569"/>
      <c r="B288" s="569"/>
      <c r="C288" s="569"/>
      <c r="D288" s="498"/>
      <c r="E288" s="499"/>
      <c r="F288" s="499"/>
      <c r="G288" s="766"/>
      <c r="H288" s="766"/>
      <c r="I288" s="766"/>
      <c r="J288" s="766"/>
      <c r="K288" s="683"/>
      <c r="L288" s="683"/>
      <c r="M288" s="683"/>
      <c r="N288" s="683"/>
      <c r="O288" s="683"/>
      <c r="P288" s="683"/>
      <c r="Q288" s="683"/>
      <c r="R288" s="683"/>
      <c r="S288" s="683"/>
      <c r="T288" s="501"/>
      <c r="U288" s="501"/>
      <c r="V288" s="501"/>
      <c r="W288" s="501"/>
      <c r="X288" s="501"/>
      <c r="Y288" s="501"/>
      <c r="Z288" s="501"/>
      <c r="AA288" s="501"/>
      <c r="AB288" s="501"/>
      <c r="AC288" s="501"/>
      <c r="AD288" s="501"/>
      <c r="AE288" s="501"/>
      <c r="AF288" s="501"/>
      <c r="AG288" s="501"/>
      <c r="AH288" s="501"/>
      <c r="AI288" s="501"/>
      <c r="AJ288" s="501"/>
      <c r="AK288" s="501"/>
      <c r="AL288" s="501"/>
      <c r="AM288" s="501"/>
      <c r="AN288" s="501"/>
      <c r="AO288" s="501"/>
      <c r="AP288" s="501"/>
      <c r="AQ288" s="501"/>
      <c r="AR288" s="501"/>
      <c r="AS288" s="501"/>
      <c r="AT288" s="501"/>
      <c r="AU288" s="501"/>
      <c r="AV288" s="501"/>
      <c r="AW288" s="501"/>
      <c r="AX288" s="501"/>
      <c r="AY288" s="501"/>
      <c r="AZ288" s="501"/>
      <c r="BA288" s="501"/>
      <c r="BB288" s="501"/>
      <c r="BC288" s="501"/>
      <c r="BD288" s="501"/>
      <c r="BE288" s="501"/>
      <c r="BF288" s="501"/>
      <c r="BG288" s="501"/>
      <c r="BH288" s="501"/>
      <c r="BI288" s="501"/>
      <c r="BJ288" s="501"/>
      <c r="BK288" s="501"/>
      <c r="BL288" s="501"/>
      <c r="BM288" s="501"/>
      <c r="BN288" s="501"/>
      <c r="BO288" s="501"/>
      <c r="BP288" s="501"/>
      <c r="BQ288" s="501"/>
      <c r="BR288" s="501"/>
      <c r="BS288" s="501"/>
      <c r="BT288" s="501"/>
      <c r="BU288" s="501"/>
      <c r="BV288" s="501"/>
      <c r="BW288" s="501"/>
      <c r="BX288" s="501"/>
      <c r="BY288" s="501"/>
      <c r="BZ288" s="501"/>
      <c r="CA288" s="501"/>
      <c r="CB288" s="501"/>
      <c r="CC288" s="501"/>
      <c r="CD288" s="501"/>
      <c r="CE288" s="501"/>
      <c r="CF288" s="501"/>
      <c r="CG288" s="501"/>
      <c r="CH288" s="501"/>
      <c r="CI288" s="501"/>
      <c r="CJ288" s="501"/>
      <c r="CK288" s="501"/>
      <c r="CL288" s="501"/>
      <c r="CM288" s="501"/>
      <c r="CN288" s="501"/>
      <c r="CO288" s="501"/>
      <c r="CP288" s="501"/>
      <c r="CQ288" s="501"/>
      <c r="CR288" s="501"/>
      <c r="CS288" s="501"/>
      <c r="CT288" s="501"/>
    </row>
    <row r="289">
      <c r="A289" s="569"/>
      <c r="B289" s="569"/>
      <c r="C289" s="569"/>
      <c r="D289" s="498"/>
      <c r="E289" s="499"/>
      <c r="F289" s="499"/>
      <c r="G289" s="766"/>
      <c r="H289" s="766"/>
      <c r="I289" s="766"/>
      <c r="J289" s="766"/>
      <c r="K289" s="683"/>
      <c r="L289" s="683"/>
      <c r="M289" s="683"/>
      <c r="N289" s="683"/>
      <c r="O289" s="683"/>
      <c r="P289" s="683"/>
      <c r="Q289" s="683"/>
      <c r="R289" s="683"/>
      <c r="S289" s="683"/>
      <c r="T289" s="501"/>
      <c r="U289" s="501"/>
      <c r="V289" s="501"/>
      <c r="W289" s="501"/>
      <c r="X289" s="501"/>
      <c r="Y289" s="501"/>
      <c r="Z289" s="501"/>
      <c r="AA289" s="501"/>
      <c r="AB289" s="501"/>
      <c r="AC289" s="501"/>
      <c r="AD289" s="501"/>
      <c r="AE289" s="501"/>
      <c r="AF289" s="501"/>
      <c r="AG289" s="501"/>
      <c r="AH289" s="501"/>
      <c r="AI289" s="501"/>
      <c r="AJ289" s="501"/>
      <c r="AK289" s="501"/>
      <c r="AL289" s="501"/>
      <c r="AM289" s="501"/>
      <c r="AN289" s="501"/>
      <c r="AO289" s="501"/>
      <c r="AP289" s="501"/>
      <c r="AQ289" s="501"/>
      <c r="AR289" s="501"/>
      <c r="AS289" s="501"/>
      <c r="AT289" s="501"/>
      <c r="AU289" s="501"/>
      <c r="AV289" s="501"/>
      <c r="AW289" s="501"/>
      <c r="AX289" s="501"/>
      <c r="AY289" s="501"/>
      <c r="AZ289" s="501"/>
      <c r="BA289" s="501"/>
      <c r="BB289" s="501"/>
      <c r="BC289" s="501"/>
      <c r="BD289" s="501"/>
      <c r="BE289" s="501"/>
      <c r="BF289" s="501"/>
      <c r="BG289" s="501"/>
      <c r="BH289" s="501"/>
      <c r="BI289" s="501"/>
      <c r="BJ289" s="501"/>
      <c r="BK289" s="501"/>
      <c r="BL289" s="501"/>
      <c r="BM289" s="501"/>
      <c r="BN289" s="501"/>
      <c r="BO289" s="501"/>
      <c r="BP289" s="501"/>
      <c r="BQ289" s="501"/>
      <c r="BR289" s="501"/>
      <c r="BS289" s="501"/>
      <c r="BT289" s="501"/>
      <c r="BU289" s="501"/>
      <c r="BV289" s="501"/>
      <c r="BW289" s="501"/>
      <c r="BX289" s="501"/>
      <c r="BY289" s="501"/>
      <c r="BZ289" s="501"/>
      <c r="CA289" s="501"/>
      <c r="CB289" s="501"/>
      <c r="CC289" s="501"/>
      <c r="CD289" s="501"/>
      <c r="CE289" s="501"/>
      <c r="CF289" s="501"/>
      <c r="CG289" s="501"/>
      <c r="CH289" s="501"/>
      <c r="CI289" s="501"/>
      <c r="CJ289" s="501"/>
      <c r="CK289" s="501"/>
      <c r="CL289" s="501"/>
      <c r="CM289" s="501"/>
      <c r="CN289" s="501"/>
      <c r="CO289" s="501"/>
      <c r="CP289" s="501"/>
      <c r="CQ289" s="501"/>
      <c r="CR289" s="501"/>
      <c r="CS289" s="501"/>
      <c r="CT289" s="501"/>
    </row>
    <row r="290">
      <c r="A290" s="569"/>
      <c r="B290" s="569"/>
      <c r="C290" s="569"/>
      <c r="D290" s="498"/>
      <c r="E290" s="499"/>
      <c r="F290" s="499"/>
      <c r="G290" s="766"/>
      <c r="H290" s="766"/>
      <c r="I290" s="766"/>
      <c r="J290" s="766"/>
      <c r="K290" s="683"/>
      <c r="L290" s="683"/>
      <c r="M290" s="683"/>
      <c r="N290" s="683"/>
      <c r="O290" s="683"/>
      <c r="P290" s="683"/>
      <c r="Q290" s="683"/>
      <c r="R290" s="683"/>
      <c r="S290" s="683"/>
      <c r="T290" s="501"/>
      <c r="U290" s="501"/>
      <c r="V290" s="501"/>
      <c r="W290" s="501"/>
      <c r="X290" s="501"/>
      <c r="Y290" s="501"/>
      <c r="Z290" s="501"/>
      <c r="AA290" s="501"/>
      <c r="AB290" s="501"/>
      <c r="AC290" s="501"/>
      <c r="AD290" s="501"/>
      <c r="AE290" s="501"/>
      <c r="AF290" s="501"/>
      <c r="AG290" s="501"/>
      <c r="AH290" s="501"/>
      <c r="AI290" s="501"/>
      <c r="AJ290" s="501"/>
      <c r="AK290" s="501"/>
      <c r="AL290" s="501"/>
      <c r="AM290" s="501"/>
      <c r="AN290" s="501"/>
      <c r="AO290" s="501"/>
      <c r="AP290" s="501"/>
      <c r="AQ290" s="501"/>
      <c r="AR290" s="501"/>
      <c r="AS290" s="501"/>
      <c r="AT290" s="501"/>
      <c r="AU290" s="501"/>
      <c r="AV290" s="501"/>
      <c r="AW290" s="501"/>
      <c r="AX290" s="501"/>
      <c r="AY290" s="501"/>
      <c r="AZ290" s="501"/>
      <c r="BA290" s="501"/>
      <c r="BB290" s="501"/>
      <c r="BC290" s="501"/>
      <c r="BD290" s="501"/>
      <c r="BE290" s="501"/>
      <c r="BF290" s="501"/>
      <c r="BG290" s="501"/>
      <c r="BH290" s="501"/>
      <c r="BI290" s="501"/>
      <c r="BJ290" s="501"/>
      <c r="BK290" s="501"/>
      <c r="BL290" s="501"/>
      <c r="BM290" s="501"/>
      <c r="BN290" s="501"/>
      <c r="BO290" s="501"/>
      <c r="BP290" s="501"/>
      <c r="BQ290" s="501"/>
      <c r="BR290" s="501"/>
      <c r="BS290" s="501"/>
      <c r="BT290" s="501"/>
      <c r="BU290" s="501"/>
      <c r="BV290" s="501"/>
      <c r="BW290" s="501"/>
      <c r="BX290" s="501"/>
      <c r="BY290" s="501"/>
      <c r="BZ290" s="501"/>
      <c r="CA290" s="501"/>
      <c r="CB290" s="501"/>
      <c r="CC290" s="501"/>
      <c r="CD290" s="501"/>
      <c r="CE290" s="501"/>
      <c r="CF290" s="501"/>
      <c r="CG290" s="501"/>
      <c r="CH290" s="501"/>
      <c r="CI290" s="501"/>
      <c r="CJ290" s="501"/>
      <c r="CK290" s="501"/>
      <c r="CL290" s="501"/>
      <c r="CM290" s="501"/>
      <c r="CN290" s="501"/>
      <c r="CO290" s="501"/>
      <c r="CP290" s="501"/>
      <c r="CQ290" s="501"/>
      <c r="CR290" s="501"/>
      <c r="CS290" s="501"/>
      <c r="CT290" s="501"/>
    </row>
    <row r="291">
      <c r="A291" s="569"/>
      <c r="B291" s="569"/>
      <c r="C291" s="569"/>
      <c r="D291" s="498"/>
      <c r="E291" s="499"/>
      <c r="F291" s="499"/>
      <c r="G291" s="766"/>
      <c r="H291" s="766"/>
      <c r="I291" s="766"/>
      <c r="J291" s="766"/>
      <c r="K291" s="683"/>
      <c r="L291" s="683"/>
      <c r="M291" s="683"/>
      <c r="N291" s="683"/>
      <c r="O291" s="683"/>
      <c r="P291" s="683"/>
      <c r="Q291" s="683"/>
      <c r="R291" s="683"/>
      <c r="S291" s="683"/>
      <c r="T291" s="501"/>
      <c r="U291" s="501"/>
      <c r="V291" s="501"/>
      <c r="W291" s="501"/>
      <c r="X291" s="501"/>
      <c r="Y291" s="501"/>
      <c r="Z291" s="501"/>
      <c r="AA291" s="501"/>
      <c r="AB291" s="501"/>
      <c r="AC291" s="501"/>
      <c r="AD291" s="501"/>
      <c r="AE291" s="501"/>
      <c r="AF291" s="501"/>
      <c r="AG291" s="501"/>
      <c r="AH291" s="501"/>
      <c r="AI291" s="501"/>
      <c r="AJ291" s="501"/>
      <c r="AK291" s="501"/>
      <c r="AL291" s="501"/>
      <c r="AM291" s="501"/>
      <c r="AN291" s="501"/>
      <c r="AO291" s="501"/>
      <c r="AP291" s="501"/>
      <c r="AQ291" s="501"/>
      <c r="AR291" s="501"/>
      <c r="AS291" s="501"/>
      <c r="AT291" s="501"/>
      <c r="AU291" s="501"/>
      <c r="AV291" s="501"/>
      <c r="AW291" s="501"/>
      <c r="AX291" s="501"/>
      <c r="AY291" s="501"/>
      <c r="AZ291" s="501"/>
      <c r="BA291" s="501"/>
      <c r="BB291" s="501"/>
      <c r="BC291" s="501"/>
      <c r="BD291" s="501"/>
      <c r="BE291" s="501"/>
      <c r="BF291" s="501"/>
      <c r="BG291" s="501"/>
      <c r="BH291" s="501"/>
      <c r="BI291" s="501"/>
      <c r="BJ291" s="501"/>
      <c r="BK291" s="501"/>
      <c r="BL291" s="501"/>
      <c r="BM291" s="501"/>
      <c r="BN291" s="501"/>
      <c r="BO291" s="501"/>
      <c r="BP291" s="501"/>
      <c r="BQ291" s="501"/>
      <c r="BR291" s="501"/>
      <c r="BS291" s="501"/>
      <c r="BT291" s="501"/>
      <c r="BU291" s="501"/>
      <c r="BV291" s="501"/>
      <c r="BW291" s="501"/>
      <c r="BX291" s="501"/>
      <c r="BY291" s="501"/>
      <c r="BZ291" s="501"/>
      <c r="CA291" s="501"/>
      <c r="CB291" s="501"/>
      <c r="CC291" s="501"/>
      <c r="CD291" s="501"/>
      <c r="CE291" s="501"/>
      <c r="CF291" s="501"/>
      <c r="CG291" s="501"/>
      <c r="CH291" s="501"/>
      <c r="CI291" s="501"/>
      <c r="CJ291" s="501"/>
      <c r="CK291" s="501"/>
      <c r="CL291" s="501"/>
      <c r="CM291" s="501"/>
      <c r="CN291" s="501"/>
      <c r="CO291" s="501"/>
      <c r="CP291" s="501"/>
      <c r="CQ291" s="501"/>
      <c r="CR291" s="501"/>
      <c r="CS291" s="501"/>
      <c r="CT291" s="501"/>
    </row>
    <row r="292">
      <c r="A292" s="569"/>
      <c r="B292" s="569"/>
      <c r="C292" s="569"/>
      <c r="D292" s="498"/>
      <c r="E292" s="499"/>
      <c r="F292" s="499"/>
      <c r="G292" s="766"/>
      <c r="H292" s="766"/>
      <c r="I292" s="766"/>
      <c r="J292" s="766"/>
      <c r="K292" s="683"/>
      <c r="L292" s="683"/>
      <c r="M292" s="683"/>
      <c r="N292" s="683"/>
      <c r="O292" s="683"/>
      <c r="P292" s="683"/>
      <c r="Q292" s="683"/>
      <c r="R292" s="683"/>
      <c r="S292" s="683"/>
      <c r="T292" s="501"/>
      <c r="U292" s="501"/>
      <c r="V292" s="501"/>
      <c r="W292" s="501"/>
      <c r="X292" s="501"/>
      <c r="Y292" s="501"/>
      <c r="Z292" s="501"/>
      <c r="AA292" s="501"/>
      <c r="AB292" s="501"/>
      <c r="AC292" s="501"/>
      <c r="AD292" s="501"/>
      <c r="AE292" s="501"/>
      <c r="AF292" s="501"/>
      <c r="AG292" s="501"/>
      <c r="AH292" s="501"/>
      <c r="AI292" s="501"/>
      <c r="AJ292" s="501"/>
      <c r="AK292" s="501"/>
      <c r="AL292" s="501"/>
      <c r="AM292" s="501"/>
      <c r="AN292" s="501"/>
      <c r="AO292" s="501"/>
      <c r="AP292" s="501"/>
      <c r="AQ292" s="501"/>
      <c r="AR292" s="501"/>
      <c r="AS292" s="501"/>
      <c r="AT292" s="501"/>
      <c r="AU292" s="501"/>
      <c r="AV292" s="501"/>
      <c r="AW292" s="501"/>
      <c r="AX292" s="501"/>
      <c r="AY292" s="501"/>
      <c r="AZ292" s="501"/>
      <c r="BA292" s="501"/>
      <c r="BB292" s="501"/>
      <c r="BC292" s="501"/>
      <c r="BD292" s="501"/>
      <c r="BE292" s="501"/>
      <c r="BF292" s="501"/>
      <c r="BG292" s="501"/>
      <c r="BH292" s="501"/>
      <c r="BI292" s="501"/>
      <c r="BJ292" s="501"/>
      <c r="BK292" s="501"/>
      <c r="BL292" s="501"/>
      <c r="BM292" s="501"/>
      <c r="BN292" s="501"/>
      <c r="BO292" s="501"/>
      <c r="BP292" s="501"/>
      <c r="BQ292" s="501"/>
      <c r="BR292" s="501"/>
      <c r="BS292" s="501"/>
      <c r="BT292" s="501"/>
      <c r="BU292" s="501"/>
      <c r="BV292" s="501"/>
      <c r="BW292" s="501"/>
      <c r="BX292" s="501"/>
      <c r="BY292" s="501"/>
      <c r="BZ292" s="501"/>
      <c r="CA292" s="501"/>
      <c r="CB292" s="501"/>
      <c r="CC292" s="501"/>
      <c r="CD292" s="501"/>
      <c r="CE292" s="501"/>
      <c r="CF292" s="501"/>
      <c r="CG292" s="501"/>
      <c r="CH292" s="501"/>
      <c r="CI292" s="501"/>
      <c r="CJ292" s="501"/>
      <c r="CK292" s="501"/>
      <c r="CL292" s="501"/>
      <c r="CM292" s="501"/>
      <c r="CN292" s="501"/>
      <c r="CO292" s="501"/>
      <c r="CP292" s="501"/>
      <c r="CQ292" s="501"/>
      <c r="CR292" s="501"/>
      <c r="CS292" s="501"/>
      <c r="CT292" s="501"/>
    </row>
    <row r="293">
      <c r="A293" s="569"/>
      <c r="B293" s="569"/>
      <c r="C293" s="569"/>
      <c r="D293" s="498"/>
      <c r="E293" s="499"/>
      <c r="F293" s="499"/>
      <c r="G293" s="766"/>
      <c r="H293" s="766"/>
      <c r="I293" s="766"/>
      <c r="J293" s="766"/>
      <c r="K293" s="683"/>
      <c r="L293" s="683"/>
      <c r="M293" s="683"/>
      <c r="N293" s="683"/>
      <c r="O293" s="683"/>
      <c r="P293" s="683"/>
      <c r="Q293" s="683"/>
      <c r="R293" s="683"/>
      <c r="S293" s="683"/>
      <c r="T293" s="501"/>
      <c r="U293" s="501"/>
      <c r="V293" s="501"/>
      <c r="W293" s="501"/>
      <c r="X293" s="501"/>
      <c r="Y293" s="501"/>
      <c r="Z293" s="501"/>
      <c r="AA293" s="501"/>
      <c r="AB293" s="501"/>
      <c r="AC293" s="501"/>
      <c r="AD293" s="501"/>
      <c r="AE293" s="501"/>
      <c r="AF293" s="501"/>
      <c r="AG293" s="501"/>
      <c r="AH293" s="501"/>
      <c r="AI293" s="501"/>
      <c r="AJ293" s="501"/>
      <c r="AK293" s="501"/>
      <c r="AL293" s="501"/>
      <c r="AM293" s="501"/>
      <c r="AN293" s="501"/>
      <c r="AO293" s="501"/>
      <c r="AP293" s="501"/>
      <c r="AQ293" s="501"/>
      <c r="AR293" s="501"/>
      <c r="AS293" s="501"/>
      <c r="AT293" s="501"/>
      <c r="AU293" s="501"/>
      <c r="AV293" s="501"/>
      <c r="AW293" s="501"/>
      <c r="AX293" s="501"/>
      <c r="AY293" s="501"/>
      <c r="AZ293" s="501"/>
      <c r="BA293" s="501"/>
      <c r="BB293" s="501"/>
      <c r="BC293" s="501"/>
      <c r="BD293" s="501"/>
      <c r="BE293" s="501"/>
      <c r="BF293" s="501"/>
      <c r="BG293" s="501"/>
      <c r="BH293" s="501"/>
      <c r="BI293" s="501"/>
      <c r="BJ293" s="501"/>
      <c r="BK293" s="501"/>
      <c r="BL293" s="501"/>
      <c r="BM293" s="501"/>
      <c r="BN293" s="501"/>
      <c r="BO293" s="501"/>
      <c r="BP293" s="501"/>
      <c r="BQ293" s="501"/>
      <c r="BR293" s="501"/>
      <c r="BS293" s="501"/>
      <c r="BT293" s="501"/>
      <c r="BU293" s="501"/>
      <c r="BV293" s="501"/>
      <c r="BW293" s="501"/>
      <c r="BX293" s="501"/>
      <c r="BY293" s="501"/>
      <c r="BZ293" s="501"/>
      <c r="CA293" s="501"/>
      <c r="CB293" s="501"/>
      <c r="CC293" s="501"/>
      <c r="CD293" s="501"/>
      <c r="CE293" s="501"/>
      <c r="CF293" s="501"/>
      <c r="CG293" s="501"/>
      <c r="CH293" s="501"/>
      <c r="CI293" s="501"/>
      <c r="CJ293" s="501"/>
      <c r="CK293" s="501"/>
      <c r="CL293" s="501"/>
      <c r="CM293" s="501"/>
      <c r="CN293" s="501"/>
      <c r="CO293" s="501"/>
      <c r="CP293" s="501"/>
      <c r="CQ293" s="501"/>
      <c r="CR293" s="501"/>
      <c r="CS293" s="501"/>
      <c r="CT293" s="501"/>
    </row>
    <row r="294">
      <c r="A294" s="569"/>
      <c r="B294" s="569"/>
      <c r="C294" s="569"/>
      <c r="D294" s="498"/>
      <c r="E294" s="499"/>
      <c r="F294" s="499"/>
      <c r="G294" s="766"/>
      <c r="H294" s="766"/>
      <c r="I294" s="766"/>
      <c r="J294" s="766"/>
      <c r="K294" s="683"/>
      <c r="L294" s="683"/>
      <c r="M294" s="683"/>
      <c r="N294" s="683"/>
      <c r="O294" s="683"/>
      <c r="P294" s="683"/>
      <c r="Q294" s="683"/>
      <c r="R294" s="683"/>
      <c r="S294" s="683"/>
      <c r="T294" s="501"/>
      <c r="U294" s="501"/>
      <c r="V294" s="501"/>
      <c r="W294" s="501"/>
      <c r="X294" s="501"/>
      <c r="Y294" s="501"/>
      <c r="Z294" s="501"/>
      <c r="AA294" s="501"/>
      <c r="AB294" s="501"/>
      <c r="AC294" s="501"/>
      <c r="AD294" s="501"/>
      <c r="AE294" s="501"/>
      <c r="AF294" s="501"/>
      <c r="AG294" s="501"/>
      <c r="AH294" s="501"/>
      <c r="AI294" s="501"/>
      <c r="AJ294" s="501"/>
      <c r="AK294" s="501"/>
      <c r="AL294" s="501"/>
      <c r="AM294" s="501"/>
      <c r="AN294" s="501"/>
      <c r="AO294" s="501"/>
      <c r="AP294" s="501"/>
      <c r="AQ294" s="501"/>
      <c r="AR294" s="501"/>
      <c r="AS294" s="501"/>
      <c r="AT294" s="501"/>
      <c r="AU294" s="501"/>
      <c r="AV294" s="501"/>
      <c r="AW294" s="501"/>
      <c r="AX294" s="501"/>
      <c r="AY294" s="501"/>
      <c r="AZ294" s="501"/>
      <c r="BA294" s="501"/>
      <c r="BB294" s="501"/>
      <c r="BC294" s="501"/>
      <c r="BD294" s="501"/>
      <c r="BE294" s="501"/>
      <c r="BF294" s="501"/>
      <c r="BG294" s="501"/>
      <c r="BH294" s="501"/>
      <c r="BI294" s="501"/>
      <c r="BJ294" s="501"/>
      <c r="BK294" s="501"/>
      <c r="BL294" s="501"/>
      <c r="BM294" s="501"/>
      <c r="BN294" s="501"/>
      <c r="BO294" s="501"/>
      <c r="BP294" s="501"/>
      <c r="BQ294" s="501"/>
      <c r="BR294" s="501"/>
      <c r="BS294" s="501"/>
      <c r="BT294" s="501"/>
      <c r="BU294" s="501"/>
      <c r="BV294" s="501"/>
      <c r="BW294" s="501"/>
      <c r="BX294" s="501"/>
      <c r="BY294" s="501"/>
      <c r="BZ294" s="501"/>
      <c r="CA294" s="501"/>
      <c r="CB294" s="501"/>
      <c r="CC294" s="501"/>
      <c r="CD294" s="501"/>
      <c r="CE294" s="501"/>
      <c r="CF294" s="501"/>
      <c r="CG294" s="501"/>
      <c r="CH294" s="501"/>
      <c r="CI294" s="501"/>
      <c r="CJ294" s="501"/>
      <c r="CK294" s="501"/>
      <c r="CL294" s="501"/>
      <c r="CM294" s="501"/>
      <c r="CN294" s="501"/>
      <c r="CO294" s="501"/>
      <c r="CP294" s="501"/>
      <c r="CQ294" s="501"/>
      <c r="CR294" s="501"/>
      <c r="CS294" s="501"/>
      <c r="CT294" s="501"/>
    </row>
    <row r="295">
      <c r="A295" s="569"/>
      <c r="B295" s="569"/>
      <c r="C295" s="569"/>
      <c r="D295" s="498"/>
      <c r="E295" s="499"/>
      <c r="F295" s="499"/>
      <c r="G295" s="766"/>
      <c r="H295" s="766"/>
      <c r="I295" s="766"/>
      <c r="J295" s="766"/>
      <c r="K295" s="683"/>
      <c r="L295" s="683"/>
      <c r="M295" s="683"/>
      <c r="N295" s="683"/>
      <c r="O295" s="683"/>
      <c r="P295" s="683"/>
      <c r="Q295" s="683"/>
      <c r="R295" s="683"/>
      <c r="S295" s="683"/>
      <c r="T295" s="501"/>
      <c r="U295" s="501"/>
      <c r="V295" s="501"/>
      <c r="W295" s="501"/>
      <c r="X295" s="501"/>
      <c r="Y295" s="501"/>
      <c r="Z295" s="501"/>
      <c r="AA295" s="501"/>
      <c r="AB295" s="501"/>
      <c r="AC295" s="501"/>
      <c r="AD295" s="501"/>
      <c r="AE295" s="501"/>
      <c r="AF295" s="501"/>
      <c r="AG295" s="501"/>
      <c r="AH295" s="501"/>
      <c r="AI295" s="501"/>
      <c r="AJ295" s="501"/>
      <c r="AK295" s="501"/>
      <c r="AL295" s="501"/>
      <c r="AM295" s="501"/>
      <c r="AN295" s="501"/>
      <c r="AO295" s="501"/>
      <c r="AP295" s="501"/>
      <c r="AQ295" s="501"/>
      <c r="AR295" s="501"/>
      <c r="AS295" s="501"/>
      <c r="AT295" s="501"/>
      <c r="AU295" s="501"/>
      <c r="AV295" s="501"/>
      <c r="AW295" s="501"/>
      <c r="AX295" s="501"/>
      <c r="AY295" s="501"/>
      <c r="AZ295" s="501"/>
      <c r="BA295" s="501"/>
      <c r="BB295" s="501"/>
      <c r="BC295" s="501"/>
      <c r="BD295" s="501"/>
      <c r="BE295" s="501"/>
      <c r="BF295" s="501"/>
      <c r="BG295" s="501"/>
      <c r="BH295" s="501"/>
      <c r="BI295" s="501"/>
      <c r="BJ295" s="501"/>
      <c r="BK295" s="501"/>
      <c r="BL295" s="501"/>
      <c r="BM295" s="501"/>
      <c r="BN295" s="501"/>
      <c r="BO295" s="501"/>
      <c r="BP295" s="501"/>
      <c r="BQ295" s="501"/>
      <c r="BR295" s="501"/>
      <c r="BS295" s="501"/>
      <c r="BT295" s="501"/>
      <c r="BU295" s="501"/>
      <c r="BV295" s="501"/>
      <c r="BW295" s="501"/>
      <c r="BX295" s="501"/>
      <c r="BY295" s="501"/>
      <c r="BZ295" s="501"/>
      <c r="CA295" s="501"/>
      <c r="CB295" s="501"/>
      <c r="CC295" s="501"/>
      <c r="CD295" s="501"/>
      <c r="CE295" s="501"/>
      <c r="CF295" s="501"/>
      <c r="CG295" s="501"/>
      <c r="CH295" s="501"/>
      <c r="CI295" s="501"/>
      <c r="CJ295" s="501"/>
      <c r="CK295" s="501"/>
      <c r="CL295" s="501"/>
      <c r="CM295" s="501"/>
      <c r="CN295" s="501"/>
      <c r="CO295" s="501"/>
      <c r="CP295" s="501"/>
      <c r="CQ295" s="501"/>
      <c r="CR295" s="501"/>
      <c r="CS295" s="501"/>
      <c r="CT295" s="501"/>
    </row>
    <row r="296">
      <c r="A296" s="569"/>
      <c r="B296" s="569"/>
      <c r="C296" s="569"/>
      <c r="D296" s="498"/>
      <c r="E296" s="499"/>
      <c r="F296" s="499"/>
      <c r="G296" s="766"/>
      <c r="H296" s="766"/>
      <c r="I296" s="766"/>
      <c r="J296" s="766"/>
      <c r="K296" s="683"/>
      <c r="L296" s="683"/>
      <c r="M296" s="683"/>
      <c r="N296" s="683"/>
      <c r="O296" s="683"/>
      <c r="P296" s="683"/>
      <c r="Q296" s="683"/>
      <c r="R296" s="683"/>
      <c r="S296" s="683"/>
      <c r="T296" s="501"/>
      <c r="U296" s="501"/>
      <c r="V296" s="501"/>
      <c r="W296" s="501"/>
      <c r="X296" s="501"/>
      <c r="Y296" s="501"/>
      <c r="Z296" s="501"/>
      <c r="AA296" s="501"/>
      <c r="AB296" s="501"/>
      <c r="AC296" s="501"/>
      <c r="AD296" s="501"/>
      <c r="AE296" s="501"/>
      <c r="AF296" s="501"/>
      <c r="AG296" s="501"/>
      <c r="AH296" s="501"/>
      <c r="AI296" s="501"/>
      <c r="AJ296" s="501"/>
      <c r="AK296" s="501"/>
      <c r="AL296" s="501"/>
      <c r="AM296" s="501"/>
      <c r="AN296" s="501"/>
      <c r="AO296" s="501"/>
      <c r="AP296" s="501"/>
      <c r="AQ296" s="501"/>
      <c r="AR296" s="501"/>
      <c r="AS296" s="501"/>
      <c r="AT296" s="501"/>
      <c r="AU296" s="501"/>
      <c r="AV296" s="501"/>
      <c r="AW296" s="501"/>
      <c r="AX296" s="501"/>
      <c r="AY296" s="501"/>
      <c r="AZ296" s="501"/>
      <c r="BA296" s="501"/>
      <c r="BB296" s="501"/>
      <c r="BC296" s="501"/>
      <c r="BD296" s="501"/>
      <c r="BE296" s="501"/>
      <c r="BF296" s="501"/>
      <c r="BG296" s="501"/>
      <c r="BH296" s="501"/>
      <c r="BI296" s="501"/>
      <c r="BJ296" s="501"/>
      <c r="BK296" s="501"/>
      <c r="BL296" s="501"/>
      <c r="BM296" s="501"/>
      <c r="BN296" s="501"/>
      <c r="BO296" s="501"/>
      <c r="BP296" s="501"/>
      <c r="BQ296" s="501"/>
      <c r="BR296" s="501"/>
      <c r="BS296" s="501"/>
      <c r="BT296" s="501"/>
      <c r="BU296" s="501"/>
      <c r="BV296" s="501"/>
      <c r="BW296" s="501"/>
      <c r="BX296" s="501"/>
      <c r="BY296" s="501"/>
      <c r="BZ296" s="501"/>
      <c r="CA296" s="501"/>
      <c r="CB296" s="501"/>
      <c r="CC296" s="501"/>
      <c r="CD296" s="501"/>
      <c r="CE296" s="501"/>
      <c r="CF296" s="501"/>
      <c r="CG296" s="501"/>
      <c r="CH296" s="501"/>
      <c r="CI296" s="501"/>
      <c r="CJ296" s="501"/>
      <c r="CK296" s="501"/>
      <c r="CL296" s="501"/>
      <c r="CM296" s="501"/>
      <c r="CN296" s="501"/>
      <c r="CO296" s="501"/>
      <c r="CP296" s="501"/>
      <c r="CQ296" s="501"/>
      <c r="CR296" s="501"/>
      <c r="CS296" s="501"/>
      <c r="CT296" s="501"/>
    </row>
    <row r="297">
      <c r="A297" s="569"/>
      <c r="B297" s="569"/>
      <c r="C297" s="569"/>
      <c r="D297" s="498"/>
      <c r="E297" s="499"/>
      <c r="F297" s="499"/>
      <c r="G297" s="766"/>
      <c r="H297" s="766"/>
      <c r="I297" s="766"/>
      <c r="J297" s="766"/>
      <c r="K297" s="683"/>
      <c r="L297" s="683"/>
      <c r="M297" s="683"/>
      <c r="N297" s="683"/>
      <c r="O297" s="683"/>
      <c r="P297" s="683"/>
      <c r="Q297" s="683"/>
      <c r="R297" s="683"/>
      <c r="S297" s="683"/>
      <c r="T297" s="501"/>
      <c r="U297" s="501"/>
      <c r="V297" s="501"/>
      <c r="W297" s="501"/>
      <c r="X297" s="501"/>
      <c r="Y297" s="501"/>
      <c r="Z297" s="501"/>
      <c r="AA297" s="501"/>
      <c r="AB297" s="501"/>
      <c r="AC297" s="501"/>
      <c r="AD297" s="501"/>
      <c r="AE297" s="501"/>
      <c r="AF297" s="501"/>
      <c r="AG297" s="501"/>
      <c r="AH297" s="501"/>
      <c r="AI297" s="501"/>
      <c r="AJ297" s="501"/>
      <c r="AK297" s="501"/>
      <c r="AL297" s="501"/>
      <c r="AM297" s="501"/>
      <c r="AN297" s="501"/>
      <c r="AO297" s="501"/>
      <c r="AP297" s="501"/>
      <c r="AQ297" s="501"/>
      <c r="AR297" s="501"/>
      <c r="AS297" s="501"/>
      <c r="AT297" s="501"/>
      <c r="AU297" s="501"/>
      <c r="AV297" s="501"/>
      <c r="AW297" s="501"/>
      <c r="AX297" s="501"/>
      <c r="AY297" s="501"/>
      <c r="AZ297" s="501"/>
      <c r="BA297" s="501"/>
      <c r="BB297" s="501"/>
      <c r="BC297" s="501"/>
      <c r="BD297" s="501"/>
      <c r="BE297" s="501"/>
      <c r="BF297" s="501"/>
      <c r="BG297" s="501"/>
      <c r="BH297" s="501"/>
      <c r="BI297" s="501"/>
      <c r="BJ297" s="501"/>
      <c r="BK297" s="501"/>
      <c r="BL297" s="501"/>
      <c r="BM297" s="501"/>
      <c r="BN297" s="501"/>
      <c r="BO297" s="501"/>
      <c r="BP297" s="501"/>
      <c r="BQ297" s="501"/>
      <c r="BR297" s="501"/>
      <c r="BS297" s="501"/>
      <c r="BT297" s="501"/>
      <c r="BU297" s="501"/>
      <c r="BV297" s="501"/>
      <c r="BW297" s="501"/>
      <c r="BX297" s="501"/>
      <c r="BY297" s="501"/>
      <c r="BZ297" s="501"/>
      <c r="CA297" s="501"/>
      <c r="CB297" s="501"/>
      <c r="CC297" s="501"/>
      <c r="CD297" s="501"/>
      <c r="CE297" s="501"/>
      <c r="CF297" s="501"/>
      <c r="CG297" s="501"/>
      <c r="CH297" s="501"/>
      <c r="CI297" s="501"/>
      <c r="CJ297" s="501"/>
      <c r="CK297" s="501"/>
      <c r="CL297" s="501"/>
      <c r="CM297" s="501"/>
      <c r="CN297" s="501"/>
      <c r="CO297" s="501"/>
      <c r="CP297" s="501"/>
      <c r="CQ297" s="501"/>
      <c r="CR297" s="501"/>
      <c r="CS297" s="501"/>
      <c r="CT297" s="501"/>
    </row>
    <row r="298">
      <c r="A298" s="569"/>
      <c r="B298" s="569"/>
      <c r="C298" s="569"/>
      <c r="D298" s="498"/>
      <c r="E298" s="499"/>
      <c r="F298" s="499"/>
      <c r="G298" s="766"/>
      <c r="H298" s="766"/>
      <c r="I298" s="766"/>
      <c r="J298" s="766"/>
      <c r="K298" s="683"/>
      <c r="L298" s="683"/>
      <c r="M298" s="683"/>
      <c r="N298" s="683"/>
      <c r="O298" s="683"/>
      <c r="P298" s="683"/>
      <c r="Q298" s="683"/>
      <c r="R298" s="683"/>
      <c r="S298" s="683"/>
      <c r="T298" s="501"/>
      <c r="U298" s="501"/>
      <c r="V298" s="501"/>
      <c r="W298" s="501"/>
      <c r="X298" s="501"/>
      <c r="Y298" s="501"/>
      <c r="Z298" s="501"/>
      <c r="AA298" s="501"/>
      <c r="AB298" s="501"/>
      <c r="AC298" s="501"/>
      <c r="AD298" s="501"/>
      <c r="AE298" s="501"/>
      <c r="AF298" s="501"/>
      <c r="AG298" s="501"/>
      <c r="AH298" s="501"/>
      <c r="AI298" s="501"/>
      <c r="AJ298" s="501"/>
      <c r="AK298" s="501"/>
      <c r="AL298" s="501"/>
      <c r="AM298" s="501"/>
      <c r="AN298" s="501"/>
      <c r="AO298" s="501"/>
      <c r="AP298" s="501"/>
      <c r="AQ298" s="501"/>
      <c r="AR298" s="501"/>
      <c r="AS298" s="501"/>
      <c r="AT298" s="501"/>
      <c r="AU298" s="501"/>
      <c r="AV298" s="501"/>
      <c r="AW298" s="501"/>
      <c r="AX298" s="501"/>
      <c r="AY298" s="501"/>
      <c r="AZ298" s="501"/>
      <c r="BA298" s="501"/>
      <c r="BB298" s="501"/>
      <c r="BC298" s="501"/>
      <c r="BD298" s="501"/>
      <c r="BE298" s="501"/>
      <c r="BF298" s="501"/>
      <c r="BG298" s="501"/>
      <c r="BH298" s="501"/>
      <c r="BI298" s="501"/>
      <c r="BJ298" s="501"/>
      <c r="BK298" s="501"/>
      <c r="BL298" s="501"/>
      <c r="BM298" s="501"/>
      <c r="BN298" s="501"/>
      <c r="BO298" s="501"/>
      <c r="BP298" s="501"/>
      <c r="BQ298" s="501"/>
      <c r="BR298" s="501"/>
      <c r="BS298" s="501"/>
      <c r="BT298" s="501"/>
      <c r="BU298" s="501"/>
      <c r="BV298" s="501"/>
      <c r="BW298" s="501"/>
      <c r="BX298" s="501"/>
      <c r="BY298" s="501"/>
      <c r="BZ298" s="501"/>
      <c r="CA298" s="501"/>
      <c r="CB298" s="501"/>
      <c r="CC298" s="501"/>
      <c r="CD298" s="501"/>
      <c r="CE298" s="501"/>
      <c r="CF298" s="501"/>
      <c r="CG298" s="501"/>
      <c r="CH298" s="501"/>
      <c r="CI298" s="501"/>
      <c r="CJ298" s="501"/>
      <c r="CK298" s="501"/>
      <c r="CL298" s="501"/>
      <c r="CM298" s="501"/>
      <c r="CN298" s="501"/>
      <c r="CO298" s="501"/>
      <c r="CP298" s="501"/>
      <c r="CQ298" s="501"/>
      <c r="CR298" s="501"/>
      <c r="CS298" s="501"/>
      <c r="CT298" s="501"/>
    </row>
    <row r="299">
      <c r="A299" s="569"/>
      <c r="B299" s="569"/>
      <c r="C299" s="569"/>
      <c r="D299" s="498"/>
      <c r="E299" s="499"/>
      <c r="F299" s="499"/>
      <c r="G299" s="766"/>
      <c r="H299" s="766"/>
      <c r="I299" s="766"/>
      <c r="J299" s="766"/>
      <c r="K299" s="683"/>
      <c r="L299" s="683"/>
      <c r="M299" s="683"/>
      <c r="N299" s="683"/>
      <c r="O299" s="683"/>
      <c r="P299" s="683"/>
      <c r="Q299" s="683"/>
      <c r="R299" s="683"/>
      <c r="S299" s="683"/>
      <c r="T299" s="501"/>
      <c r="U299" s="501"/>
      <c r="V299" s="501"/>
      <c r="W299" s="501"/>
      <c r="X299" s="501"/>
      <c r="Y299" s="501"/>
      <c r="Z299" s="501"/>
      <c r="AA299" s="501"/>
      <c r="AB299" s="501"/>
      <c r="AC299" s="501"/>
      <c r="AD299" s="501"/>
      <c r="AE299" s="501"/>
      <c r="AF299" s="501"/>
      <c r="AG299" s="501"/>
      <c r="AH299" s="501"/>
      <c r="AI299" s="501"/>
      <c r="AJ299" s="501"/>
      <c r="AK299" s="501"/>
      <c r="AL299" s="501"/>
      <c r="AM299" s="501"/>
      <c r="AN299" s="501"/>
      <c r="AO299" s="501"/>
      <c r="AP299" s="501"/>
      <c r="AQ299" s="501"/>
      <c r="AR299" s="501"/>
      <c r="AS299" s="501"/>
      <c r="AT299" s="501"/>
      <c r="AU299" s="501"/>
      <c r="AV299" s="501"/>
      <c r="AW299" s="501"/>
      <c r="AX299" s="501"/>
      <c r="AY299" s="501"/>
      <c r="AZ299" s="501"/>
      <c r="BA299" s="501"/>
      <c r="BB299" s="501"/>
      <c r="BC299" s="501"/>
      <c r="BD299" s="501"/>
      <c r="BE299" s="501"/>
      <c r="BF299" s="501"/>
      <c r="BG299" s="501"/>
      <c r="BH299" s="501"/>
      <c r="BI299" s="501"/>
      <c r="BJ299" s="501"/>
      <c r="BK299" s="501"/>
      <c r="BL299" s="501"/>
      <c r="BM299" s="501"/>
      <c r="BN299" s="501"/>
      <c r="BO299" s="501"/>
      <c r="BP299" s="501"/>
      <c r="BQ299" s="501"/>
      <c r="BR299" s="501"/>
      <c r="BS299" s="501"/>
      <c r="BT299" s="501"/>
      <c r="BU299" s="501"/>
      <c r="BV299" s="501"/>
      <c r="BW299" s="501"/>
      <c r="BX299" s="501"/>
      <c r="BY299" s="501"/>
      <c r="BZ299" s="501"/>
      <c r="CA299" s="501"/>
      <c r="CB299" s="501"/>
      <c r="CC299" s="501"/>
      <c r="CD299" s="501"/>
      <c r="CE299" s="501"/>
      <c r="CF299" s="501"/>
      <c r="CG299" s="501"/>
      <c r="CH299" s="501"/>
      <c r="CI299" s="501"/>
      <c r="CJ299" s="501"/>
      <c r="CK299" s="501"/>
      <c r="CL299" s="501"/>
      <c r="CM299" s="501"/>
      <c r="CN299" s="501"/>
      <c r="CO299" s="501"/>
      <c r="CP299" s="501"/>
      <c r="CQ299" s="501"/>
      <c r="CR299" s="501"/>
      <c r="CS299" s="501"/>
      <c r="CT299" s="501"/>
    </row>
    <row r="300">
      <c r="A300" s="569"/>
      <c r="B300" s="569"/>
      <c r="C300" s="569"/>
      <c r="D300" s="498"/>
      <c r="E300" s="499"/>
      <c r="F300" s="499"/>
      <c r="G300" s="766"/>
      <c r="H300" s="766"/>
      <c r="I300" s="766"/>
      <c r="J300" s="766"/>
      <c r="K300" s="683"/>
      <c r="L300" s="683"/>
      <c r="M300" s="683"/>
      <c r="N300" s="683"/>
      <c r="O300" s="683"/>
      <c r="P300" s="683"/>
      <c r="Q300" s="683"/>
      <c r="R300" s="683"/>
      <c r="S300" s="683"/>
      <c r="T300" s="501"/>
      <c r="U300" s="501"/>
      <c r="V300" s="501"/>
      <c r="W300" s="501"/>
      <c r="X300" s="501"/>
      <c r="Y300" s="501"/>
      <c r="Z300" s="501"/>
      <c r="AA300" s="501"/>
      <c r="AB300" s="501"/>
      <c r="AC300" s="501"/>
      <c r="AD300" s="501"/>
      <c r="AE300" s="501"/>
      <c r="AF300" s="501"/>
      <c r="AG300" s="501"/>
      <c r="AH300" s="501"/>
      <c r="AI300" s="501"/>
      <c r="AJ300" s="501"/>
      <c r="AK300" s="501"/>
      <c r="AL300" s="501"/>
      <c r="AM300" s="501"/>
      <c r="AN300" s="501"/>
      <c r="AO300" s="501"/>
      <c r="AP300" s="501"/>
      <c r="AQ300" s="501"/>
      <c r="AR300" s="501"/>
      <c r="AS300" s="501"/>
      <c r="AT300" s="501"/>
      <c r="AU300" s="501"/>
      <c r="AV300" s="501"/>
      <c r="AW300" s="501"/>
      <c r="AX300" s="501"/>
      <c r="AY300" s="501"/>
      <c r="AZ300" s="501"/>
      <c r="BA300" s="501"/>
      <c r="BB300" s="501"/>
      <c r="BC300" s="501"/>
      <c r="BD300" s="501"/>
      <c r="BE300" s="501"/>
      <c r="BF300" s="501"/>
      <c r="BG300" s="501"/>
      <c r="BH300" s="501"/>
      <c r="BI300" s="501"/>
      <c r="BJ300" s="501"/>
      <c r="BK300" s="501"/>
      <c r="BL300" s="501"/>
      <c r="BM300" s="501"/>
      <c r="BN300" s="501"/>
      <c r="BO300" s="501"/>
      <c r="BP300" s="501"/>
      <c r="BQ300" s="501"/>
      <c r="BR300" s="501"/>
      <c r="BS300" s="501"/>
      <c r="BT300" s="501"/>
      <c r="BU300" s="501"/>
      <c r="BV300" s="501"/>
      <c r="BW300" s="501"/>
      <c r="BX300" s="501"/>
      <c r="BY300" s="501"/>
      <c r="BZ300" s="501"/>
      <c r="CA300" s="501"/>
      <c r="CB300" s="501"/>
      <c r="CC300" s="501"/>
      <c r="CD300" s="501"/>
      <c r="CE300" s="501"/>
      <c r="CF300" s="501"/>
      <c r="CG300" s="501"/>
      <c r="CH300" s="501"/>
      <c r="CI300" s="501"/>
      <c r="CJ300" s="501"/>
      <c r="CK300" s="501"/>
      <c r="CL300" s="501"/>
      <c r="CM300" s="501"/>
      <c r="CN300" s="501"/>
      <c r="CO300" s="501"/>
      <c r="CP300" s="501"/>
      <c r="CQ300" s="501"/>
      <c r="CR300" s="501"/>
      <c r="CS300" s="501"/>
      <c r="CT300" s="501"/>
    </row>
    <row r="301">
      <c r="A301" s="569"/>
      <c r="B301" s="569"/>
      <c r="C301" s="569"/>
      <c r="D301" s="498"/>
      <c r="E301" s="499"/>
      <c r="F301" s="499"/>
      <c r="G301" s="766"/>
      <c r="H301" s="766"/>
      <c r="I301" s="766"/>
      <c r="J301" s="766"/>
      <c r="K301" s="683"/>
      <c r="L301" s="683"/>
      <c r="M301" s="683"/>
      <c r="N301" s="683"/>
      <c r="O301" s="683"/>
      <c r="P301" s="683"/>
      <c r="Q301" s="683"/>
      <c r="R301" s="683"/>
      <c r="S301" s="683"/>
      <c r="T301" s="501"/>
      <c r="U301" s="501"/>
      <c r="V301" s="501"/>
      <c r="W301" s="501"/>
      <c r="X301" s="501"/>
      <c r="Y301" s="501"/>
      <c r="Z301" s="501"/>
      <c r="AA301" s="501"/>
      <c r="AB301" s="501"/>
      <c r="AC301" s="501"/>
      <c r="AD301" s="501"/>
      <c r="AE301" s="501"/>
      <c r="AF301" s="501"/>
      <c r="AG301" s="501"/>
      <c r="AH301" s="501"/>
      <c r="AI301" s="501"/>
      <c r="AJ301" s="501"/>
      <c r="AK301" s="501"/>
      <c r="AL301" s="501"/>
      <c r="AM301" s="501"/>
      <c r="AN301" s="501"/>
      <c r="AO301" s="501"/>
      <c r="AP301" s="501"/>
      <c r="AQ301" s="501"/>
      <c r="AR301" s="501"/>
      <c r="AS301" s="501"/>
      <c r="AT301" s="501"/>
      <c r="AU301" s="501"/>
      <c r="AV301" s="501"/>
      <c r="AW301" s="501"/>
      <c r="AX301" s="501"/>
      <c r="AY301" s="501"/>
      <c r="AZ301" s="501"/>
      <c r="BA301" s="501"/>
      <c r="BB301" s="501"/>
      <c r="BC301" s="501"/>
      <c r="BD301" s="501"/>
      <c r="BE301" s="501"/>
      <c r="BF301" s="501"/>
      <c r="BG301" s="501"/>
      <c r="BH301" s="501"/>
      <c r="BI301" s="501"/>
      <c r="BJ301" s="501"/>
      <c r="BK301" s="501"/>
      <c r="BL301" s="501"/>
      <c r="BM301" s="501"/>
      <c r="BN301" s="501"/>
      <c r="BO301" s="501"/>
      <c r="BP301" s="501"/>
      <c r="BQ301" s="501"/>
      <c r="BR301" s="501"/>
      <c r="BS301" s="501"/>
      <c r="BT301" s="501"/>
      <c r="BU301" s="501"/>
      <c r="BV301" s="501"/>
      <c r="BW301" s="501"/>
      <c r="BX301" s="501"/>
      <c r="BY301" s="501"/>
      <c r="BZ301" s="501"/>
      <c r="CA301" s="501"/>
      <c r="CB301" s="501"/>
      <c r="CC301" s="501"/>
      <c r="CD301" s="501"/>
      <c r="CE301" s="501"/>
      <c r="CF301" s="501"/>
      <c r="CG301" s="501"/>
      <c r="CH301" s="501"/>
      <c r="CI301" s="501"/>
      <c r="CJ301" s="501"/>
      <c r="CK301" s="501"/>
      <c r="CL301" s="501"/>
      <c r="CM301" s="501"/>
      <c r="CN301" s="501"/>
      <c r="CO301" s="501"/>
      <c r="CP301" s="501"/>
      <c r="CQ301" s="501"/>
      <c r="CR301" s="501"/>
      <c r="CS301" s="501"/>
      <c r="CT301" s="501"/>
    </row>
    <row r="302">
      <c r="A302" s="569"/>
      <c r="B302" s="569"/>
      <c r="C302" s="569"/>
      <c r="D302" s="498"/>
      <c r="E302" s="499"/>
      <c r="F302" s="499"/>
      <c r="G302" s="766"/>
      <c r="H302" s="766"/>
      <c r="I302" s="766"/>
      <c r="J302" s="766"/>
      <c r="K302" s="683"/>
      <c r="L302" s="683"/>
      <c r="M302" s="683"/>
      <c r="N302" s="683"/>
      <c r="O302" s="683"/>
      <c r="P302" s="683"/>
      <c r="Q302" s="683"/>
      <c r="R302" s="683"/>
      <c r="S302" s="683"/>
      <c r="T302" s="501"/>
      <c r="U302" s="501"/>
      <c r="V302" s="501"/>
      <c r="W302" s="501"/>
      <c r="X302" s="501"/>
      <c r="Y302" s="501"/>
      <c r="Z302" s="501"/>
      <c r="AA302" s="501"/>
      <c r="AB302" s="501"/>
      <c r="AC302" s="501"/>
      <c r="AD302" s="501"/>
      <c r="AE302" s="501"/>
      <c r="AF302" s="501"/>
      <c r="AG302" s="501"/>
      <c r="AH302" s="501"/>
      <c r="AI302" s="501"/>
      <c r="AJ302" s="501"/>
      <c r="AK302" s="501"/>
      <c r="AL302" s="501"/>
      <c r="AM302" s="501"/>
      <c r="AN302" s="501"/>
      <c r="AO302" s="501"/>
      <c r="AP302" s="501"/>
      <c r="AQ302" s="501"/>
      <c r="AR302" s="501"/>
      <c r="AS302" s="501"/>
      <c r="AT302" s="501"/>
      <c r="AU302" s="501"/>
      <c r="AV302" s="501"/>
      <c r="AW302" s="501"/>
      <c r="AX302" s="501"/>
      <c r="AY302" s="501"/>
      <c r="AZ302" s="501"/>
      <c r="BA302" s="501"/>
      <c r="BB302" s="501"/>
      <c r="BC302" s="501"/>
      <c r="BD302" s="501"/>
      <c r="BE302" s="501"/>
      <c r="BF302" s="501"/>
      <c r="BG302" s="501"/>
      <c r="BH302" s="501"/>
      <c r="BI302" s="501"/>
      <c r="BJ302" s="501"/>
      <c r="BK302" s="501"/>
      <c r="BL302" s="501"/>
      <c r="BM302" s="501"/>
      <c r="BN302" s="501"/>
      <c r="BO302" s="501"/>
      <c r="BP302" s="501"/>
      <c r="BQ302" s="501"/>
      <c r="BR302" s="501"/>
      <c r="BS302" s="501"/>
      <c r="BT302" s="501"/>
      <c r="BU302" s="501"/>
      <c r="BV302" s="501"/>
      <c r="BW302" s="501"/>
      <c r="BX302" s="501"/>
      <c r="BY302" s="501"/>
      <c r="BZ302" s="501"/>
      <c r="CA302" s="501"/>
      <c r="CB302" s="501"/>
      <c r="CC302" s="501"/>
      <c r="CD302" s="501"/>
      <c r="CE302" s="501"/>
      <c r="CF302" s="501"/>
      <c r="CG302" s="501"/>
      <c r="CH302" s="501"/>
      <c r="CI302" s="501"/>
      <c r="CJ302" s="501"/>
      <c r="CK302" s="501"/>
      <c r="CL302" s="501"/>
      <c r="CM302" s="501"/>
      <c r="CN302" s="501"/>
      <c r="CO302" s="501"/>
      <c r="CP302" s="501"/>
      <c r="CQ302" s="501"/>
      <c r="CR302" s="501"/>
      <c r="CS302" s="501"/>
      <c r="CT302" s="501"/>
    </row>
    <row r="303">
      <c r="A303" s="569"/>
      <c r="B303" s="569"/>
      <c r="C303" s="569"/>
      <c r="D303" s="498"/>
      <c r="E303" s="499"/>
      <c r="F303" s="499"/>
      <c r="G303" s="766"/>
      <c r="H303" s="766"/>
      <c r="I303" s="766"/>
      <c r="J303" s="766"/>
      <c r="K303" s="683"/>
      <c r="L303" s="683"/>
      <c r="M303" s="683"/>
      <c r="N303" s="683"/>
      <c r="O303" s="683"/>
      <c r="P303" s="683"/>
      <c r="Q303" s="683"/>
      <c r="R303" s="683"/>
      <c r="S303" s="683"/>
      <c r="T303" s="501"/>
      <c r="U303" s="501"/>
      <c r="V303" s="501"/>
      <c r="W303" s="501"/>
      <c r="X303" s="501"/>
      <c r="Y303" s="501"/>
      <c r="Z303" s="501"/>
      <c r="AA303" s="501"/>
      <c r="AB303" s="501"/>
      <c r="AC303" s="501"/>
      <c r="AD303" s="501"/>
      <c r="AE303" s="501"/>
      <c r="AF303" s="501"/>
      <c r="AG303" s="501"/>
      <c r="AH303" s="501"/>
      <c r="AI303" s="501"/>
      <c r="AJ303" s="501"/>
      <c r="AK303" s="501"/>
      <c r="AL303" s="501"/>
      <c r="AM303" s="501"/>
      <c r="AN303" s="501"/>
      <c r="AO303" s="501"/>
      <c r="AP303" s="501"/>
      <c r="AQ303" s="501"/>
      <c r="AR303" s="501"/>
      <c r="AS303" s="501"/>
      <c r="AT303" s="501"/>
      <c r="AU303" s="501"/>
      <c r="AV303" s="501"/>
      <c r="AW303" s="501"/>
      <c r="AX303" s="501"/>
      <c r="AY303" s="501"/>
      <c r="AZ303" s="501"/>
      <c r="BA303" s="501"/>
      <c r="BB303" s="501"/>
      <c r="BC303" s="501"/>
      <c r="BD303" s="501"/>
      <c r="BE303" s="501"/>
      <c r="BF303" s="501"/>
      <c r="BG303" s="501"/>
      <c r="BH303" s="501"/>
      <c r="BI303" s="501"/>
      <c r="BJ303" s="501"/>
      <c r="BK303" s="501"/>
      <c r="BL303" s="501"/>
      <c r="BM303" s="501"/>
      <c r="BN303" s="501"/>
      <c r="BO303" s="501"/>
      <c r="BP303" s="501"/>
      <c r="BQ303" s="501"/>
      <c r="BR303" s="501"/>
      <c r="BS303" s="501"/>
      <c r="BT303" s="501"/>
      <c r="BU303" s="501"/>
      <c r="BV303" s="501"/>
      <c r="BW303" s="501"/>
      <c r="BX303" s="501"/>
      <c r="BY303" s="501"/>
      <c r="BZ303" s="501"/>
      <c r="CA303" s="501"/>
      <c r="CB303" s="501"/>
      <c r="CC303" s="501"/>
      <c r="CD303" s="501"/>
      <c r="CE303" s="501"/>
      <c r="CF303" s="501"/>
      <c r="CG303" s="501"/>
      <c r="CH303" s="501"/>
      <c r="CI303" s="501"/>
      <c r="CJ303" s="501"/>
      <c r="CK303" s="501"/>
      <c r="CL303" s="501"/>
      <c r="CM303" s="501"/>
      <c r="CN303" s="501"/>
      <c r="CO303" s="501"/>
      <c r="CP303" s="501"/>
      <c r="CQ303" s="501"/>
      <c r="CR303" s="501"/>
      <c r="CS303" s="501"/>
      <c r="CT303" s="501"/>
    </row>
    <row r="304">
      <c r="A304" s="569"/>
      <c r="B304" s="569"/>
      <c r="C304" s="569"/>
      <c r="D304" s="498"/>
      <c r="E304" s="499"/>
      <c r="F304" s="499"/>
      <c r="G304" s="766"/>
      <c r="H304" s="766"/>
      <c r="I304" s="766"/>
      <c r="J304" s="766"/>
      <c r="K304" s="683"/>
      <c r="L304" s="683"/>
      <c r="M304" s="683"/>
      <c r="N304" s="683"/>
      <c r="O304" s="683"/>
      <c r="P304" s="683"/>
      <c r="Q304" s="683"/>
      <c r="R304" s="683"/>
      <c r="S304" s="683"/>
      <c r="T304" s="501"/>
      <c r="U304" s="501"/>
      <c r="V304" s="501"/>
      <c r="W304" s="501"/>
      <c r="X304" s="501"/>
      <c r="Y304" s="501"/>
      <c r="Z304" s="501"/>
      <c r="AA304" s="501"/>
      <c r="AB304" s="501"/>
      <c r="AC304" s="501"/>
      <c r="AD304" s="501"/>
      <c r="AE304" s="501"/>
      <c r="AF304" s="501"/>
      <c r="AG304" s="501"/>
      <c r="AH304" s="501"/>
      <c r="AI304" s="501"/>
      <c r="AJ304" s="501"/>
      <c r="AK304" s="501"/>
      <c r="AL304" s="501"/>
      <c r="AM304" s="501"/>
      <c r="AN304" s="501"/>
      <c r="AO304" s="501"/>
      <c r="AP304" s="501"/>
      <c r="AQ304" s="501"/>
      <c r="AR304" s="501"/>
      <c r="AS304" s="501"/>
      <c r="AT304" s="501"/>
      <c r="AU304" s="501"/>
      <c r="AV304" s="501"/>
      <c r="AW304" s="501"/>
      <c r="AX304" s="501"/>
      <c r="AY304" s="501"/>
      <c r="AZ304" s="501"/>
      <c r="BA304" s="501"/>
      <c r="BB304" s="501"/>
      <c r="BC304" s="501"/>
      <c r="BD304" s="501"/>
      <c r="BE304" s="501"/>
      <c r="BF304" s="501"/>
      <c r="BG304" s="501"/>
      <c r="BH304" s="501"/>
      <c r="BI304" s="501"/>
      <c r="BJ304" s="501"/>
      <c r="BK304" s="501"/>
      <c r="BL304" s="501"/>
      <c r="BM304" s="501"/>
      <c r="BN304" s="501"/>
      <c r="BO304" s="501"/>
      <c r="BP304" s="501"/>
      <c r="BQ304" s="501"/>
      <c r="BR304" s="501"/>
      <c r="BS304" s="501"/>
      <c r="BT304" s="501"/>
      <c r="BU304" s="501"/>
      <c r="BV304" s="501"/>
      <c r="BW304" s="501"/>
      <c r="BX304" s="501"/>
      <c r="BY304" s="501"/>
      <c r="BZ304" s="501"/>
      <c r="CA304" s="501"/>
      <c r="CB304" s="501"/>
      <c r="CC304" s="501"/>
      <c r="CD304" s="501"/>
      <c r="CE304" s="501"/>
      <c r="CF304" s="501"/>
      <c r="CG304" s="501"/>
      <c r="CH304" s="501"/>
      <c r="CI304" s="501"/>
      <c r="CJ304" s="501"/>
      <c r="CK304" s="501"/>
      <c r="CL304" s="501"/>
      <c r="CM304" s="501"/>
      <c r="CN304" s="501"/>
      <c r="CO304" s="501"/>
      <c r="CP304" s="501"/>
      <c r="CQ304" s="501"/>
      <c r="CR304" s="501"/>
      <c r="CS304" s="501"/>
      <c r="CT304" s="501"/>
    </row>
    <row r="305">
      <c r="A305" s="569"/>
      <c r="B305" s="569"/>
      <c r="C305" s="569"/>
      <c r="D305" s="498"/>
      <c r="E305" s="499"/>
      <c r="F305" s="499"/>
      <c r="G305" s="766"/>
      <c r="H305" s="766"/>
      <c r="I305" s="766"/>
      <c r="J305" s="766"/>
      <c r="K305" s="683"/>
      <c r="L305" s="683"/>
      <c r="M305" s="683"/>
      <c r="N305" s="683"/>
      <c r="O305" s="683"/>
      <c r="P305" s="683"/>
      <c r="Q305" s="683"/>
      <c r="R305" s="683"/>
      <c r="S305" s="683"/>
      <c r="T305" s="501"/>
      <c r="U305" s="501"/>
      <c r="V305" s="501"/>
      <c r="W305" s="501"/>
      <c r="X305" s="501"/>
      <c r="Y305" s="501"/>
      <c r="Z305" s="501"/>
      <c r="AA305" s="501"/>
      <c r="AB305" s="501"/>
      <c r="AC305" s="501"/>
      <c r="AD305" s="501"/>
      <c r="AE305" s="501"/>
      <c r="AF305" s="501"/>
      <c r="AG305" s="501"/>
      <c r="AH305" s="501"/>
      <c r="AI305" s="501"/>
      <c r="AJ305" s="501"/>
      <c r="AK305" s="501"/>
      <c r="AL305" s="501"/>
      <c r="AM305" s="501"/>
      <c r="AN305" s="501"/>
      <c r="AO305" s="501"/>
      <c r="AP305" s="501"/>
      <c r="AQ305" s="501"/>
      <c r="AR305" s="501"/>
      <c r="AS305" s="501"/>
      <c r="AT305" s="501"/>
      <c r="AU305" s="501"/>
      <c r="AV305" s="501"/>
      <c r="AW305" s="501"/>
      <c r="AX305" s="501"/>
      <c r="AY305" s="501"/>
      <c r="AZ305" s="501"/>
      <c r="BA305" s="501"/>
      <c r="BB305" s="501"/>
      <c r="BC305" s="501"/>
      <c r="BD305" s="501"/>
      <c r="BE305" s="501"/>
      <c r="BF305" s="501"/>
      <c r="BG305" s="501"/>
      <c r="BH305" s="501"/>
      <c r="BI305" s="501"/>
      <c r="BJ305" s="501"/>
      <c r="BK305" s="501"/>
      <c r="BL305" s="501"/>
      <c r="BM305" s="501"/>
      <c r="BN305" s="501"/>
      <c r="BO305" s="501"/>
      <c r="BP305" s="501"/>
      <c r="BQ305" s="501"/>
      <c r="BR305" s="501"/>
      <c r="BS305" s="501"/>
      <c r="BT305" s="501"/>
      <c r="BU305" s="501"/>
      <c r="BV305" s="501"/>
      <c r="BW305" s="501"/>
      <c r="BX305" s="501"/>
      <c r="BY305" s="501"/>
      <c r="BZ305" s="501"/>
      <c r="CA305" s="501"/>
      <c r="CB305" s="501"/>
      <c r="CC305" s="501"/>
      <c r="CD305" s="501"/>
      <c r="CE305" s="501"/>
      <c r="CF305" s="501"/>
      <c r="CG305" s="501"/>
      <c r="CH305" s="501"/>
      <c r="CI305" s="501"/>
      <c r="CJ305" s="501"/>
      <c r="CK305" s="501"/>
      <c r="CL305" s="501"/>
      <c r="CM305" s="501"/>
      <c r="CN305" s="501"/>
      <c r="CO305" s="501"/>
      <c r="CP305" s="501"/>
      <c r="CQ305" s="501"/>
      <c r="CR305" s="501"/>
      <c r="CS305" s="501"/>
      <c r="CT305" s="501"/>
    </row>
    <row r="306">
      <c r="A306" s="569"/>
      <c r="B306" s="569"/>
      <c r="C306" s="569"/>
      <c r="D306" s="498"/>
      <c r="E306" s="499"/>
      <c r="F306" s="499"/>
      <c r="G306" s="766"/>
      <c r="H306" s="766"/>
      <c r="I306" s="766"/>
      <c r="J306" s="766"/>
      <c r="K306" s="683"/>
      <c r="L306" s="683"/>
      <c r="M306" s="683"/>
      <c r="N306" s="683"/>
      <c r="O306" s="683"/>
      <c r="P306" s="683"/>
      <c r="Q306" s="683"/>
      <c r="R306" s="683"/>
      <c r="S306" s="683"/>
      <c r="T306" s="501"/>
      <c r="U306" s="501"/>
      <c r="V306" s="501"/>
      <c r="W306" s="501"/>
      <c r="X306" s="501"/>
      <c r="Y306" s="501"/>
      <c r="Z306" s="501"/>
      <c r="AA306" s="501"/>
      <c r="AB306" s="501"/>
      <c r="AC306" s="501"/>
      <c r="AD306" s="501"/>
      <c r="AE306" s="501"/>
      <c r="AF306" s="501"/>
      <c r="AG306" s="501"/>
      <c r="AH306" s="501"/>
      <c r="AI306" s="501"/>
      <c r="AJ306" s="501"/>
      <c r="AK306" s="501"/>
      <c r="AL306" s="501"/>
      <c r="AM306" s="501"/>
      <c r="AN306" s="501"/>
      <c r="AO306" s="501"/>
      <c r="AP306" s="501"/>
      <c r="AQ306" s="501"/>
      <c r="AR306" s="501"/>
      <c r="AS306" s="501"/>
      <c r="AT306" s="501"/>
      <c r="AU306" s="501"/>
      <c r="AV306" s="501"/>
      <c r="AW306" s="501"/>
      <c r="AX306" s="501"/>
      <c r="AY306" s="501"/>
      <c r="AZ306" s="501"/>
      <c r="BA306" s="501"/>
      <c r="BB306" s="501"/>
      <c r="BC306" s="501"/>
      <c r="BD306" s="501"/>
      <c r="BE306" s="501"/>
      <c r="BF306" s="501"/>
      <c r="BG306" s="501"/>
      <c r="BH306" s="501"/>
      <c r="BI306" s="501"/>
      <c r="BJ306" s="501"/>
      <c r="BK306" s="501"/>
      <c r="BL306" s="501"/>
      <c r="BM306" s="501"/>
      <c r="BN306" s="501"/>
      <c r="BO306" s="501"/>
      <c r="BP306" s="501"/>
      <c r="BQ306" s="501"/>
      <c r="BR306" s="501"/>
      <c r="BS306" s="501"/>
      <c r="BT306" s="501"/>
      <c r="BU306" s="501"/>
      <c r="BV306" s="501"/>
      <c r="BW306" s="501"/>
      <c r="BX306" s="501"/>
      <c r="BY306" s="501"/>
      <c r="BZ306" s="501"/>
      <c r="CA306" s="501"/>
      <c r="CB306" s="501"/>
      <c r="CC306" s="501"/>
      <c r="CD306" s="501"/>
      <c r="CE306" s="501"/>
      <c r="CF306" s="501"/>
      <c r="CG306" s="501"/>
      <c r="CH306" s="501"/>
      <c r="CI306" s="501"/>
      <c r="CJ306" s="501"/>
      <c r="CK306" s="501"/>
      <c r="CL306" s="501"/>
      <c r="CM306" s="501"/>
      <c r="CN306" s="501"/>
      <c r="CO306" s="501"/>
      <c r="CP306" s="501"/>
      <c r="CQ306" s="501"/>
      <c r="CR306" s="501"/>
      <c r="CS306" s="501"/>
      <c r="CT306" s="501"/>
    </row>
    <row r="307">
      <c r="A307" s="569"/>
      <c r="B307" s="569"/>
      <c r="C307" s="569"/>
      <c r="D307" s="498"/>
      <c r="E307" s="499"/>
      <c r="F307" s="499"/>
      <c r="G307" s="766"/>
      <c r="H307" s="766"/>
      <c r="I307" s="766"/>
      <c r="J307" s="766"/>
      <c r="K307" s="683"/>
      <c r="L307" s="683"/>
      <c r="M307" s="683"/>
      <c r="N307" s="683"/>
      <c r="O307" s="683"/>
      <c r="P307" s="683"/>
      <c r="Q307" s="683"/>
      <c r="R307" s="683"/>
      <c r="S307" s="683"/>
      <c r="T307" s="501"/>
      <c r="U307" s="501"/>
      <c r="V307" s="501"/>
      <c r="W307" s="501"/>
      <c r="X307" s="501"/>
      <c r="Y307" s="501"/>
      <c r="Z307" s="501"/>
      <c r="AA307" s="501"/>
      <c r="AB307" s="501"/>
      <c r="AC307" s="501"/>
      <c r="AD307" s="501"/>
      <c r="AE307" s="501"/>
      <c r="AF307" s="501"/>
      <c r="AG307" s="501"/>
      <c r="AH307" s="501"/>
      <c r="AI307" s="501"/>
      <c r="AJ307" s="501"/>
      <c r="AK307" s="501"/>
      <c r="AL307" s="501"/>
      <c r="AM307" s="501"/>
      <c r="AN307" s="501"/>
      <c r="AO307" s="501"/>
      <c r="AP307" s="501"/>
      <c r="AQ307" s="501"/>
      <c r="AR307" s="501"/>
      <c r="AS307" s="501"/>
      <c r="AT307" s="501"/>
      <c r="AU307" s="501"/>
      <c r="AV307" s="501"/>
      <c r="AW307" s="501"/>
      <c r="AX307" s="501"/>
      <c r="AY307" s="501"/>
      <c r="AZ307" s="501"/>
      <c r="BA307" s="501"/>
      <c r="BB307" s="501"/>
      <c r="BC307" s="501"/>
      <c r="BD307" s="501"/>
      <c r="BE307" s="501"/>
      <c r="BF307" s="501"/>
      <c r="BG307" s="501"/>
      <c r="BH307" s="501"/>
      <c r="BI307" s="501"/>
      <c r="BJ307" s="501"/>
      <c r="BK307" s="501"/>
      <c r="BL307" s="501"/>
      <c r="BM307" s="501"/>
      <c r="BN307" s="501"/>
      <c r="BO307" s="501"/>
      <c r="BP307" s="501"/>
      <c r="BQ307" s="501"/>
      <c r="BR307" s="501"/>
      <c r="BS307" s="501"/>
      <c r="BT307" s="501"/>
      <c r="BU307" s="501"/>
      <c r="BV307" s="501"/>
      <c r="BW307" s="501"/>
      <c r="BX307" s="501"/>
      <c r="BY307" s="501"/>
      <c r="BZ307" s="501"/>
      <c r="CA307" s="501"/>
      <c r="CB307" s="501"/>
      <c r="CC307" s="501"/>
      <c r="CD307" s="501"/>
      <c r="CE307" s="501"/>
      <c r="CF307" s="501"/>
      <c r="CG307" s="501"/>
      <c r="CH307" s="501"/>
      <c r="CI307" s="501"/>
      <c r="CJ307" s="501"/>
      <c r="CK307" s="501"/>
      <c r="CL307" s="501"/>
      <c r="CM307" s="501"/>
      <c r="CN307" s="501"/>
      <c r="CO307" s="501"/>
      <c r="CP307" s="501"/>
      <c r="CQ307" s="501"/>
      <c r="CR307" s="501"/>
      <c r="CS307" s="501"/>
      <c r="CT307" s="501"/>
    </row>
    <row r="308">
      <c r="A308" s="569"/>
      <c r="B308" s="569"/>
      <c r="C308" s="569"/>
      <c r="D308" s="498"/>
      <c r="E308" s="499"/>
      <c r="F308" s="499"/>
      <c r="G308" s="766"/>
      <c r="H308" s="766"/>
      <c r="I308" s="766"/>
      <c r="J308" s="766"/>
      <c r="K308" s="683"/>
      <c r="L308" s="683"/>
      <c r="M308" s="683"/>
      <c r="N308" s="683"/>
      <c r="O308" s="683"/>
      <c r="P308" s="683"/>
      <c r="Q308" s="683"/>
      <c r="R308" s="683"/>
      <c r="S308" s="683"/>
      <c r="T308" s="501"/>
      <c r="U308" s="501"/>
      <c r="V308" s="501"/>
      <c r="W308" s="501"/>
      <c r="X308" s="501"/>
      <c r="Y308" s="501"/>
      <c r="Z308" s="501"/>
      <c r="AA308" s="501"/>
      <c r="AB308" s="501"/>
      <c r="AC308" s="501"/>
      <c r="AD308" s="501"/>
      <c r="AE308" s="501"/>
      <c r="AF308" s="501"/>
      <c r="AG308" s="501"/>
      <c r="AH308" s="501"/>
      <c r="AI308" s="501"/>
      <c r="AJ308" s="501"/>
      <c r="AK308" s="501"/>
      <c r="AL308" s="501"/>
      <c r="AM308" s="501"/>
      <c r="AN308" s="501"/>
      <c r="AO308" s="501"/>
      <c r="AP308" s="501"/>
      <c r="AQ308" s="501"/>
      <c r="AR308" s="501"/>
      <c r="AS308" s="501"/>
      <c r="AT308" s="501"/>
      <c r="AU308" s="501"/>
      <c r="AV308" s="501"/>
      <c r="AW308" s="501"/>
      <c r="AX308" s="501"/>
      <c r="AY308" s="501"/>
      <c r="AZ308" s="501"/>
      <c r="BA308" s="501"/>
      <c r="BB308" s="501"/>
      <c r="BC308" s="501"/>
      <c r="BD308" s="501"/>
      <c r="BE308" s="501"/>
      <c r="BF308" s="501"/>
      <c r="BG308" s="501"/>
      <c r="BH308" s="501"/>
      <c r="BI308" s="501"/>
      <c r="BJ308" s="501"/>
      <c r="BK308" s="501"/>
      <c r="BL308" s="501"/>
      <c r="BM308" s="501"/>
      <c r="BN308" s="501"/>
      <c r="BO308" s="501"/>
      <c r="BP308" s="501"/>
      <c r="BQ308" s="501"/>
      <c r="BR308" s="501"/>
      <c r="BS308" s="501"/>
      <c r="BT308" s="501"/>
      <c r="BU308" s="501"/>
      <c r="BV308" s="501"/>
      <c r="BW308" s="501"/>
      <c r="BX308" s="501"/>
      <c r="BY308" s="501"/>
      <c r="BZ308" s="501"/>
      <c r="CA308" s="501"/>
      <c r="CB308" s="501"/>
      <c r="CC308" s="501"/>
      <c r="CD308" s="501"/>
      <c r="CE308" s="501"/>
      <c r="CF308" s="501"/>
      <c r="CG308" s="501"/>
      <c r="CH308" s="501"/>
      <c r="CI308" s="501"/>
      <c r="CJ308" s="501"/>
      <c r="CK308" s="501"/>
      <c r="CL308" s="501"/>
      <c r="CM308" s="501"/>
      <c r="CN308" s="501"/>
      <c r="CO308" s="501"/>
      <c r="CP308" s="501"/>
      <c r="CQ308" s="501"/>
      <c r="CR308" s="501"/>
      <c r="CS308" s="501"/>
      <c r="CT308" s="501"/>
    </row>
    <row r="309">
      <c r="A309" s="569"/>
      <c r="B309" s="569"/>
      <c r="C309" s="569"/>
      <c r="D309" s="498"/>
      <c r="E309" s="499"/>
      <c r="F309" s="499"/>
      <c r="G309" s="766"/>
      <c r="H309" s="766"/>
      <c r="I309" s="766"/>
      <c r="J309" s="766"/>
      <c r="K309" s="683"/>
      <c r="L309" s="683"/>
      <c r="M309" s="683"/>
      <c r="N309" s="683"/>
      <c r="O309" s="683"/>
      <c r="P309" s="683"/>
      <c r="Q309" s="683"/>
      <c r="R309" s="683"/>
      <c r="S309" s="683"/>
      <c r="T309" s="501"/>
      <c r="U309" s="501"/>
      <c r="V309" s="501"/>
      <c r="W309" s="501"/>
      <c r="X309" s="501"/>
      <c r="Y309" s="501"/>
      <c r="Z309" s="501"/>
      <c r="AA309" s="501"/>
      <c r="AB309" s="501"/>
      <c r="AC309" s="501"/>
      <c r="AD309" s="501"/>
      <c r="AE309" s="501"/>
      <c r="AF309" s="501"/>
      <c r="AG309" s="501"/>
      <c r="AH309" s="501"/>
      <c r="AI309" s="501"/>
      <c r="AJ309" s="501"/>
      <c r="AK309" s="501"/>
      <c r="AL309" s="501"/>
      <c r="AM309" s="501"/>
      <c r="AN309" s="501"/>
      <c r="AO309" s="501"/>
      <c r="AP309" s="501"/>
      <c r="AQ309" s="501"/>
      <c r="AR309" s="501"/>
      <c r="AS309" s="501"/>
      <c r="AT309" s="501"/>
      <c r="AU309" s="501"/>
      <c r="AV309" s="501"/>
      <c r="AW309" s="501"/>
      <c r="AX309" s="501"/>
      <c r="AY309" s="501"/>
      <c r="AZ309" s="501"/>
      <c r="BA309" s="501"/>
      <c r="BB309" s="501"/>
      <c r="BC309" s="501"/>
      <c r="BD309" s="501"/>
      <c r="BE309" s="501"/>
      <c r="BF309" s="501"/>
      <c r="BG309" s="501"/>
      <c r="BH309" s="501"/>
      <c r="BI309" s="501"/>
      <c r="BJ309" s="501"/>
      <c r="BK309" s="501"/>
      <c r="BL309" s="501"/>
      <c r="BM309" s="501"/>
      <c r="BN309" s="501"/>
      <c r="BO309" s="501"/>
      <c r="BP309" s="501"/>
      <c r="BQ309" s="501"/>
      <c r="BR309" s="501"/>
      <c r="BS309" s="501"/>
      <c r="BT309" s="501"/>
      <c r="BU309" s="501"/>
      <c r="BV309" s="501"/>
      <c r="BW309" s="501"/>
      <c r="BX309" s="501"/>
      <c r="BY309" s="501"/>
      <c r="BZ309" s="501"/>
      <c r="CA309" s="501"/>
      <c r="CB309" s="501"/>
      <c r="CC309" s="501"/>
      <c r="CD309" s="501"/>
      <c r="CE309" s="501"/>
      <c r="CF309" s="501"/>
      <c r="CG309" s="501"/>
      <c r="CH309" s="501"/>
      <c r="CI309" s="501"/>
      <c r="CJ309" s="501"/>
      <c r="CK309" s="501"/>
      <c r="CL309" s="501"/>
      <c r="CM309" s="501"/>
      <c r="CN309" s="501"/>
      <c r="CO309" s="501"/>
      <c r="CP309" s="501"/>
      <c r="CQ309" s="501"/>
      <c r="CR309" s="501"/>
      <c r="CS309" s="501"/>
      <c r="CT309" s="501"/>
    </row>
    <row r="310">
      <c r="A310" s="569"/>
      <c r="B310" s="569"/>
      <c r="C310" s="569"/>
      <c r="D310" s="498"/>
      <c r="E310" s="499"/>
      <c r="F310" s="499"/>
      <c r="G310" s="766"/>
      <c r="H310" s="766"/>
      <c r="I310" s="766"/>
      <c r="J310" s="766"/>
      <c r="K310" s="683"/>
      <c r="L310" s="683"/>
      <c r="M310" s="683"/>
      <c r="N310" s="683"/>
      <c r="O310" s="683"/>
      <c r="P310" s="683"/>
      <c r="Q310" s="683"/>
      <c r="R310" s="683"/>
      <c r="S310" s="683"/>
      <c r="T310" s="501"/>
      <c r="U310" s="501"/>
      <c r="V310" s="501"/>
      <c r="W310" s="501"/>
      <c r="X310" s="501"/>
      <c r="Y310" s="501"/>
      <c r="Z310" s="501"/>
      <c r="AA310" s="501"/>
      <c r="AB310" s="501"/>
      <c r="AC310" s="501"/>
      <c r="AD310" s="501"/>
      <c r="AE310" s="501"/>
      <c r="AF310" s="501"/>
      <c r="AG310" s="501"/>
      <c r="AH310" s="501"/>
      <c r="AI310" s="501"/>
      <c r="AJ310" s="501"/>
      <c r="AK310" s="501"/>
      <c r="AL310" s="501"/>
      <c r="AM310" s="501"/>
      <c r="AN310" s="501"/>
      <c r="AO310" s="501"/>
      <c r="AP310" s="501"/>
      <c r="AQ310" s="501"/>
      <c r="AR310" s="501"/>
      <c r="AS310" s="501"/>
      <c r="AT310" s="501"/>
      <c r="AU310" s="501"/>
      <c r="AV310" s="501"/>
      <c r="AW310" s="501"/>
      <c r="AX310" s="501"/>
      <c r="AY310" s="501"/>
      <c r="AZ310" s="501"/>
      <c r="BA310" s="501"/>
      <c r="BB310" s="501"/>
      <c r="BC310" s="501"/>
      <c r="BD310" s="501"/>
      <c r="BE310" s="501"/>
      <c r="BF310" s="501"/>
      <c r="BG310" s="501"/>
      <c r="BH310" s="501"/>
      <c r="BI310" s="501"/>
      <c r="BJ310" s="501"/>
      <c r="BK310" s="501"/>
      <c r="BL310" s="501"/>
      <c r="BM310" s="501"/>
      <c r="BN310" s="501"/>
      <c r="BO310" s="501"/>
      <c r="BP310" s="501"/>
      <c r="BQ310" s="501"/>
      <c r="BR310" s="501"/>
      <c r="BS310" s="501"/>
      <c r="BT310" s="501"/>
      <c r="BU310" s="501"/>
      <c r="BV310" s="501"/>
      <c r="BW310" s="501"/>
      <c r="BX310" s="501"/>
      <c r="BY310" s="501"/>
      <c r="BZ310" s="501"/>
      <c r="CA310" s="501"/>
      <c r="CB310" s="501"/>
      <c r="CC310" s="501"/>
      <c r="CD310" s="501"/>
      <c r="CE310" s="501"/>
      <c r="CF310" s="501"/>
      <c r="CG310" s="501"/>
      <c r="CH310" s="501"/>
      <c r="CI310" s="501"/>
      <c r="CJ310" s="501"/>
      <c r="CK310" s="501"/>
      <c r="CL310" s="501"/>
      <c r="CM310" s="501"/>
      <c r="CN310" s="501"/>
      <c r="CO310" s="501"/>
      <c r="CP310" s="501"/>
      <c r="CQ310" s="501"/>
      <c r="CR310" s="501"/>
      <c r="CS310" s="501"/>
      <c r="CT310" s="501"/>
    </row>
    <row r="311">
      <c r="A311" s="569"/>
      <c r="B311" s="569"/>
      <c r="C311" s="569"/>
      <c r="D311" s="498"/>
      <c r="E311" s="499"/>
      <c r="F311" s="499"/>
      <c r="G311" s="766"/>
      <c r="H311" s="766"/>
      <c r="I311" s="766"/>
      <c r="J311" s="766"/>
      <c r="K311" s="683"/>
      <c r="L311" s="683"/>
      <c r="M311" s="683"/>
      <c r="N311" s="683"/>
      <c r="O311" s="683"/>
      <c r="P311" s="683"/>
      <c r="Q311" s="683"/>
      <c r="R311" s="683"/>
      <c r="S311" s="683"/>
      <c r="T311" s="501"/>
      <c r="U311" s="501"/>
      <c r="V311" s="501"/>
      <c r="W311" s="501"/>
      <c r="X311" s="501"/>
      <c r="Y311" s="501"/>
      <c r="Z311" s="501"/>
      <c r="AA311" s="501"/>
      <c r="AB311" s="501"/>
      <c r="AC311" s="501"/>
      <c r="AD311" s="501"/>
      <c r="AE311" s="501"/>
      <c r="AF311" s="501"/>
      <c r="AG311" s="501"/>
      <c r="AH311" s="501"/>
      <c r="AI311" s="501"/>
      <c r="AJ311" s="501"/>
      <c r="AK311" s="501"/>
      <c r="AL311" s="501"/>
      <c r="AM311" s="501"/>
      <c r="AN311" s="501"/>
      <c r="AO311" s="501"/>
      <c r="AP311" s="501"/>
      <c r="AQ311" s="501"/>
      <c r="AR311" s="501"/>
      <c r="AS311" s="501"/>
      <c r="AT311" s="501"/>
      <c r="AU311" s="501"/>
      <c r="AV311" s="501"/>
      <c r="AW311" s="501"/>
      <c r="AX311" s="501"/>
      <c r="AY311" s="501"/>
      <c r="AZ311" s="501"/>
      <c r="BA311" s="501"/>
      <c r="BB311" s="501"/>
      <c r="BC311" s="501"/>
      <c r="BD311" s="501"/>
      <c r="BE311" s="501"/>
      <c r="BF311" s="501"/>
      <c r="BG311" s="501"/>
      <c r="BH311" s="501"/>
      <c r="BI311" s="501"/>
      <c r="BJ311" s="501"/>
      <c r="BK311" s="501"/>
      <c r="BL311" s="501"/>
      <c r="BM311" s="501"/>
      <c r="BN311" s="501"/>
      <c r="BO311" s="501"/>
      <c r="BP311" s="501"/>
      <c r="BQ311" s="501"/>
      <c r="BR311" s="501"/>
      <c r="BS311" s="501"/>
      <c r="BT311" s="501"/>
      <c r="BU311" s="501"/>
      <c r="BV311" s="501"/>
      <c r="BW311" s="501"/>
      <c r="BX311" s="501"/>
      <c r="BY311" s="501"/>
      <c r="BZ311" s="501"/>
      <c r="CA311" s="501"/>
      <c r="CB311" s="501"/>
      <c r="CC311" s="501"/>
      <c r="CD311" s="501"/>
      <c r="CE311" s="501"/>
      <c r="CF311" s="501"/>
      <c r="CG311" s="501"/>
      <c r="CH311" s="501"/>
      <c r="CI311" s="501"/>
      <c r="CJ311" s="501"/>
      <c r="CK311" s="501"/>
      <c r="CL311" s="501"/>
      <c r="CM311" s="501"/>
      <c r="CN311" s="501"/>
      <c r="CO311" s="501"/>
      <c r="CP311" s="501"/>
      <c r="CQ311" s="501"/>
      <c r="CR311" s="501"/>
      <c r="CS311" s="501"/>
      <c r="CT311" s="501"/>
    </row>
    <row r="312">
      <c r="A312" s="569"/>
      <c r="B312" s="569"/>
      <c r="C312" s="569"/>
      <c r="D312" s="498"/>
      <c r="E312" s="499"/>
      <c r="F312" s="499"/>
      <c r="G312" s="766"/>
      <c r="H312" s="766"/>
      <c r="I312" s="766"/>
      <c r="J312" s="766"/>
      <c r="K312" s="683"/>
      <c r="L312" s="683"/>
      <c r="M312" s="683"/>
      <c r="N312" s="683"/>
      <c r="O312" s="683"/>
      <c r="P312" s="683"/>
      <c r="Q312" s="683"/>
      <c r="R312" s="683"/>
      <c r="S312" s="683"/>
      <c r="T312" s="501"/>
      <c r="U312" s="501"/>
      <c r="V312" s="501"/>
      <c r="W312" s="501"/>
      <c r="X312" s="501"/>
      <c r="Y312" s="501"/>
      <c r="Z312" s="501"/>
      <c r="AA312" s="501"/>
      <c r="AB312" s="501"/>
      <c r="AC312" s="501"/>
      <c r="AD312" s="501"/>
      <c r="AE312" s="501"/>
      <c r="AF312" s="501"/>
      <c r="AG312" s="501"/>
      <c r="AH312" s="501"/>
      <c r="AI312" s="501"/>
      <c r="AJ312" s="501"/>
      <c r="AK312" s="501"/>
      <c r="AL312" s="501"/>
      <c r="AM312" s="501"/>
      <c r="AN312" s="501"/>
      <c r="AO312" s="501"/>
      <c r="AP312" s="501"/>
      <c r="AQ312" s="501"/>
      <c r="AR312" s="501"/>
      <c r="AS312" s="501"/>
      <c r="AT312" s="501"/>
      <c r="AU312" s="501"/>
      <c r="AV312" s="501"/>
      <c r="AW312" s="501"/>
      <c r="AX312" s="501"/>
      <c r="AY312" s="501"/>
      <c r="AZ312" s="501"/>
      <c r="BA312" s="501"/>
      <c r="BB312" s="501"/>
      <c r="BC312" s="501"/>
      <c r="BD312" s="501"/>
      <c r="BE312" s="501"/>
      <c r="BF312" s="501"/>
      <c r="BG312" s="501"/>
      <c r="BH312" s="501"/>
      <c r="BI312" s="501"/>
      <c r="BJ312" s="501"/>
      <c r="BK312" s="501"/>
      <c r="BL312" s="501"/>
      <c r="BM312" s="501"/>
      <c r="BN312" s="501"/>
      <c r="BO312" s="501"/>
      <c r="BP312" s="501"/>
      <c r="BQ312" s="501"/>
      <c r="BR312" s="501"/>
      <c r="BS312" s="501"/>
      <c r="BT312" s="501"/>
      <c r="BU312" s="501"/>
      <c r="BV312" s="501"/>
      <c r="BW312" s="501"/>
      <c r="BX312" s="501"/>
      <c r="BY312" s="501"/>
      <c r="BZ312" s="501"/>
      <c r="CA312" s="501"/>
      <c r="CB312" s="501"/>
      <c r="CC312" s="501"/>
      <c r="CD312" s="501"/>
      <c r="CE312" s="501"/>
      <c r="CF312" s="501"/>
      <c r="CG312" s="501"/>
      <c r="CH312" s="501"/>
      <c r="CI312" s="501"/>
      <c r="CJ312" s="501"/>
      <c r="CK312" s="501"/>
      <c r="CL312" s="501"/>
      <c r="CM312" s="501"/>
      <c r="CN312" s="501"/>
      <c r="CO312" s="501"/>
      <c r="CP312" s="501"/>
      <c r="CQ312" s="501"/>
      <c r="CR312" s="501"/>
      <c r="CS312" s="501"/>
      <c r="CT312" s="501"/>
    </row>
    <row r="313">
      <c r="A313" s="569"/>
      <c r="B313" s="569"/>
      <c r="C313" s="569"/>
      <c r="D313" s="498"/>
      <c r="E313" s="499"/>
      <c r="F313" s="499"/>
      <c r="G313" s="766"/>
      <c r="H313" s="766"/>
      <c r="I313" s="766"/>
      <c r="J313" s="766"/>
      <c r="K313" s="683"/>
      <c r="L313" s="683"/>
      <c r="M313" s="683"/>
      <c r="N313" s="683"/>
      <c r="O313" s="683"/>
      <c r="P313" s="683"/>
      <c r="Q313" s="683"/>
      <c r="R313" s="683"/>
      <c r="S313" s="683"/>
      <c r="T313" s="501"/>
      <c r="U313" s="501"/>
      <c r="V313" s="501"/>
      <c r="W313" s="501"/>
      <c r="X313" s="501"/>
      <c r="Y313" s="501"/>
      <c r="Z313" s="501"/>
      <c r="AA313" s="501"/>
      <c r="AB313" s="501"/>
      <c r="AC313" s="501"/>
      <c r="AD313" s="501"/>
      <c r="AE313" s="501"/>
      <c r="AF313" s="501"/>
      <c r="AG313" s="501"/>
      <c r="AH313" s="501"/>
      <c r="AI313" s="501"/>
      <c r="AJ313" s="501"/>
      <c r="AK313" s="501"/>
      <c r="AL313" s="501"/>
      <c r="AM313" s="501"/>
      <c r="AN313" s="501"/>
      <c r="AO313" s="501"/>
      <c r="AP313" s="501"/>
      <c r="AQ313" s="501"/>
      <c r="AR313" s="501"/>
      <c r="AS313" s="501"/>
      <c r="AT313" s="501"/>
      <c r="AU313" s="501"/>
      <c r="AV313" s="501"/>
      <c r="AW313" s="501"/>
      <c r="AX313" s="501"/>
      <c r="AY313" s="501"/>
      <c r="AZ313" s="501"/>
      <c r="BA313" s="501"/>
      <c r="BB313" s="501"/>
      <c r="BC313" s="501"/>
      <c r="BD313" s="501"/>
      <c r="BE313" s="501"/>
      <c r="BF313" s="501"/>
      <c r="BG313" s="501"/>
      <c r="BH313" s="501"/>
      <c r="BI313" s="501"/>
      <c r="BJ313" s="501"/>
      <c r="BK313" s="501"/>
      <c r="BL313" s="501"/>
      <c r="BM313" s="501"/>
      <c r="BN313" s="501"/>
      <c r="BO313" s="501"/>
      <c r="BP313" s="501"/>
      <c r="BQ313" s="501"/>
      <c r="BR313" s="501"/>
      <c r="BS313" s="501"/>
      <c r="BT313" s="501"/>
      <c r="BU313" s="501"/>
      <c r="BV313" s="501"/>
      <c r="BW313" s="501"/>
      <c r="BX313" s="501"/>
      <c r="BY313" s="501"/>
      <c r="BZ313" s="501"/>
      <c r="CA313" s="501"/>
      <c r="CB313" s="501"/>
      <c r="CC313" s="501"/>
      <c r="CD313" s="501"/>
      <c r="CE313" s="501"/>
      <c r="CF313" s="501"/>
      <c r="CG313" s="501"/>
      <c r="CH313" s="501"/>
      <c r="CI313" s="501"/>
      <c r="CJ313" s="501"/>
      <c r="CK313" s="501"/>
      <c r="CL313" s="501"/>
      <c r="CM313" s="501"/>
      <c r="CN313" s="501"/>
      <c r="CO313" s="501"/>
      <c r="CP313" s="501"/>
      <c r="CQ313" s="501"/>
      <c r="CR313" s="501"/>
      <c r="CS313" s="501"/>
      <c r="CT313" s="501"/>
    </row>
    <row r="314">
      <c r="A314" s="569"/>
      <c r="B314" s="569"/>
      <c r="C314" s="569"/>
      <c r="D314" s="498"/>
      <c r="E314" s="499"/>
      <c r="F314" s="499"/>
      <c r="G314" s="766"/>
      <c r="H314" s="766"/>
      <c r="I314" s="766"/>
      <c r="J314" s="766"/>
      <c r="K314" s="683"/>
      <c r="L314" s="683"/>
      <c r="M314" s="683"/>
      <c r="N314" s="683"/>
      <c r="O314" s="683"/>
      <c r="P314" s="683"/>
      <c r="Q314" s="683"/>
      <c r="R314" s="683"/>
      <c r="S314" s="683"/>
      <c r="T314" s="501"/>
      <c r="U314" s="501"/>
      <c r="V314" s="501"/>
      <c r="W314" s="501"/>
      <c r="X314" s="501"/>
      <c r="Y314" s="501"/>
      <c r="Z314" s="501"/>
      <c r="AA314" s="501"/>
      <c r="AB314" s="501"/>
      <c r="AC314" s="501"/>
      <c r="AD314" s="501"/>
      <c r="AE314" s="501"/>
      <c r="AF314" s="501"/>
      <c r="AG314" s="501"/>
      <c r="AH314" s="501"/>
      <c r="AI314" s="501"/>
      <c r="AJ314" s="501"/>
      <c r="AK314" s="501"/>
      <c r="AL314" s="501"/>
      <c r="AM314" s="501"/>
      <c r="AN314" s="501"/>
      <c r="AO314" s="501"/>
      <c r="AP314" s="501"/>
      <c r="AQ314" s="501"/>
      <c r="AR314" s="501"/>
      <c r="AS314" s="501"/>
      <c r="AT314" s="501"/>
      <c r="AU314" s="501"/>
      <c r="AV314" s="501"/>
      <c r="AW314" s="501"/>
      <c r="AX314" s="501"/>
      <c r="AY314" s="501"/>
      <c r="AZ314" s="501"/>
      <c r="BA314" s="501"/>
      <c r="BB314" s="501"/>
      <c r="BC314" s="501"/>
      <c r="BD314" s="501"/>
      <c r="BE314" s="501"/>
      <c r="BF314" s="501"/>
      <c r="BG314" s="501"/>
      <c r="BH314" s="501"/>
      <c r="BI314" s="501"/>
      <c r="BJ314" s="501"/>
      <c r="BK314" s="501"/>
      <c r="BL314" s="501"/>
      <c r="BM314" s="501"/>
      <c r="BN314" s="501"/>
      <c r="BO314" s="501"/>
      <c r="BP314" s="501"/>
      <c r="BQ314" s="501"/>
      <c r="BR314" s="501"/>
      <c r="BS314" s="501"/>
      <c r="BT314" s="501"/>
      <c r="BU314" s="501"/>
      <c r="BV314" s="501"/>
      <c r="BW314" s="501"/>
      <c r="BX314" s="501"/>
      <c r="BY314" s="501"/>
      <c r="BZ314" s="501"/>
      <c r="CA314" s="501"/>
      <c r="CB314" s="501"/>
      <c r="CC314" s="501"/>
      <c r="CD314" s="501"/>
      <c r="CE314" s="501"/>
      <c r="CF314" s="501"/>
      <c r="CG314" s="501"/>
      <c r="CH314" s="501"/>
      <c r="CI314" s="501"/>
      <c r="CJ314" s="501"/>
      <c r="CK314" s="501"/>
      <c r="CL314" s="501"/>
      <c r="CM314" s="501"/>
      <c r="CN314" s="501"/>
      <c r="CO314" s="501"/>
      <c r="CP314" s="501"/>
      <c r="CQ314" s="501"/>
      <c r="CR314" s="501"/>
      <c r="CS314" s="501"/>
      <c r="CT314" s="501"/>
    </row>
    <row r="315">
      <c r="A315" s="569"/>
      <c r="B315" s="569"/>
      <c r="C315" s="569"/>
      <c r="D315" s="498"/>
      <c r="E315" s="499"/>
      <c r="F315" s="499"/>
      <c r="G315" s="766"/>
      <c r="H315" s="766"/>
      <c r="I315" s="766"/>
      <c r="J315" s="766"/>
      <c r="K315" s="683"/>
      <c r="L315" s="683"/>
      <c r="M315" s="683"/>
      <c r="N315" s="683"/>
      <c r="O315" s="683"/>
      <c r="P315" s="683"/>
      <c r="Q315" s="683"/>
      <c r="R315" s="683"/>
      <c r="S315" s="683"/>
      <c r="T315" s="501"/>
      <c r="U315" s="501"/>
      <c r="V315" s="501"/>
      <c r="W315" s="501"/>
      <c r="X315" s="501"/>
      <c r="Y315" s="501"/>
      <c r="Z315" s="501"/>
      <c r="AA315" s="501"/>
      <c r="AB315" s="501"/>
      <c r="AC315" s="501"/>
      <c r="AD315" s="501"/>
      <c r="AE315" s="501"/>
      <c r="AF315" s="501"/>
      <c r="AG315" s="501"/>
      <c r="AH315" s="501"/>
      <c r="AI315" s="501"/>
      <c r="AJ315" s="501"/>
      <c r="AK315" s="501"/>
      <c r="AL315" s="501"/>
      <c r="AM315" s="501"/>
      <c r="AN315" s="501"/>
      <c r="AO315" s="501"/>
      <c r="AP315" s="501"/>
      <c r="AQ315" s="501"/>
      <c r="AR315" s="501"/>
      <c r="AS315" s="501"/>
      <c r="AT315" s="501"/>
      <c r="AU315" s="501"/>
      <c r="AV315" s="501"/>
      <c r="AW315" s="501"/>
      <c r="AX315" s="501"/>
      <c r="AY315" s="501"/>
      <c r="AZ315" s="501"/>
      <c r="BA315" s="501"/>
      <c r="BB315" s="501"/>
      <c r="BC315" s="501"/>
      <c r="BD315" s="501"/>
      <c r="BE315" s="501"/>
      <c r="BF315" s="501"/>
      <c r="BG315" s="501"/>
      <c r="BH315" s="501"/>
      <c r="BI315" s="501"/>
      <c r="BJ315" s="501"/>
      <c r="BK315" s="501"/>
      <c r="BL315" s="501"/>
      <c r="BM315" s="501"/>
      <c r="BN315" s="501"/>
      <c r="BO315" s="501"/>
      <c r="BP315" s="501"/>
      <c r="BQ315" s="501"/>
      <c r="BR315" s="501"/>
      <c r="BS315" s="501"/>
      <c r="BT315" s="501"/>
      <c r="BU315" s="501"/>
      <c r="BV315" s="501"/>
      <c r="BW315" s="501"/>
      <c r="BX315" s="501"/>
      <c r="BY315" s="501"/>
      <c r="BZ315" s="501"/>
      <c r="CA315" s="501"/>
      <c r="CB315" s="501"/>
      <c r="CC315" s="501"/>
      <c r="CD315" s="501"/>
      <c r="CE315" s="501"/>
      <c r="CF315" s="501"/>
      <c r="CG315" s="501"/>
      <c r="CH315" s="501"/>
      <c r="CI315" s="501"/>
      <c r="CJ315" s="501"/>
      <c r="CK315" s="501"/>
      <c r="CL315" s="501"/>
      <c r="CM315" s="501"/>
      <c r="CN315" s="501"/>
      <c r="CO315" s="501"/>
      <c r="CP315" s="501"/>
      <c r="CQ315" s="501"/>
      <c r="CR315" s="501"/>
      <c r="CS315" s="501"/>
      <c r="CT315" s="501"/>
    </row>
    <row r="316">
      <c r="A316" s="569"/>
      <c r="B316" s="569"/>
      <c r="C316" s="569"/>
      <c r="D316" s="498"/>
      <c r="E316" s="499"/>
      <c r="F316" s="499"/>
      <c r="G316" s="766"/>
      <c r="H316" s="766"/>
      <c r="I316" s="766"/>
      <c r="J316" s="766"/>
      <c r="K316" s="683"/>
      <c r="L316" s="683"/>
      <c r="M316" s="683"/>
      <c r="N316" s="683"/>
      <c r="O316" s="683"/>
      <c r="P316" s="683"/>
      <c r="Q316" s="683"/>
      <c r="R316" s="683"/>
      <c r="S316" s="683"/>
      <c r="T316" s="501"/>
      <c r="U316" s="501"/>
      <c r="V316" s="501"/>
      <c r="W316" s="501"/>
      <c r="X316" s="501"/>
      <c r="Y316" s="501"/>
      <c r="Z316" s="501"/>
      <c r="AA316" s="501"/>
      <c r="AB316" s="501"/>
      <c r="AC316" s="501"/>
      <c r="AD316" s="501"/>
      <c r="AE316" s="501"/>
      <c r="AF316" s="501"/>
      <c r="AG316" s="501"/>
      <c r="AH316" s="501"/>
      <c r="AI316" s="501"/>
      <c r="AJ316" s="501"/>
      <c r="AK316" s="501"/>
      <c r="AL316" s="501"/>
      <c r="AM316" s="501"/>
      <c r="AN316" s="501"/>
      <c r="AO316" s="501"/>
      <c r="AP316" s="501"/>
      <c r="AQ316" s="501"/>
      <c r="AR316" s="501"/>
      <c r="AS316" s="501"/>
      <c r="AT316" s="501"/>
      <c r="AU316" s="501"/>
      <c r="AV316" s="501"/>
      <c r="AW316" s="501"/>
      <c r="AX316" s="501"/>
      <c r="AY316" s="501"/>
      <c r="AZ316" s="501"/>
      <c r="BA316" s="501"/>
      <c r="BB316" s="501"/>
      <c r="BC316" s="501"/>
      <c r="BD316" s="501"/>
      <c r="BE316" s="501"/>
      <c r="BF316" s="501"/>
      <c r="BG316" s="501"/>
      <c r="BH316" s="501"/>
      <c r="BI316" s="501"/>
      <c r="BJ316" s="501"/>
      <c r="BK316" s="501"/>
      <c r="BL316" s="501"/>
      <c r="BM316" s="501"/>
      <c r="BN316" s="501"/>
      <c r="BO316" s="501"/>
      <c r="BP316" s="501"/>
      <c r="BQ316" s="501"/>
      <c r="BR316" s="501"/>
      <c r="BS316" s="501"/>
      <c r="BT316" s="501"/>
      <c r="BU316" s="501"/>
      <c r="BV316" s="501"/>
      <c r="BW316" s="501"/>
      <c r="BX316" s="501"/>
      <c r="BY316" s="501"/>
      <c r="BZ316" s="501"/>
      <c r="CA316" s="501"/>
      <c r="CB316" s="501"/>
      <c r="CC316" s="501"/>
      <c r="CD316" s="501"/>
      <c r="CE316" s="501"/>
      <c r="CF316" s="501"/>
      <c r="CG316" s="501"/>
      <c r="CH316" s="501"/>
      <c r="CI316" s="501"/>
      <c r="CJ316" s="501"/>
      <c r="CK316" s="501"/>
      <c r="CL316" s="501"/>
      <c r="CM316" s="501"/>
      <c r="CN316" s="501"/>
      <c r="CO316" s="501"/>
      <c r="CP316" s="501"/>
      <c r="CQ316" s="501"/>
      <c r="CR316" s="501"/>
      <c r="CS316" s="501"/>
      <c r="CT316" s="501"/>
    </row>
    <row r="317">
      <c r="A317" s="569"/>
      <c r="B317" s="569"/>
      <c r="C317" s="569"/>
      <c r="D317" s="498"/>
      <c r="E317" s="499"/>
      <c r="F317" s="499"/>
      <c r="G317" s="766"/>
      <c r="H317" s="766"/>
      <c r="I317" s="766"/>
      <c r="J317" s="766"/>
      <c r="K317" s="683"/>
      <c r="L317" s="683"/>
      <c r="M317" s="683"/>
      <c r="N317" s="683"/>
      <c r="O317" s="683"/>
      <c r="P317" s="683"/>
      <c r="Q317" s="683"/>
      <c r="R317" s="683"/>
      <c r="S317" s="683"/>
      <c r="T317" s="501"/>
      <c r="U317" s="501"/>
      <c r="V317" s="501"/>
      <c r="W317" s="501"/>
      <c r="X317" s="501"/>
      <c r="Y317" s="501"/>
      <c r="Z317" s="501"/>
      <c r="AA317" s="501"/>
      <c r="AB317" s="501"/>
      <c r="AC317" s="501"/>
      <c r="AD317" s="501"/>
      <c r="AE317" s="501"/>
      <c r="AF317" s="501"/>
      <c r="AG317" s="501"/>
      <c r="AH317" s="501"/>
      <c r="AI317" s="501"/>
      <c r="AJ317" s="501"/>
      <c r="AK317" s="501"/>
      <c r="AL317" s="501"/>
      <c r="AM317" s="501"/>
      <c r="AN317" s="501"/>
      <c r="AO317" s="501"/>
      <c r="AP317" s="501"/>
      <c r="AQ317" s="501"/>
      <c r="AR317" s="501"/>
      <c r="AS317" s="501"/>
      <c r="AT317" s="501"/>
      <c r="AU317" s="501"/>
      <c r="AV317" s="501"/>
      <c r="AW317" s="501"/>
      <c r="AX317" s="501"/>
      <c r="AY317" s="501"/>
      <c r="AZ317" s="501"/>
      <c r="BA317" s="501"/>
      <c r="BB317" s="501"/>
      <c r="BC317" s="501"/>
      <c r="BD317" s="501"/>
      <c r="BE317" s="501"/>
      <c r="BF317" s="501"/>
      <c r="BG317" s="501"/>
      <c r="BH317" s="501"/>
      <c r="BI317" s="501"/>
      <c r="BJ317" s="501"/>
      <c r="BK317" s="501"/>
      <c r="BL317" s="501"/>
      <c r="BM317" s="501"/>
      <c r="BN317" s="501"/>
      <c r="BO317" s="501"/>
      <c r="BP317" s="501"/>
      <c r="BQ317" s="501"/>
      <c r="BR317" s="501"/>
      <c r="BS317" s="501"/>
      <c r="BT317" s="501"/>
      <c r="BU317" s="501"/>
      <c r="BV317" s="501"/>
      <c r="BW317" s="501"/>
      <c r="BX317" s="501"/>
      <c r="BY317" s="501"/>
      <c r="BZ317" s="501"/>
      <c r="CA317" s="501"/>
      <c r="CB317" s="501"/>
      <c r="CC317" s="501"/>
      <c r="CD317" s="501"/>
      <c r="CE317" s="501"/>
      <c r="CF317" s="501"/>
      <c r="CG317" s="501"/>
      <c r="CH317" s="501"/>
      <c r="CI317" s="501"/>
      <c r="CJ317" s="501"/>
      <c r="CK317" s="501"/>
      <c r="CL317" s="501"/>
      <c r="CM317" s="501"/>
      <c r="CN317" s="501"/>
      <c r="CO317" s="501"/>
      <c r="CP317" s="501"/>
      <c r="CQ317" s="501"/>
      <c r="CR317" s="501"/>
      <c r="CS317" s="501"/>
      <c r="CT317" s="501"/>
    </row>
    <row r="318">
      <c r="A318" s="569"/>
      <c r="B318" s="569"/>
      <c r="C318" s="569"/>
      <c r="D318" s="498"/>
      <c r="E318" s="499"/>
      <c r="F318" s="499"/>
      <c r="G318" s="766"/>
      <c r="H318" s="766"/>
      <c r="I318" s="766"/>
      <c r="J318" s="766"/>
      <c r="K318" s="683"/>
      <c r="L318" s="683"/>
      <c r="M318" s="683"/>
      <c r="N318" s="683"/>
      <c r="O318" s="683"/>
      <c r="P318" s="683"/>
      <c r="Q318" s="683"/>
      <c r="R318" s="683"/>
      <c r="S318" s="683"/>
      <c r="T318" s="501"/>
      <c r="U318" s="501"/>
      <c r="V318" s="501"/>
      <c r="W318" s="501"/>
      <c r="X318" s="501"/>
      <c r="Y318" s="501"/>
      <c r="Z318" s="501"/>
      <c r="AA318" s="501"/>
      <c r="AB318" s="501"/>
      <c r="AC318" s="501"/>
      <c r="AD318" s="501"/>
      <c r="AE318" s="501"/>
      <c r="AF318" s="501"/>
      <c r="AG318" s="501"/>
      <c r="AH318" s="501"/>
      <c r="AI318" s="501"/>
      <c r="AJ318" s="501"/>
      <c r="AK318" s="501"/>
      <c r="AL318" s="501"/>
      <c r="AM318" s="501"/>
      <c r="AN318" s="501"/>
      <c r="AO318" s="501"/>
      <c r="AP318" s="501"/>
      <c r="AQ318" s="501"/>
      <c r="AR318" s="501"/>
      <c r="AS318" s="501"/>
      <c r="AT318" s="501"/>
      <c r="AU318" s="501"/>
      <c r="AV318" s="501"/>
      <c r="AW318" s="501"/>
      <c r="AX318" s="501"/>
      <c r="AY318" s="501"/>
      <c r="AZ318" s="501"/>
      <c r="BA318" s="501"/>
      <c r="BB318" s="501"/>
      <c r="BC318" s="501"/>
      <c r="BD318" s="501"/>
      <c r="BE318" s="501"/>
      <c r="BF318" s="501"/>
      <c r="BG318" s="501"/>
      <c r="BH318" s="501"/>
      <c r="BI318" s="501"/>
      <c r="BJ318" s="501"/>
      <c r="BK318" s="501"/>
      <c r="BL318" s="501"/>
      <c r="BM318" s="501"/>
      <c r="BN318" s="501"/>
      <c r="BO318" s="501"/>
      <c r="BP318" s="501"/>
      <c r="BQ318" s="501"/>
      <c r="BR318" s="501"/>
      <c r="BS318" s="501"/>
      <c r="BT318" s="501"/>
      <c r="BU318" s="501"/>
      <c r="BV318" s="501"/>
      <c r="BW318" s="501"/>
      <c r="BX318" s="501"/>
      <c r="BY318" s="501"/>
      <c r="BZ318" s="501"/>
      <c r="CA318" s="501"/>
      <c r="CB318" s="501"/>
      <c r="CC318" s="501"/>
      <c r="CD318" s="501"/>
      <c r="CE318" s="501"/>
      <c r="CF318" s="501"/>
      <c r="CG318" s="501"/>
      <c r="CH318" s="501"/>
      <c r="CI318" s="501"/>
      <c r="CJ318" s="501"/>
      <c r="CK318" s="501"/>
      <c r="CL318" s="501"/>
      <c r="CM318" s="501"/>
      <c r="CN318" s="501"/>
      <c r="CO318" s="501"/>
      <c r="CP318" s="501"/>
      <c r="CQ318" s="501"/>
      <c r="CR318" s="501"/>
      <c r="CS318" s="501"/>
      <c r="CT318" s="501"/>
    </row>
    <row r="319">
      <c r="A319" s="569"/>
      <c r="B319" s="569"/>
      <c r="C319" s="569"/>
      <c r="D319" s="498"/>
      <c r="E319" s="499"/>
      <c r="F319" s="499"/>
      <c r="G319" s="766"/>
      <c r="H319" s="766"/>
      <c r="I319" s="766"/>
      <c r="J319" s="766"/>
      <c r="K319" s="683"/>
      <c r="L319" s="683"/>
      <c r="M319" s="683"/>
      <c r="N319" s="683"/>
      <c r="O319" s="683"/>
      <c r="P319" s="683"/>
      <c r="Q319" s="683"/>
      <c r="R319" s="683"/>
      <c r="S319" s="683"/>
      <c r="T319" s="501"/>
      <c r="U319" s="501"/>
      <c r="V319" s="501"/>
      <c r="W319" s="501"/>
      <c r="X319" s="501"/>
      <c r="Y319" s="501"/>
      <c r="Z319" s="501"/>
      <c r="AA319" s="501"/>
      <c r="AB319" s="501"/>
      <c r="AC319" s="501"/>
      <c r="AD319" s="501"/>
      <c r="AE319" s="501"/>
      <c r="AF319" s="501"/>
      <c r="AG319" s="501"/>
      <c r="AH319" s="501"/>
      <c r="AI319" s="501"/>
      <c r="AJ319" s="501"/>
      <c r="AK319" s="501"/>
      <c r="AL319" s="501"/>
      <c r="AM319" s="501"/>
      <c r="AN319" s="501"/>
      <c r="AO319" s="501"/>
      <c r="AP319" s="501"/>
      <c r="AQ319" s="501"/>
      <c r="AR319" s="501"/>
      <c r="AS319" s="501"/>
      <c r="AT319" s="501"/>
      <c r="AU319" s="501"/>
      <c r="AV319" s="501"/>
      <c r="AW319" s="501"/>
      <c r="AX319" s="501"/>
      <c r="AY319" s="501"/>
      <c r="AZ319" s="501"/>
      <c r="BA319" s="501"/>
      <c r="BB319" s="501"/>
      <c r="BC319" s="501"/>
      <c r="BD319" s="501"/>
      <c r="BE319" s="501"/>
      <c r="BF319" s="501"/>
      <c r="BG319" s="501"/>
      <c r="BH319" s="501"/>
      <c r="BI319" s="501"/>
      <c r="BJ319" s="501"/>
      <c r="BK319" s="501"/>
      <c r="BL319" s="501"/>
      <c r="BM319" s="501"/>
      <c r="BN319" s="501"/>
      <c r="BO319" s="501"/>
      <c r="BP319" s="501"/>
      <c r="BQ319" s="501"/>
      <c r="BR319" s="501"/>
      <c r="BS319" s="501"/>
      <c r="BT319" s="501"/>
      <c r="BU319" s="501"/>
      <c r="BV319" s="501"/>
      <c r="BW319" s="501"/>
      <c r="BX319" s="501"/>
      <c r="BY319" s="501"/>
      <c r="BZ319" s="501"/>
      <c r="CA319" s="501"/>
      <c r="CB319" s="501"/>
      <c r="CC319" s="501"/>
      <c r="CD319" s="501"/>
      <c r="CE319" s="501"/>
      <c r="CF319" s="501"/>
      <c r="CG319" s="501"/>
      <c r="CH319" s="501"/>
      <c r="CI319" s="501"/>
      <c r="CJ319" s="501"/>
      <c r="CK319" s="501"/>
      <c r="CL319" s="501"/>
      <c r="CM319" s="501"/>
      <c r="CN319" s="501"/>
      <c r="CO319" s="501"/>
      <c r="CP319" s="501"/>
      <c r="CQ319" s="501"/>
      <c r="CR319" s="501"/>
      <c r="CS319" s="501"/>
      <c r="CT319" s="501"/>
    </row>
    <row r="320">
      <c r="A320" s="569"/>
      <c r="B320" s="569"/>
      <c r="C320" s="569"/>
      <c r="D320" s="498"/>
      <c r="E320" s="499"/>
      <c r="F320" s="499"/>
      <c r="G320" s="766"/>
      <c r="H320" s="766"/>
      <c r="I320" s="766"/>
      <c r="J320" s="766"/>
      <c r="K320" s="683"/>
      <c r="L320" s="683"/>
      <c r="M320" s="683"/>
      <c r="N320" s="683"/>
      <c r="O320" s="683"/>
      <c r="P320" s="683"/>
      <c r="Q320" s="683"/>
      <c r="R320" s="683"/>
      <c r="S320" s="683"/>
      <c r="T320" s="501"/>
      <c r="U320" s="501"/>
      <c r="V320" s="501"/>
      <c r="W320" s="501"/>
      <c r="X320" s="501"/>
      <c r="Y320" s="501"/>
      <c r="Z320" s="501"/>
      <c r="AA320" s="501"/>
      <c r="AB320" s="501"/>
      <c r="AC320" s="501"/>
      <c r="AD320" s="501"/>
      <c r="AE320" s="501"/>
      <c r="AF320" s="501"/>
      <c r="AG320" s="501"/>
      <c r="AH320" s="501"/>
      <c r="AI320" s="501"/>
      <c r="AJ320" s="501"/>
      <c r="AK320" s="501"/>
      <c r="AL320" s="501"/>
      <c r="AM320" s="501"/>
      <c r="AN320" s="501"/>
      <c r="AO320" s="501"/>
      <c r="AP320" s="501"/>
      <c r="AQ320" s="501"/>
      <c r="AR320" s="501"/>
      <c r="AS320" s="501"/>
      <c r="AT320" s="501"/>
      <c r="AU320" s="501"/>
      <c r="AV320" s="501"/>
      <c r="AW320" s="501"/>
      <c r="AX320" s="501"/>
      <c r="AY320" s="501"/>
      <c r="AZ320" s="501"/>
      <c r="BA320" s="501"/>
      <c r="BB320" s="501"/>
      <c r="BC320" s="501"/>
      <c r="BD320" s="501"/>
      <c r="BE320" s="501"/>
      <c r="BF320" s="501"/>
      <c r="BG320" s="501"/>
      <c r="BH320" s="501"/>
      <c r="BI320" s="501"/>
      <c r="BJ320" s="501"/>
      <c r="BK320" s="501"/>
      <c r="BL320" s="501"/>
      <c r="BM320" s="501"/>
      <c r="BN320" s="501"/>
      <c r="BO320" s="501"/>
      <c r="BP320" s="501"/>
      <c r="BQ320" s="501"/>
      <c r="BR320" s="501"/>
      <c r="BS320" s="501"/>
      <c r="BT320" s="501"/>
      <c r="BU320" s="501"/>
      <c r="BV320" s="501"/>
      <c r="BW320" s="501"/>
      <c r="BX320" s="501"/>
      <c r="BY320" s="501"/>
      <c r="BZ320" s="501"/>
      <c r="CA320" s="501"/>
      <c r="CB320" s="501"/>
      <c r="CC320" s="501"/>
      <c r="CD320" s="501"/>
      <c r="CE320" s="501"/>
      <c r="CF320" s="501"/>
      <c r="CG320" s="501"/>
      <c r="CH320" s="501"/>
      <c r="CI320" s="501"/>
      <c r="CJ320" s="501"/>
      <c r="CK320" s="501"/>
      <c r="CL320" s="501"/>
      <c r="CM320" s="501"/>
      <c r="CN320" s="501"/>
      <c r="CO320" s="501"/>
      <c r="CP320" s="501"/>
      <c r="CQ320" s="501"/>
      <c r="CR320" s="501"/>
      <c r="CS320" s="501"/>
      <c r="CT320" s="501"/>
    </row>
    <row r="321">
      <c r="A321" s="569"/>
      <c r="B321" s="569"/>
      <c r="C321" s="569"/>
      <c r="D321" s="498"/>
      <c r="E321" s="499"/>
      <c r="F321" s="499"/>
      <c r="G321" s="766"/>
      <c r="H321" s="766"/>
      <c r="I321" s="766"/>
      <c r="J321" s="766"/>
      <c r="K321" s="683"/>
      <c r="L321" s="683"/>
      <c r="M321" s="683"/>
      <c r="N321" s="683"/>
      <c r="O321" s="683"/>
      <c r="P321" s="683"/>
      <c r="Q321" s="683"/>
      <c r="R321" s="683"/>
      <c r="S321" s="683"/>
      <c r="T321" s="501"/>
      <c r="U321" s="501"/>
      <c r="V321" s="501"/>
      <c r="W321" s="501"/>
      <c r="X321" s="501"/>
      <c r="Y321" s="501"/>
      <c r="Z321" s="501"/>
      <c r="AA321" s="501"/>
      <c r="AB321" s="501"/>
      <c r="AC321" s="501"/>
      <c r="AD321" s="501"/>
      <c r="AE321" s="501"/>
      <c r="AF321" s="501"/>
      <c r="AG321" s="501"/>
      <c r="AH321" s="501"/>
      <c r="AI321" s="501"/>
      <c r="AJ321" s="501"/>
      <c r="AK321" s="501"/>
      <c r="AL321" s="501"/>
      <c r="AM321" s="501"/>
      <c r="AN321" s="501"/>
      <c r="AO321" s="501"/>
      <c r="AP321" s="501"/>
      <c r="AQ321" s="501"/>
      <c r="AR321" s="501"/>
      <c r="AS321" s="501"/>
      <c r="AT321" s="501"/>
      <c r="AU321" s="501"/>
      <c r="AV321" s="501"/>
      <c r="AW321" s="501"/>
      <c r="AX321" s="501"/>
      <c r="AY321" s="501"/>
      <c r="AZ321" s="501"/>
      <c r="BA321" s="501"/>
      <c r="BB321" s="501"/>
      <c r="BC321" s="501"/>
      <c r="BD321" s="501"/>
      <c r="BE321" s="501"/>
      <c r="BF321" s="501"/>
      <c r="BG321" s="501"/>
      <c r="BH321" s="501"/>
      <c r="BI321" s="501"/>
      <c r="BJ321" s="501"/>
      <c r="BK321" s="501"/>
      <c r="BL321" s="501"/>
      <c r="BM321" s="501"/>
      <c r="BN321" s="501"/>
      <c r="BO321" s="501"/>
      <c r="BP321" s="501"/>
      <c r="BQ321" s="501"/>
      <c r="BR321" s="501"/>
      <c r="BS321" s="501"/>
      <c r="BT321" s="501"/>
      <c r="BU321" s="501"/>
      <c r="BV321" s="501"/>
      <c r="BW321" s="501"/>
      <c r="BX321" s="501"/>
      <c r="BY321" s="501"/>
      <c r="BZ321" s="501"/>
      <c r="CA321" s="501"/>
      <c r="CB321" s="501"/>
      <c r="CC321" s="501"/>
      <c r="CD321" s="501"/>
      <c r="CE321" s="501"/>
      <c r="CF321" s="501"/>
      <c r="CG321" s="501"/>
      <c r="CH321" s="501"/>
      <c r="CI321" s="501"/>
      <c r="CJ321" s="501"/>
      <c r="CK321" s="501"/>
      <c r="CL321" s="501"/>
      <c r="CM321" s="501"/>
      <c r="CN321" s="501"/>
      <c r="CO321" s="501"/>
      <c r="CP321" s="501"/>
      <c r="CQ321" s="501"/>
      <c r="CR321" s="501"/>
      <c r="CS321" s="501"/>
      <c r="CT321" s="501"/>
    </row>
    <row r="322">
      <c r="A322" s="569"/>
      <c r="B322" s="569"/>
      <c r="C322" s="569"/>
      <c r="D322" s="498"/>
      <c r="E322" s="499"/>
      <c r="F322" s="499"/>
      <c r="G322" s="766"/>
      <c r="H322" s="766"/>
      <c r="I322" s="766"/>
      <c r="J322" s="766"/>
      <c r="K322" s="683"/>
      <c r="L322" s="683"/>
      <c r="M322" s="683"/>
      <c r="N322" s="683"/>
      <c r="O322" s="683"/>
      <c r="P322" s="683"/>
      <c r="Q322" s="683"/>
      <c r="R322" s="683"/>
      <c r="S322" s="683"/>
      <c r="T322" s="501"/>
      <c r="U322" s="501"/>
      <c r="V322" s="501"/>
      <c r="W322" s="501"/>
      <c r="X322" s="501"/>
      <c r="Y322" s="501"/>
      <c r="Z322" s="501"/>
      <c r="AA322" s="501"/>
      <c r="AB322" s="501"/>
      <c r="AC322" s="501"/>
      <c r="AD322" s="501"/>
      <c r="AE322" s="501"/>
      <c r="AF322" s="501"/>
      <c r="AG322" s="501"/>
      <c r="AH322" s="501"/>
      <c r="AI322" s="501"/>
      <c r="AJ322" s="501"/>
      <c r="AK322" s="501"/>
      <c r="AL322" s="501"/>
      <c r="AM322" s="501"/>
      <c r="AN322" s="501"/>
      <c r="AO322" s="501"/>
      <c r="AP322" s="501"/>
      <c r="AQ322" s="501"/>
      <c r="AR322" s="501"/>
      <c r="AS322" s="501"/>
      <c r="AT322" s="501"/>
      <c r="AU322" s="501"/>
      <c r="AV322" s="501"/>
      <c r="AW322" s="501"/>
      <c r="AX322" s="501"/>
      <c r="AY322" s="501"/>
      <c r="AZ322" s="501"/>
      <c r="BA322" s="501"/>
      <c r="BB322" s="501"/>
      <c r="BC322" s="501"/>
      <c r="BD322" s="501"/>
      <c r="BE322" s="501"/>
      <c r="BF322" s="501"/>
      <c r="BG322" s="501"/>
      <c r="BH322" s="501"/>
      <c r="BI322" s="501"/>
      <c r="BJ322" s="501"/>
      <c r="BK322" s="501"/>
      <c r="BL322" s="501"/>
      <c r="BM322" s="501"/>
      <c r="BN322" s="501"/>
      <c r="BO322" s="501"/>
      <c r="BP322" s="501"/>
      <c r="BQ322" s="501"/>
      <c r="BR322" s="501"/>
      <c r="BS322" s="501"/>
      <c r="BT322" s="501"/>
      <c r="BU322" s="501"/>
      <c r="BV322" s="501"/>
      <c r="BW322" s="501"/>
      <c r="BX322" s="501"/>
      <c r="BY322" s="501"/>
      <c r="BZ322" s="501"/>
      <c r="CA322" s="501"/>
      <c r="CB322" s="501"/>
      <c r="CC322" s="501"/>
      <c r="CD322" s="501"/>
      <c r="CE322" s="501"/>
      <c r="CF322" s="501"/>
      <c r="CG322" s="501"/>
      <c r="CH322" s="501"/>
      <c r="CI322" s="501"/>
      <c r="CJ322" s="501"/>
      <c r="CK322" s="501"/>
      <c r="CL322" s="501"/>
      <c r="CM322" s="501"/>
      <c r="CN322" s="501"/>
      <c r="CO322" s="501"/>
      <c r="CP322" s="501"/>
      <c r="CQ322" s="501"/>
      <c r="CR322" s="501"/>
      <c r="CS322" s="501"/>
      <c r="CT322" s="501"/>
    </row>
    <row r="323">
      <c r="A323" s="569"/>
      <c r="B323" s="569"/>
      <c r="C323" s="569"/>
      <c r="D323" s="498"/>
      <c r="E323" s="499"/>
      <c r="F323" s="499"/>
      <c r="G323" s="766"/>
      <c r="H323" s="766"/>
      <c r="I323" s="766"/>
      <c r="J323" s="766"/>
      <c r="K323" s="683"/>
      <c r="L323" s="683"/>
      <c r="M323" s="683"/>
      <c r="N323" s="683"/>
      <c r="O323" s="683"/>
      <c r="P323" s="683"/>
      <c r="Q323" s="683"/>
      <c r="R323" s="683"/>
      <c r="S323" s="683"/>
      <c r="T323" s="501"/>
      <c r="U323" s="501"/>
      <c r="V323" s="501"/>
      <c r="W323" s="501"/>
      <c r="X323" s="501"/>
      <c r="Y323" s="501"/>
      <c r="Z323" s="501"/>
      <c r="AA323" s="501"/>
      <c r="AB323" s="501"/>
      <c r="AC323" s="501"/>
      <c r="AD323" s="501"/>
      <c r="AE323" s="501"/>
      <c r="AF323" s="501"/>
      <c r="AG323" s="501"/>
      <c r="AH323" s="501"/>
      <c r="AI323" s="501"/>
      <c r="AJ323" s="501"/>
      <c r="AK323" s="501"/>
      <c r="AL323" s="501"/>
      <c r="AM323" s="501"/>
      <c r="AN323" s="501"/>
      <c r="AO323" s="501"/>
      <c r="AP323" s="501"/>
      <c r="AQ323" s="501"/>
      <c r="AR323" s="501"/>
      <c r="AS323" s="501"/>
      <c r="AT323" s="501"/>
      <c r="AU323" s="501"/>
      <c r="AV323" s="501"/>
      <c r="AW323" s="501"/>
      <c r="AX323" s="501"/>
      <c r="AY323" s="501"/>
      <c r="AZ323" s="501"/>
      <c r="BA323" s="501"/>
      <c r="BB323" s="501"/>
      <c r="BC323" s="501"/>
      <c r="BD323" s="501"/>
      <c r="BE323" s="501"/>
      <c r="BF323" s="501"/>
      <c r="BG323" s="501"/>
      <c r="BH323" s="501"/>
      <c r="BI323" s="501"/>
      <c r="BJ323" s="501"/>
      <c r="BK323" s="501"/>
      <c r="BL323" s="501"/>
      <c r="BM323" s="501"/>
      <c r="BN323" s="501"/>
      <c r="BO323" s="501"/>
      <c r="BP323" s="501"/>
      <c r="BQ323" s="501"/>
      <c r="BR323" s="501"/>
      <c r="BS323" s="501"/>
      <c r="BT323" s="501"/>
      <c r="BU323" s="501"/>
      <c r="BV323" s="501"/>
      <c r="BW323" s="501"/>
      <c r="BX323" s="501"/>
      <c r="BY323" s="501"/>
      <c r="BZ323" s="501"/>
      <c r="CA323" s="501"/>
      <c r="CB323" s="501"/>
      <c r="CC323" s="501"/>
      <c r="CD323" s="501"/>
      <c r="CE323" s="501"/>
      <c r="CF323" s="501"/>
      <c r="CG323" s="501"/>
      <c r="CH323" s="501"/>
      <c r="CI323" s="501"/>
      <c r="CJ323" s="501"/>
      <c r="CK323" s="501"/>
      <c r="CL323" s="501"/>
      <c r="CM323" s="501"/>
      <c r="CN323" s="501"/>
      <c r="CO323" s="501"/>
      <c r="CP323" s="501"/>
      <c r="CQ323" s="501"/>
      <c r="CR323" s="501"/>
      <c r="CS323" s="501"/>
      <c r="CT323" s="501"/>
    </row>
    <row r="324">
      <c r="A324" s="569"/>
      <c r="B324" s="569"/>
      <c r="C324" s="569"/>
      <c r="D324" s="498"/>
      <c r="E324" s="499"/>
      <c r="F324" s="499"/>
      <c r="G324" s="766"/>
      <c r="H324" s="766"/>
      <c r="I324" s="766"/>
      <c r="J324" s="766"/>
      <c r="K324" s="683"/>
      <c r="L324" s="683"/>
      <c r="M324" s="683"/>
      <c r="N324" s="683"/>
      <c r="O324" s="683"/>
      <c r="P324" s="683"/>
      <c r="Q324" s="683"/>
      <c r="R324" s="683"/>
      <c r="S324" s="683"/>
      <c r="T324" s="501"/>
      <c r="U324" s="501"/>
      <c r="V324" s="501"/>
      <c r="W324" s="501"/>
      <c r="X324" s="501"/>
      <c r="Y324" s="501"/>
      <c r="Z324" s="501"/>
      <c r="AA324" s="501"/>
      <c r="AB324" s="501"/>
      <c r="AC324" s="501"/>
      <c r="AD324" s="501"/>
      <c r="AE324" s="501"/>
      <c r="AF324" s="501"/>
      <c r="AG324" s="501"/>
      <c r="AH324" s="501"/>
      <c r="AI324" s="501"/>
      <c r="AJ324" s="501"/>
      <c r="AK324" s="501"/>
      <c r="AL324" s="501"/>
      <c r="AM324" s="501"/>
      <c r="AN324" s="501"/>
      <c r="AO324" s="501"/>
      <c r="AP324" s="501"/>
      <c r="AQ324" s="501"/>
      <c r="AR324" s="501"/>
      <c r="AS324" s="501"/>
      <c r="AT324" s="501"/>
      <c r="AU324" s="501"/>
      <c r="AV324" s="501"/>
      <c r="AW324" s="501"/>
      <c r="AX324" s="501"/>
      <c r="AY324" s="501"/>
      <c r="AZ324" s="501"/>
      <c r="BA324" s="501"/>
      <c r="BB324" s="501"/>
      <c r="BC324" s="501"/>
      <c r="BD324" s="501"/>
      <c r="BE324" s="501"/>
      <c r="BF324" s="501"/>
      <c r="BG324" s="501"/>
      <c r="BH324" s="501"/>
      <c r="BI324" s="501"/>
      <c r="BJ324" s="501"/>
      <c r="BK324" s="501"/>
      <c r="BL324" s="501"/>
      <c r="BM324" s="501"/>
      <c r="BN324" s="501"/>
      <c r="BO324" s="501"/>
      <c r="BP324" s="501"/>
      <c r="BQ324" s="501"/>
      <c r="BR324" s="501"/>
      <c r="BS324" s="501"/>
      <c r="BT324" s="501"/>
      <c r="BU324" s="501"/>
      <c r="BV324" s="501"/>
      <c r="BW324" s="501"/>
      <c r="BX324" s="501"/>
      <c r="BY324" s="501"/>
      <c r="BZ324" s="501"/>
      <c r="CA324" s="501"/>
      <c r="CB324" s="501"/>
      <c r="CC324" s="501"/>
      <c r="CD324" s="501"/>
      <c r="CE324" s="501"/>
      <c r="CF324" s="501"/>
      <c r="CG324" s="501"/>
      <c r="CH324" s="501"/>
      <c r="CI324" s="501"/>
      <c r="CJ324" s="501"/>
      <c r="CK324" s="501"/>
      <c r="CL324" s="501"/>
      <c r="CM324" s="501"/>
      <c r="CN324" s="501"/>
      <c r="CO324" s="501"/>
      <c r="CP324" s="501"/>
      <c r="CQ324" s="501"/>
      <c r="CR324" s="501"/>
      <c r="CS324" s="501"/>
      <c r="CT324" s="501"/>
    </row>
    <row r="325">
      <c r="A325" s="569"/>
      <c r="B325" s="569"/>
      <c r="C325" s="569"/>
      <c r="D325" s="498"/>
      <c r="E325" s="499"/>
      <c r="F325" s="499"/>
      <c r="G325" s="766"/>
      <c r="H325" s="766"/>
      <c r="I325" s="766"/>
      <c r="J325" s="766"/>
      <c r="K325" s="683"/>
      <c r="L325" s="683"/>
      <c r="M325" s="683"/>
      <c r="N325" s="683"/>
      <c r="O325" s="683"/>
      <c r="P325" s="683"/>
      <c r="Q325" s="683"/>
      <c r="R325" s="683"/>
      <c r="S325" s="683"/>
      <c r="T325" s="501"/>
      <c r="U325" s="501"/>
      <c r="V325" s="501"/>
      <c r="W325" s="501"/>
      <c r="X325" s="501"/>
      <c r="Y325" s="501"/>
      <c r="Z325" s="501"/>
      <c r="AA325" s="501"/>
      <c r="AB325" s="501"/>
      <c r="AC325" s="501"/>
      <c r="AD325" s="501"/>
      <c r="AE325" s="501"/>
      <c r="AF325" s="501"/>
      <c r="AG325" s="501"/>
      <c r="AH325" s="501"/>
      <c r="AI325" s="501"/>
      <c r="AJ325" s="501"/>
      <c r="AK325" s="501"/>
      <c r="AL325" s="501"/>
      <c r="AM325" s="501"/>
      <c r="AN325" s="501"/>
      <c r="AO325" s="501"/>
      <c r="AP325" s="501"/>
      <c r="AQ325" s="501"/>
      <c r="AR325" s="501"/>
      <c r="AS325" s="501"/>
      <c r="AT325" s="501"/>
      <c r="AU325" s="501"/>
      <c r="AV325" s="501"/>
      <c r="AW325" s="501"/>
      <c r="AX325" s="501"/>
      <c r="AY325" s="501"/>
      <c r="AZ325" s="501"/>
      <c r="BA325" s="501"/>
      <c r="BB325" s="501"/>
      <c r="BC325" s="501"/>
      <c r="BD325" s="501"/>
      <c r="BE325" s="501"/>
      <c r="BF325" s="501"/>
      <c r="BG325" s="501"/>
      <c r="BH325" s="501"/>
      <c r="BI325" s="501"/>
      <c r="BJ325" s="501"/>
      <c r="BK325" s="501"/>
      <c r="BL325" s="501"/>
      <c r="BM325" s="501"/>
      <c r="BN325" s="501"/>
      <c r="BO325" s="501"/>
      <c r="BP325" s="501"/>
      <c r="BQ325" s="501"/>
      <c r="BR325" s="501"/>
      <c r="BS325" s="501"/>
      <c r="BT325" s="501"/>
      <c r="BU325" s="501"/>
      <c r="BV325" s="501"/>
      <c r="BW325" s="501"/>
      <c r="BX325" s="501"/>
      <c r="BY325" s="501"/>
      <c r="BZ325" s="501"/>
      <c r="CA325" s="501"/>
      <c r="CB325" s="501"/>
      <c r="CC325" s="501"/>
      <c r="CD325" s="501"/>
      <c r="CE325" s="501"/>
      <c r="CF325" s="501"/>
      <c r="CG325" s="501"/>
      <c r="CH325" s="501"/>
      <c r="CI325" s="501"/>
      <c r="CJ325" s="501"/>
      <c r="CK325" s="501"/>
      <c r="CL325" s="501"/>
      <c r="CM325" s="501"/>
      <c r="CN325" s="501"/>
      <c r="CO325" s="501"/>
      <c r="CP325" s="501"/>
      <c r="CQ325" s="501"/>
      <c r="CR325" s="501"/>
      <c r="CS325" s="501"/>
      <c r="CT325" s="501"/>
    </row>
    <row r="326">
      <c r="A326" s="569"/>
      <c r="B326" s="569"/>
      <c r="C326" s="569"/>
      <c r="D326" s="498"/>
      <c r="E326" s="499"/>
      <c r="F326" s="499"/>
      <c r="G326" s="766"/>
      <c r="H326" s="766"/>
      <c r="I326" s="766"/>
      <c r="J326" s="766"/>
      <c r="K326" s="683"/>
      <c r="L326" s="683"/>
      <c r="M326" s="683"/>
      <c r="N326" s="683"/>
      <c r="O326" s="683"/>
      <c r="P326" s="683"/>
      <c r="Q326" s="683"/>
      <c r="R326" s="683"/>
      <c r="S326" s="683"/>
      <c r="T326" s="501"/>
      <c r="U326" s="501"/>
      <c r="V326" s="501"/>
      <c r="W326" s="501"/>
      <c r="X326" s="501"/>
      <c r="Y326" s="501"/>
      <c r="Z326" s="501"/>
      <c r="AA326" s="501"/>
      <c r="AB326" s="501"/>
      <c r="AC326" s="501"/>
      <c r="AD326" s="501"/>
      <c r="AE326" s="501"/>
      <c r="AF326" s="501"/>
      <c r="AG326" s="501"/>
      <c r="AH326" s="501"/>
      <c r="AI326" s="501"/>
      <c r="AJ326" s="501"/>
      <c r="AK326" s="501"/>
      <c r="AL326" s="501"/>
      <c r="AM326" s="501"/>
      <c r="AN326" s="501"/>
      <c r="AO326" s="501"/>
      <c r="AP326" s="501"/>
      <c r="AQ326" s="501"/>
      <c r="AR326" s="501"/>
      <c r="AS326" s="501"/>
      <c r="AT326" s="501"/>
      <c r="AU326" s="501"/>
      <c r="AV326" s="501"/>
      <c r="AW326" s="501"/>
      <c r="AX326" s="501"/>
      <c r="AY326" s="501"/>
      <c r="AZ326" s="501"/>
      <c r="BA326" s="501"/>
      <c r="BB326" s="501"/>
      <c r="BC326" s="501"/>
      <c r="BD326" s="501"/>
      <c r="BE326" s="501"/>
      <c r="BF326" s="501"/>
      <c r="BG326" s="501"/>
      <c r="BH326" s="501"/>
      <c r="BI326" s="501"/>
      <c r="BJ326" s="501"/>
      <c r="BK326" s="501"/>
      <c r="BL326" s="501"/>
      <c r="BM326" s="501"/>
      <c r="BN326" s="501"/>
      <c r="BO326" s="501"/>
      <c r="BP326" s="501"/>
      <c r="BQ326" s="501"/>
      <c r="BR326" s="501"/>
      <c r="BS326" s="501"/>
      <c r="BT326" s="501"/>
      <c r="BU326" s="501"/>
      <c r="BV326" s="501"/>
      <c r="BW326" s="501"/>
      <c r="BX326" s="501"/>
      <c r="BY326" s="501"/>
      <c r="BZ326" s="501"/>
      <c r="CA326" s="501"/>
      <c r="CB326" s="501"/>
      <c r="CC326" s="501"/>
      <c r="CD326" s="501"/>
      <c r="CE326" s="501"/>
      <c r="CF326" s="501"/>
      <c r="CG326" s="501"/>
      <c r="CH326" s="501"/>
      <c r="CI326" s="501"/>
      <c r="CJ326" s="501"/>
      <c r="CK326" s="501"/>
      <c r="CL326" s="501"/>
      <c r="CM326" s="501"/>
      <c r="CN326" s="501"/>
      <c r="CO326" s="501"/>
      <c r="CP326" s="501"/>
      <c r="CQ326" s="501"/>
      <c r="CR326" s="501"/>
      <c r="CS326" s="501"/>
      <c r="CT326" s="501"/>
    </row>
    <row r="327">
      <c r="A327" s="569"/>
      <c r="B327" s="569"/>
      <c r="C327" s="569"/>
      <c r="D327" s="498"/>
      <c r="E327" s="499"/>
      <c r="F327" s="499"/>
      <c r="G327" s="766"/>
      <c r="H327" s="766"/>
      <c r="I327" s="766"/>
      <c r="J327" s="766"/>
      <c r="K327" s="683"/>
      <c r="L327" s="683"/>
      <c r="M327" s="683"/>
      <c r="N327" s="683"/>
      <c r="O327" s="683"/>
      <c r="P327" s="683"/>
      <c r="Q327" s="683"/>
      <c r="R327" s="683"/>
      <c r="S327" s="683"/>
      <c r="T327" s="501"/>
      <c r="U327" s="501"/>
      <c r="V327" s="501"/>
      <c r="W327" s="501"/>
      <c r="X327" s="501"/>
      <c r="Y327" s="501"/>
      <c r="Z327" s="501"/>
      <c r="AA327" s="501"/>
      <c r="AB327" s="501"/>
      <c r="AC327" s="501"/>
      <c r="AD327" s="501"/>
      <c r="AE327" s="501"/>
      <c r="AF327" s="501"/>
      <c r="AG327" s="501"/>
      <c r="AH327" s="501"/>
      <c r="AI327" s="501"/>
      <c r="AJ327" s="501"/>
      <c r="AK327" s="501"/>
      <c r="AL327" s="501"/>
      <c r="AM327" s="501"/>
      <c r="AN327" s="501"/>
      <c r="AO327" s="501"/>
      <c r="AP327" s="501"/>
      <c r="AQ327" s="501"/>
      <c r="AR327" s="501"/>
      <c r="AS327" s="501"/>
      <c r="AT327" s="501"/>
      <c r="AU327" s="501"/>
      <c r="AV327" s="501"/>
      <c r="AW327" s="501"/>
      <c r="AX327" s="501"/>
      <c r="AY327" s="501"/>
      <c r="AZ327" s="501"/>
      <c r="BA327" s="501"/>
      <c r="BB327" s="501"/>
      <c r="BC327" s="501"/>
      <c r="BD327" s="501"/>
      <c r="BE327" s="501"/>
      <c r="BF327" s="501"/>
      <c r="BG327" s="501"/>
      <c r="BH327" s="501"/>
      <c r="BI327" s="501"/>
      <c r="BJ327" s="501"/>
      <c r="BK327" s="501"/>
      <c r="BL327" s="501"/>
      <c r="BM327" s="501"/>
      <c r="BN327" s="501"/>
      <c r="BO327" s="501"/>
      <c r="BP327" s="501"/>
      <c r="BQ327" s="501"/>
      <c r="BR327" s="501"/>
      <c r="BS327" s="501"/>
      <c r="BT327" s="501"/>
      <c r="BU327" s="501"/>
      <c r="BV327" s="501"/>
      <c r="BW327" s="501"/>
      <c r="BX327" s="501"/>
      <c r="BY327" s="501"/>
      <c r="BZ327" s="501"/>
      <c r="CA327" s="501"/>
      <c r="CB327" s="501"/>
      <c r="CC327" s="501"/>
      <c r="CD327" s="501"/>
      <c r="CE327" s="501"/>
      <c r="CF327" s="501"/>
      <c r="CG327" s="501"/>
      <c r="CH327" s="501"/>
      <c r="CI327" s="501"/>
      <c r="CJ327" s="501"/>
      <c r="CK327" s="501"/>
      <c r="CL327" s="501"/>
      <c r="CM327" s="501"/>
      <c r="CN327" s="501"/>
      <c r="CO327" s="501"/>
      <c r="CP327" s="501"/>
      <c r="CQ327" s="501"/>
      <c r="CR327" s="501"/>
      <c r="CS327" s="501"/>
      <c r="CT327" s="501"/>
    </row>
    <row r="328">
      <c r="A328" s="569"/>
      <c r="B328" s="569"/>
      <c r="C328" s="569"/>
      <c r="D328" s="498"/>
      <c r="E328" s="499"/>
      <c r="F328" s="499"/>
      <c r="G328" s="766"/>
      <c r="H328" s="766"/>
      <c r="I328" s="766"/>
      <c r="J328" s="766"/>
      <c r="K328" s="683"/>
      <c r="L328" s="683"/>
      <c r="M328" s="683"/>
      <c r="N328" s="683"/>
      <c r="O328" s="683"/>
      <c r="P328" s="683"/>
      <c r="Q328" s="683"/>
      <c r="R328" s="683"/>
      <c r="S328" s="683"/>
      <c r="T328" s="501"/>
      <c r="U328" s="501"/>
      <c r="V328" s="501"/>
      <c r="W328" s="501"/>
      <c r="X328" s="501"/>
      <c r="Y328" s="501"/>
      <c r="Z328" s="501"/>
      <c r="AA328" s="501"/>
      <c r="AB328" s="501"/>
      <c r="AC328" s="501"/>
      <c r="AD328" s="501"/>
      <c r="AE328" s="501"/>
      <c r="AF328" s="501"/>
      <c r="AG328" s="501"/>
      <c r="AH328" s="501"/>
      <c r="AI328" s="501"/>
      <c r="AJ328" s="501"/>
      <c r="AK328" s="501"/>
      <c r="AL328" s="501"/>
      <c r="AM328" s="501"/>
      <c r="AN328" s="501"/>
      <c r="AO328" s="501"/>
      <c r="AP328" s="501"/>
      <c r="AQ328" s="501"/>
      <c r="AR328" s="501"/>
      <c r="AS328" s="501"/>
      <c r="AT328" s="501"/>
      <c r="AU328" s="501"/>
      <c r="AV328" s="501"/>
      <c r="AW328" s="501"/>
      <c r="AX328" s="501"/>
      <c r="AY328" s="501"/>
      <c r="AZ328" s="501"/>
      <c r="BA328" s="501"/>
      <c r="BB328" s="501"/>
      <c r="BC328" s="501"/>
      <c r="BD328" s="501"/>
      <c r="BE328" s="501"/>
      <c r="BF328" s="501"/>
      <c r="BG328" s="501"/>
      <c r="BH328" s="501"/>
      <c r="BI328" s="501"/>
      <c r="BJ328" s="501"/>
      <c r="BK328" s="501"/>
      <c r="BL328" s="501"/>
      <c r="BM328" s="501"/>
      <c r="BN328" s="501"/>
      <c r="BO328" s="501"/>
      <c r="BP328" s="501"/>
      <c r="BQ328" s="501"/>
      <c r="BR328" s="501"/>
      <c r="BS328" s="501"/>
      <c r="BT328" s="501"/>
      <c r="BU328" s="501"/>
      <c r="BV328" s="501"/>
      <c r="BW328" s="501"/>
      <c r="BX328" s="501"/>
      <c r="BY328" s="501"/>
      <c r="BZ328" s="501"/>
      <c r="CA328" s="501"/>
      <c r="CB328" s="501"/>
      <c r="CC328" s="501"/>
      <c r="CD328" s="501"/>
      <c r="CE328" s="501"/>
      <c r="CF328" s="501"/>
      <c r="CG328" s="501"/>
      <c r="CH328" s="501"/>
      <c r="CI328" s="501"/>
      <c r="CJ328" s="501"/>
      <c r="CK328" s="501"/>
      <c r="CL328" s="501"/>
      <c r="CM328" s="501"/>
      <c r="CN328" s="501"/>
      <c r="CO328" s="501"/>
      <c r="CP328" s="501"/>
      <c r="CQ328" s="501"/>
      <c r="CR328" s="501"/>
      <c r="CS328" s="501"/>
      <c r="CT328" s="501"/>
    </row>
    <row r="329">
      <c r="A329" s="569"/>
      <c r="B329" s="569"/>
      <c r="C329" s="569"/>
      <c r="D329" s="498"/>
      <c r="E329" s="499"/>
      <c r="F329" s="499"/>
      <c r="G329" s="766"/>
      <c r="H329" s="766"/>
      <c r="I329" s="766"/>
      <c r="J329" s="766"/>
      <c r="K329" s="683"/>
      <c r="L329" s="683"/>
      <c r="M329" s="683"/>
      <c r="N329" s="683"/>
      <c r="O329" s="683"/>
      <c r="P329" s="683"/>
      <c r="Q329" s="683"/>
      <c r="R329" s="683"/>
      <c r="S329" s="683"/>
      <c r="T329" s="501"/>
      <c r="U329" s="501"/>
      <c r="V329" s="501"/>
      <c r="W329" s="501"/>
      <c r="X329" s="501"/>
      <c r="Y329" s="501"/>
      <c r="Z329" s="501"/>
      <c r="AA329" s="501"/>
      <c r="AB329" s="501"/>
      <c r="AC329" s="501"/>
      <c r="AD329" s="501"/>
      <c r="AE329" s="501"/>
      <c r="AF329" s="501"/>
      <c r="AG329" s="501"/>
      <c r="AH329" s="501"/>
      <c r="AI329" s="501"/>
      <c r="AJ329" s="501"/>
      <c r="AK329" s="501"/>
      <c r="AL329" s="501"/>
      <c r="AM329" s="501"/>
      <c r="AN329" s="501"/>
      <c r="AO329" s="501"/>
      <c r="AP329" s="501"/>
      <c r="AQ329" s="501"/>
      <c r="AR329" s="501"/>
      <c r="AS329" s="501"/>
      <c r="AT329" s="501"/>
      <c r="AU329" s="501"/>
      <c r="AV329" s="501"/>
      <c r="AW329" s="501"/>
      <c r="AX329" s="501"/>
      <c r="AY329" s="501"/>
      <c r="AZ329" s="501"/>
      <c r="BA329" s="501"/>
      <c r="BB329" s="501"/>
      <c r="BC329" s="501"/>
      <c r="BD329" s="501"/>
      <c r="BE329" s="501"/>
      <c r="BF329" s="501"/>
      <c r="BG329" s="501"/>
      <c r="BH329" s="501"/>
      <c r="BI329" s="501"/>
      <c r="BJ329" s="501"/>
      <c r="BK329" s="501"/>
      <c r="BL329" s="501"/>
      <c r="BM329" s="501"/>
      <c r="BN329" s="501"/>
      <c r="BO329" s="501"/>
      <c r="BP329" s="501"/>
      <c r="BQ329" s="501"/>
      <c r="BR329" s="501"/>
      <c r="BS329" s="501"/>
      <c r="BT329" s="501"/>
      <c r="BU329" s="501"/>
      <c r="BV329" s="501"/>
      <c r="BW329" s="501"/>
      <c r="BX329" s="501"/>
      <c r="BY329" s="501"/>
      <c r="BZ329" s="501"/>
      <c r="CA329" s="501"/>
      <c r="CB329" s="501"/>
      <c r="CC329" s="501"/>
      <c r="CD329" s="501"/>
      <c r="CE329" s="501"/>
      <c r="CF329" s="501"/>
      <c r="CG329" s="501"/>
      <c r="CH329" s="501"/>
      <c r="CI329" s="501"/>
      <c r="CJ329" s="501"/>
      <c r="CK329" s="501"/>
      <c r="CL329" s="501"/>
      <c r="CM329" s="501"/>
      <c r="CN329" s="501"/>
      <c r="CO329" s="501"/>
      <c r="CP329" s="501"/>
      <c r="CQ329" s="501"/>
      <c r="CR329" s="501"/>
      <c r="CS329" s="501"/>
      <c r="CT329" s="501"/>
    </row>
    <row r="330">
      <c r="A330" s="569"/>
      <c r="B330" s="569"/>
      <c r="C330" s="569"/>
      <c r="D330" s="498"/>
      <c r="E330" s="499"/>
      <c r="F330" s="499"/>
      <c r="G330" s="766"/>
      <c r="H330" s="766"/>
      <c r="I330" s="766"/>
      <c r="J330" s="766"/>
      <c r="K330" s="683"/>
      <c r="L330" s="683"/>
      <c r="M330" s="683"/>
      <c r="N330" s="683"/>
      <c r="O330" s="683"/>
      <c r="P330" s="683"/>
      <c r="Q330" s="683"/>
      <c r="R330" s="683"/>
      <c r="S330" s="683"/>
      <c r="T330" s="501"/>
      <c r="U330" s="501"/>
      <c r="V330" s="501"/>
      <c r="W330" s="501"/>
      <c r="X330" s="501"/>
      <c r="Y330" s="501"/>
      <c r="Z330" s="501"/>
      <c r="AA330" s="501"/>
      <c r="AB330" s="501"/>
      <c r="AC330" s="501"/>
      <c r="AD330" s="501"/>
      <c r="AE330" s="501"/>
      <c r="AF330" s="501"/>
      <c r="AG330" s="501"/>
      <c r="AH330" s="501"/>
      <c r="AI330" s="501"/>
      <c r="AJ330" s="501"/>
      <c r="AK330" s="501"/>
      <c r="AL330" s="501"/>
      <c r="AM330" s="501"/>
      <c r="AN330" s="501"/>
      <c r="AO330" s="501"/>
      <c r="AP330" s="501"/>
      <c r="AQ330" s="501"/>
      <c r="AR330" s="501"/>
      <c r="AS330" s="501"/>
      <c r="AT330" s="501"/>
      <c r="AU330" s="501"/>
      <c r="AV330" s="501"/>
      <c r="AW330" s="501"/>
      <c r="AX330" s="501"/>
      <c r="AY330" s="501"/>
      <c r="AZ330" s="501"/>
      <c r="BA330" s="501"/>
      <c r="BB330" s="501"/>
      <c r="BC330" s="501"/>
      <c r="BD330" s="501"/>
      <c r="BE330" s="501"/>
      <c r="BF330" s="501"/>
      <c r="BG330" s="501"/>
      <c r="BH330" s="501"/>
      <c r="BI330" s="501"/>
      <c r="BJ330" s="501"/>
      <c r="BK330" s="501"/>
      <c r="BL330" s="501"/>
      <c r="BM330" s="501"/>
      <c r="BN330" s="501"/>
      <c r="BO330" s="501"/>
      <c r="BP330" s="501"/>
      <c r="BQ330" s="501"/>
      <c r="BR330" s="501"/>
      <c r="BS330" s="501"/>
      <c r="BT330" s="501"/>
      <c r="BU330" s="501"/>
      <c r="BV330" s="501"/>
      <c r="BW330" s="501"/>
      <c r="BX330" s="501"/>
      <c r="BY330" s="501"/>
      <c r="BZ330" s="501"/>
      <c r="CA330" s="501"/>
      <c r="CB330" s="501"/>
      <c r="CC330" s="501"/>
      <c r="CD330" s="501"/>
      <c r="CE330" s="501"/>
      <c r="CF330" s="501"/>
      <c r="CG330" s="501"/>
      <c r="CH330" s="501"/>
      <c r="CI330" s="501"/>
      <c r="CJ330" s="501"/>
      <c r="CK330" s="501"/>
      <c r="CL330" s="501"/>
      <c r="CM330" s="501"/>
      <c r="CN330" s="501"/>
      <c r="CO330" s="501"/>
      <c r="CP330" s="501"/>
      <c r="CQ330" s="501"/>
      <c r="CR330" s="501"/>
      <c r="CS330" s="501"/>
      <c r="CT330" s="501"/>
    </row>
    <row r="331">
      <c r="A331" s="569"/>
      <c r="B331" s="569"/>
      <c r="C331" s="569"/>
      <c r="D331" s="498"/>
      <c r="E331" s="499"/>
      <c r="F331" s="499"/>
      <c r="G331" s="766"/>
      <c r="H331" s="766"/>
      <c r="I331" s="766"/>
      <c r="J331" s="766"/>
      <c r="K331" s="683"/>
      <c r="L331" s="683"/>
      <c r="M331" s="683"/>
      <c r="N331" s="683"/>
      <c r="O331" s="683"/>
      <c r="P331" s="683"/>
      <c r="Q331" s="683"/>
      <c r="R331" s="683"/>
      <c r="S331" s="683"/>
      <c r="T331" s="501"/>
      <c r="U331" s="501"/>
      <c r="V331" s="501"/>
      <c r="W331" s="501"/>
      <c r="X331" s="501"/>
      <c r="Y331" s="501"/>
      <c r="Z331" s="501"/>
      <c r="AA331" s="501"/>
      <c r="AB331" s="501"/>
      <c r="AC331" s="501"/>
      <c r="AD331" s="501"/>
      <c r="AE331" s="501"/>
      <c r="AF331" s="501"/>
      <c r="AG331" s="501"/>
      <c r="AH331" s="501"/>
      <c r="AI331" s="501"/>
      <c r="AJ331" s="501"/>
      <c r="AK331" s="501"/>
      <c r="AL331" s="501"/>
      <c r="AM331" s="501"/>
      <c r="AN331" s="501"/>
      <c r="AO331" s="501"/>
      <c r="AP331" s="501"/>
      <c r="AQ331" s="501"/>
      <c r="AR331" s="501"/>
      <c r="AS331" s="501"/>
      <c r="AT331" s="501"/>
      <c r="AU331" s="501"/>
      <c r="AV331" s="501"/>
      <c r="AW331" s="501"/>
      <c r="AX331" s="501"/>
      <c r="AY331" s="501"/>
      <c r="AZ331" s="501"/>
      <c r="BA331" s="501"/>
      <c r="BB331" s="501"/>
      <c r="BC331" s="501"/>
      <c r="BD331" s="501"/>
      <c r="BE331" s="501"/>
      <c r="BF331" s="501"/>
      <c r="BG331" s="501"/>
      <c r="BH331" s="501"/>
      <c r="BI331" s="501"/>
      <c r="BJ331" s="501"/>
      <c r="BK331" s="501"/>
      <c r="BL331" s="501"/>
      <c r="BM331" s="501"/>
      <c r="BN331" s="501"/>
      <c r="BO331" s="501"/>
      <c r="BP331" s="501"/>
      <c r="BQ331" s="501"/>
      <c r="BR331" s="501"/>
      <c r="BS331" s="501"/>
      <c r="BT331" s="501"/>
      <c r="BU331" s="501"/>
      <c r="BV331" s="501"/>
      <c r="BW331" s="501"/>
      <c r="BX331" s="501"/>
      <c r="BY331" s="501"/>
      <c r="BZ331" s="501"/>
      <c r="CA331" s="501"/>
      <c r="CB331" s="501"/>
      <c r="CC331" s="501"/>
      <c r="CD331" s="501"/>
      <c r="CE331" s="501"/>
      <c r="CF331" s="501"/>
      <c r="CG331" s="501"/>
      <c r="CH331" s="501"/>
      <c r="CI331" s="501"/>
      <c r="CJ331" s="501"/>
      <c r="CK331" s="501"/>
      <c r="CL331" s="501"/>
      <c r="CM331" s="501"/>
      <c r="CN331" s="501"/>
      <c r="CO331" s="501"/>
      <c r="CP331" s="501"/>
      <c r="CQ331" s="501"/>
      <c r="CR331" s="501"/>
      <c r="CS331" s="501"/>
      <c r="CT331" s="501"/>
    </row>
    <row r="332">
      <c r="A332" s="569"/>
      <c r="B332" s="569"/>
      <c r="C332" s="569"/>
      <c r="D332" s="498"/>
      <c r="E332" s="499"/>
      <c r="F332" s="499"/>
      <c r="G332" s="766"/>
      <c r="H332" s="766"/>
      <c r="I332" s="766"/>
      <c r="J332" s="766"/>
      <c r="K332" s="683"/>
      <c r="L332" s="683"/>
      <c r="M332" s="683"/>
      <c r="N332" s="683"/>
      <c r="O332" s="683"/>
      <c r="P332" s="683"/>
      <c r="Q332" s="683"/>
      <c r="R332" s="683"/>
      <c r="S332" s="683"/>
      <c r="T332" s="501"/>
      <c r="U332" s="501"/>
      <c r="V332" s="501"/>
      <c r="W332" s="501"/>
      <c r="X332" s="501"/>
      <c r="Y332" s="501"/>
      <c r="Z332" s="501"/>
      <c r="AA332" s="501"/>
      <c r="AB332" s="501"/>
      <c r="AC332" s="501"/>
      <c r="AD332" s="501"/>
      <c r="AE332" s="501"/>
      <c r="AF332" s="501"/>
      <c r="AG332" s="501"/>
      <c r="AH332" s="501"/>
      <c r="AI332" s="501"/>
      <c r="AJ332" s="501"/>
      <c r="AK332" s="501"/>
      <c r="AL332" s="501"/>
      <c r="AM332" s="501"/>
      <c r="AN332" s="501"/>
      <c r="AO332" s="501"/>
      <c r="AP332" s="501"/>
      <c r="AQ332" s="501"/>
      <c r="AR332" s="501"/>
      <c r="AS332" s="501"/>
      <c r="AT332" s="501"/>
      <c r="AU332" s="501"/>
      <c r="AV332" s="501"/>
      <c r="AW332" s="501"/>
      <c r="AX332" s="501"/>
      <c r="AY332" s="501"/>
      <c r="AZ332" s="501"/>
      <c r="BA332" s="501"/>
      <c r="BB332" s="501"/>
      <c r="BC332" s="501"/>
      <c r="BD332" s="501"/>
      <c r="BE332" s="501"/>
      <c r="BF332" s="501"/>
      <c r="BG332" s="501"/>
      <c r="BH332" s="501"/>
      <c r="BI332" s="501"/>
      <c r="BJ332" s="501"/>
      <c r="BK332" s="501"/>
      <c r="BL332" s="501"/>
      <c r="BM332" s="501"/>
      <c r="BN332" s="501"/>
      <c r="BO332" s="501"/>
      <c r="BP332" s="501"/>
      <c r="BQ332" s="501"/>
      <c r="BR332" s="501"/>
      <c r="BS332" s="501"/>
      <c r="BT332" s="501"/>
      <c r="BU332" s="501"/>
      <c r="BV332" s="501"/>
      <c r="BW332" s="501"/>
      <c r="BX332" s="501"/>
      <c r="BY332" s="501"/>
      <c r="BZ332" s="501"/>
      <c r="CA332" s="501"/>
      <c r="CB332" s="501"/>
      <c r="CC332" s="501"/>
      <c r="CD332" s="501"/>
      <c r="CE332" s="501"/>
      <c r="CF332" s="501"/>
      <c r="CG332" s="501"/>
      <c r="CH332" s="501"/>
      <c r="CI332" s="501"/>
      <c r="CJ332" s="501"/>
      <c r="CK332" s="501"/>
      <c r="CL332" s="501"/>
      <c r="CM332" s="501"/>
      <c r="CN332" s="501"/>
      <c r="CO332" s="501"/>
      <c r="CP332" s="501"/>
      <c r="CQ332" s="501"/>
      <c r="CR332" s="501"/>
      <c r="CS332" s="501"/>
      <c r="CT332" s="501"/>
    </row>
    <row r="333">
      <c r="A333" s="569"/>
      <c r="B333" s="569"/>
      <c r="C333" s="569"/>
      <c r="D333" s="498"/>
      <c r="E333" s="499"/>
      <c r="F333" s="499"/>
      <c r="G333" s="766"/>
      <c r="H333" s="766"/>
      <c r="I333" s="766"/>
      <c r="J333" s="766"/>
      <c r="K333" s="683"/>
      <c r="L333" s="683"/>
      <c r="M333" s="683"/>
      <c r="N333" s="683"/>
      <c r="O333" s="683"/>
      <c r="P333" s="683"/>
      <c r="Q333" s="683"/>
      <c r="R333" s="683"/>
      <c r="S333" s="683"/>
      <c r="T333" s="501"/>
      <c r="U333" s="501"/>
      <c r="V333" s="501"/>
      <c r="W333" s="501"/>
      <c r="X333" s="501"/>
      <c r="Y333" s="501"/>
      <c r="Z333" s="501"/>
      <c r="AA333" s="501"/>
      <c r="AB333" s="501"/>
      <c r="AC333" s="501"/>
      <c r="AD333" s="501"/>
      <c r="AE333" s="501"/>
      <c r="AF333" s="501"/>
      <c r="AG333" s="501"/>
      <c r="AH333" s="501"/>
      <c r="AI333" s="501"/>
      <c r="AJ333" s="501"/>
      <c r="AK333" s="501"/>
      <c r="AL333" s="501"/>
      <c r="AM333" s="501"/>
      <c r="AN333" s="501"/>
      <c r="AO333" s="501"/>
      <c r="AP333" s="501"/>
      <c r="AQ333" s="501"/>
      <c r="AR333" s="501"/>
      <c r="AS333" s="501"/>
      <c r="AT333" s="501"/>
      <c r="AU333" s="501"/>
      <c r="AV333" s="501"/>
      <c r="AW333" s="501"/>
      <c r="AX333" s="501"/>
      <c r="AY333" s="501"/>
      <c r="AZ333" s="501"/>
      <c r="BA333" s="501"/>
      <c r="BB333" s="501"/>
      <c r="BC333" s="501"/>
      <c r="BD333" s="501"/>
      <c r="BE333" s="501"/>
      <c r="BF333" s="501"/>
      <c r="BG333" s="501"/>
      <c r="BH333" s="501"/>
      <c r="BI333" s="501"/>
      <c r="BJ333" s="501"/>
      <c r="BK333" s="501"/>
      <c r="BL333" s="501"/>
      <c r="BM333" s="501"/>
      <c r="BN333" s="501"/>
      <c r="BO333" s="501"/>
      <c r="BP333" s="501"/>
      <c r="BQ333" s="501"/>
      <c r="BR333" s="501"/>
      <c r="BS333" s="501"/>
      <c r="BT333" s="501"/>
      <c r="BU333" s="501"/>
      <c r="BV333" s="501"/>
      <c r="BW333" s="501"/>
      <c r="BX333" s="501"/>
      <c r="BY333" s="501"/>
      <c r="BZ333" s="501"/>
      <c r="CA333" s="501"/>
      <c r="CB333" s="501"/>
      <c r="CC333" s="501"/>
      <c r="CD333" s="501"/>
      <c r="CE333" s="501"/>
      <c r="CF333" s="501"/>
      <c r="CG333" s="501"/>
      <c r="CH333" s="501"/>
      <c r="CI333" s="501"/>
      <c r="CJ333" s="501"/>
      <c r="CK333" s="501"/>
      <c r="CL333" s="501"/>
      <c r="CM333" s="501"/>
      <c r="CN333" s="501"/>
      <c r="CO333" s="501"/>
      <c r="CP333" s="501"/>
      <c r="CQ333" s="501"/>
      <c r="CR333" s="501"/>
      <c r="CS333" s="501"/>
      <c r="CT333" s="501"/>
    </row>
    <row r="334">
      <c r="A334" s="569"/>
      <c r="B334" s="569"/>
      <c r="C334" s="569"/>
      <c r="D334" s="498"/>
      <c r="E334" s="499"/>
      <c r="F334" s="499"/>
      <c r="G334" s="766"/>
      <c r="H334" s="766"/>
      <c r="I334" s="766"/>
      <c r="J334" s="766"/>
      <c r="K334" s="683"/>
      <c r="L334" s="683"/>
      <c r="M334" s="683"/>
      <c r="N334" s="683"/>
      <c r="O334" s="683"/>
      <c r="P334" s="683"/>
      <c r="Q334" s="683"/>
      <c r="R334" s="683"/>
      <c r="S334" s="683"/>
      <c r="T334" s="501"/>
      <c r="U334" s="501"/>
      <c r="V334" s="501"/>
      <c r="W334" s="501"/>
      <c r="X334" s="501"/>
      <c r="Y334" s="501"/>
      <c r="Z334" s="501"/>
      <c r="AA334" s="501"/>
      <c r="AB334" s="501"/>
      <c r="AC334" s="501"/>
      <c r="AD334" s="501"/>
      <c r="AE334" s="501"/>
      <c r="AF334" s="501"/>
      <c r="AG334" s="501"/>
      <c r="AH334" s="501"/>
      <c r="AI334" s="501"/>
      <c r="AJ334" s="501"/>
      <c r="AK334" s="501"/>
      <c r="AL334" s="501"/>
      <c r="AM334" s="501"/>
      <c r="AN334" s="501"/>
      <c r="AO334" s="501"/>
      <c r="AP334" s="501"/>
      <c r="AQ334" s="501"/>
      <c r="AR334" s="501"/>
      <c r="AS334" s="501"/>
      <c r="AT334" s="501"/>
      <c r="AU334" s="501"/>
      <c r="AV334" s="501"/>
      <c r="AW334" s="501"/>
      <c r="AX334" s="501"/>
      <c r="AY334" s="501"/>
      <c r="AZ334" s="501"/>
      <c r="BA334" s="501"/>
      <c r="BB334" s="501"/>
      <c r="BC334" s="501"/>
      <c r="BD334" s="501"/>
      <c r="BE334" s="501"/>
      <c r="BF334" s="501"/>
      <c r="BG334" s="501"/>
      <c r="BH334" s="501"/>
      <c r="BI334" s="501"/>
      <c r="BJ334" s="501"/>
      <c r="BK334" s="501"/>
      <c r="BL334" s="501"/>
      <c r="BM334" s="501"/>
      <c r="BN334" s="501"/>
      <c r="BO334" s="501"/>
      <c r="BP334" s="501"/>
      <c r="BQ334" s="501"/>
      <c r="BR334" s="501"/>
      <c r="BS334" s="501"/>
      <c r="BT334" s="501"/>
      <c r="BU334" s="501"/>
      <c r="BV334" s="501"/>
      <c r="BW334" s="501"/>
      <c r="BX334" s="501"/>
      <c r="BY334" s="501"/>
      <c r="BZ334" s="501"/>
      <c r="CA334" s="501"/>
      <c r="CB334" s="501"/>
      <c r="CC334" s="501"/>
      <c r="CD334" s="501"/>
      <c r="CE334" s="501"/>
      <c r="CF334" s="501"/>
      <c r="CG334" s="501"/>
      <c r="CH334" s="501"/>
      <c r="CI334" s="501"/>
      <c r="CJ334" s="501"/>
      <c r="CK334" s="501"/>
      <c r="CL334" s="501"/>
      <c r="CM334" s="501"/>
      <c r="CN334" s="501"/>
      <c r="CO334" s="501"/>
      <c r="CP334" s="501"/>
      <c r="CQ334" s="501"/>
      <c r="CR334" s="501"/>
      <c r="CS334" s="501"/>
      <c r="CT334" s="501"/>
    </row>
    <row r="335">
      <c r="A335" s="569"/>
      <c r="B335" s="569"/>
      <c r="C335" s="569"/>
      <c r="D335" s="498"/>
      <c r="E335" s="499"/>
      <c r="F335" s="499"/>
      <c r="G335" s="766"/>
      <c r="H335" s="766"/>
      <c r="I335" s="766"/>
      <c r="J335" s="766"/>
      <c r="K335" s="683"/>
      <c r="L335" s="683"/>
      <c r="M335" s="683"/>
      <c r="N335" s="683"/>
      <c r="O335" s="683"/>
      <c r="P335" s="683"/>
      <c r="Q335" s="683"/>
      <c r="R335" s="683"/>
      <c r="S335" s="683"/>
      <c r="T335" s="501"/>
      <c r="U335" s="501"/>
      <c r="V335" s="501"/>
      <c r="W335" s="501"/>
      <c r="X335" s="501"/>
      <c r="Y335" s="501"/>
      <c r="Z335" s="501"/>
      <c r="AA335" s="501"/>
      <c r="AB335" s="501"/>
      <c r="AC335" s="501"/>
      <c r="AD335" s="501"/>
      <c r="AE335" s="501"/>
      <c r="AF335" s="501"/>
      <c r="AG335" s="501"/>
      <c r="AH335" s="501"/>
      <c r="AI335" s="501"/>
      <c r="AJ335" s="501"/>
      <c r="AK335" s="501"/>
      <c r="AL335" s="501"/>
      <c r="AM335" s="501"/>
      <c r="AN335" s="501"/>
      <c r="AO335" s="501"/>
      <c r="AP335" s="501"/>
      <c r="AQ335" s="501"/>
      <c r="AR335" s="501"/>
      <c r="AS335" s="501"/>
      <c r="AT335" s="501"/>
      <c r="AU335" s="501"/>
      <c r="AV335" s="501"/>
      <c r="AW335" s="501"/>
      <c r="AX335" s="501"/>
      <c r="AY335" s="501"/>
      <c r="AZ335" s="501"/>
      <c r="BA335" s="501"/>
      <c r="BB335" s="501"/>
      <c r="BC335" s="501"/>
      <c r="BD335" s="501"/>
      <c r="BE335" s="501"/>
      <c r="BF335" s="501"/>
      <c r="BG335" s="501"/>
      <c r="BH335" s="501"/>
      <c r="BI335" s="501"/>
      <c r="BJ335" s="501"/>
      <c r="BK335" s="501"/>
      <c r="BL335" s="501"/>
      <c r="BM335" s="501"/>
      <c r="BN335" s="501"/>
      <c r="BO335" s="501"/>
      <c r="BP335" s="501"/>
      <c r="BQ335" s="501"/>
      <c r="BR335" s="501"/>
      <c r="BS335" s="501"/>
      <c r="BT335" s="501"/>
      <c r="BU335" s="501"/>
      <c r="BV335" s="501"/>
      <c r="BW335" s="501"/>
      <c r="BX335" s="501"/>
      <c r="BY335" s="501"/>
      <c r="BZ335" s="501"/>
      <c r="CA335" s="501"/>
      <c r="CB335" s="501"/>
      <c r="CC335" s="501"/>
      <c r="CD335" s="501"/>
      <c r="CE335" s="501"/>
      <c r="CF335" s="501"/>
      <c r="CG335" s="501"/>
      <c r="CH335" s="501"/>
      <c r="CI335" s="501"/>
      <c r="CJ335" s="501"/>
      <c r="CK335" s="501"/>
      <c r="CL335" s="501"/>
      <c r="CM335" s="501"/>
      <c r="CN335" s="501"/>
      <c r="CO335" s="501"/>
      <c r="CP335" s="501"/>
      <c r="CQ335" s="501"/>
      <c r="CR335" s="501"/>
      <c r="CS335" s="501"/>
      <c r="CT335" s="501"/>
    </row>
    <row r="336">
      <c r="A336" s="569"/>
      <c r="B336" s="569"/>
      <c r="C336" s="569"/>
      <c r="D336" s="498"/>
      <c r="E336" s="499"/>
      <c r="F336" s="499"/>
      <c r="G336" s="766"/>
      <c r="H336" s="766"/>
      <c r="I336" s="766"/>
      <c r="J336" s="766"/>
      <c r="K336" s="683"/>
      <c r="L336" s="683"/>
      <c r="M336" s="683"/>
      <c r="N336" s="683"/>
      <c r="O336" s="683"/>
      <c r="P336" s="683"/>
      <c r="Q336" s="683"/>
      <c r="R336" s="683"/>
      <c r="S336" s="683"/>
      <c r="T336" s="501"/>
      <c r="U336" s="501"/>
      <c r="V336" s="501"/>
      <c r="W336" s="501"/>
      <c r="X336" s="501"/>
      <c r="Y336" s="501"/>
      <c r="Z336" s="501"/>
      <c r="AA336" s="501"/>
      <c r="AB336" s="501"/>
      <c r="AC336" s="501"/>
      <c r="AD336" s="501"/>
      <c r="AE336" s="501"/>
      <c r="AF336" s="501"/>
      <c r="AG336" s="501"/>
      <c r="AH336" s="501"/>
      <c r="AI336" s="501"/>
      <c r="AJ336" s="501"/>
      <c r="AK336" s="501"/>
      <c r="AL336" s="501"/>
      <c r="AM336" s="501"/>
      <c r="AN336" s="501"/>
      <c r="AO336" s="501"/>
      <c r="AP336" s="501"/>
      <c r="AQ336" s="501"/>
      <c r="AR336" s="501"/>
      <c r="AS336" s="501"/>
      <c r="AT336" s="501"/>
      <c r="AU336" s="501"/>
      <c r="AV336" s="501"/>
      <c r="AW336" s="501"/>
      <c r="AX336" s="501"/>
      <c r="AY336" s="501"/>
      <c r="AZ336" s="501"/>
      <c r="BA336" s="501"/>
      <c r="BB336" s="501"/>
      <c r="BC336" s="501"/>
      <c r="BD336" s="501"/>
      <c r="BE336" s="501"/>
      <c r="BF336" s="501"/>
      <c r="BG336" s="501"/>
      <c r="BH336" s="501"/>
      <c r="BI336" s="501"/>
      <c r="BJ336" s="501"/>
      <c r="BK336" s="501"/>
      <c r="BL336" s="501"/>
      <c r="BM336" s="501"/>
      <c r="BN336" s="501"/>
      <c r="BO336" s="501"/>
      <c r="BP336" s="501"/>
      <c r="BQ336" s="501"/>
      <c r="BR336" s="501"/>
      <c r="BS336" s="501"/>
      <c r="BT336" s="501"/>
      <c r="BU336" s="501"/>
      <c r="BV336" s="501"/>
      <c r="BW336" s="501"/>
      <c r="BX336" s="501"/>
      <c r="BY336" s="501"/>
      <c r="BZ336" s="501"/>
      <c r="CA336" s="501"/>
      <c r="CB336" s="501"/>
      <c r="CC336" s="501"/>
      <c r="CD336" s="501"/>
      <c r="CE336" s="501"/>
      <c r="CF336" s="501"/>
      <c r="CG336" s="501"/>
      <c r="CH336" s="501"/>
      <c r="CI336" s="501"/>
      <c r="CJ336" s="501"/>
      <c r="CK336" s="501"/>
      <c r="CL336" s="501"/>
      <c r="CM336" s="501"/>
      <c r="CN336" s="501"/>
      <c r="CO336" s="501"/>
      <c r="CP336" s="501"/>
      <c r="CQ336" s="501"/>
      <c r="CR336" s="501"/>
      <c r="CS336" s="501"/>
      <c r="CT336" s="501"/>
    </row>
    <row r="337">
      <c r="A337" s="569"/>
      <c r="B337" s="569"/>
      <c r="C337" s="569"/>
      <c r="D337" s="498"/>
      <c r="E337" s="499"/>
      <c r="F337" s="499"/>
      <c r="G337" s="766"/>
      <c r="H337" s="766"/>
      <c r="I337" s="766"/>
      <c r="J337" s="766"/>
      <c r="K337" s="683"/>
      <c r="L337" s="683"/>
      <c r="M337" s="683"/>
      <c r="N337" s="683"/>
      <c r="O337" s="683"/>
      <c r="P337" s="683"/>
      <c r="Q337" s="683"/>
      <c r="R337" s="683"/>
      <c r="S337" s="683"/>
      <c r="T337" s="501"/>
      <c r="U337" s="501"/>
      <c r="V337" s="501"/>
      <c r="W337" s="501"/>
      <c r="X337" s="501"/>
      <c r="Y337" s="501"/>
      <c r="Z337" s="501"/>
      <c r="AA337" s="501"/>
      <c r="AB337" s="501"/>
      <c r="AC337" s="501"/>
      <c r="AD337" s="501"/>
      <c r="AE337" s="501"/>
      <c r="AF337" s="501"/>
      <c r="AG337" s="501"/>
      <c r="AH337" s="501"/>
      <c r="AI337" s="501"/>
      <c r="AJ337" s="501"/>
      <c r="AK337" s="501"/>
      <c r="AL337" s="501"/>
      <c r="AM337" s="501"/>
      <c r="AN337" s="501"/>
      <c r="AO337" s="501"/>
      <c r="AP337" s="501"/>
      <c r="AQ337" s="501"/>
      <c r="AR337" s="501"/>
      <c r="AS337" s="501"/>
      <c r="AT337" s="501"/>
      <c r="AU337" s="501"/>
      <c r="AV337" s="501"/>
      <c r="AW337" s="501"/>
      <c r="AX337" s="501"/>
      <c r="AY337" s="501"/>
      <c r="AZ337" s="501"/>
      <c r="BA337" s="501"/>
      <c r="BB337" s="501"/>
      <c r="BC337" s="501"/>
      <c r="BD337" s="501"/>
      <c r="BE337" s="501"/>
      <c r="BF337" s="501"/>
      <c r="BG337" s="501"/>
      <c r="BH337" s="501"/>
      <c r="BI337" s="501"/>
      <c r="BJ337" s="501"/>
      <c r="BK337" s="501"/>
      <c r="BL337" s="501"/>
      <c r="BM337" s="501"/>
      <c r="BN337" s="501"/>
      <c r="BO337" s="501"/>
      <c r="BP337" s="501"/>
      <c r="BQ337" s="501"/>
      <c r="BR337" s="501"/>
      <c r="BS337" s="501"/>
      <c r="BT337" s="501"/>
      <c r="BU337" s="501"/>
      <c r="BV337" s="501"/>
      <c r="BW337" s="501"/>
      <c r="BX337" s="501"/>
      <c r="BY337" s="501"/>
      <c r="BZ337" s="501"/>
      <c r="CA337" s="501"/>
      <c r="CB337" s="501"/>
      <c r="CC337" s="501"/>
      <c r="CD337" s="501"/>
      <c r="CE337" s="501"/>
      <c r="CF337" s="501"/>
      <c r="CG337" s="501"/>
      <c r="CH337" s="501"/>
      <c r="CI337" s="501"/>
      <c r="CJ337" s="501"/>
      <c r="CK337" s="501"/>
      <c r="CL337" s="501"/>
      <c r="CM337" s="501"/>
      <c r="CN337" s="501"/>
      <c r="CO337" s="501"/>
      <c r="CP337" s="501"/>
      <c r="CQ337" s="501"/>
      <c r="CR337" s="501"/>
      <c r="CS337" s="501"/>
      <c r="CT337" s="501"/>
    </row>
    <row r="338">
      <c r="A338" s="569"/>
      <c r="B338" s="569"/>
      <c r="C338" s="569"/>
      <c r="D338" s="498"/>
      <c r="E338" s="499"/>
      <c r="F338" s="499"/>
      <c r="G338" s="766"/>
      <c r="H338" s="766"/>
      <c r="I338" s="766"/>
      <c r="J338" s="766"/>
      <c r="K338" s="683"/>
      <c r="L338" s="683"/>
      <c r="M338" s="683"/>
      <c r="N338" s="683"/>
      <c r="O338" s="683"/>
      <c r="P338" s="683"/>
      <c r="Q338" s="683"/>
      <c r="R338" s="683"/>
      <c r="S338" s="683"/>
      <c r="T338" s="501"/>
      <c r="U338" s="501"/>
      <c r="V338" s="501"/>
      <c r="W338" s="501"/>
      <c r="X338" s="501"/>
      <c r="Y338" s="501"/>
      <c r="Z338" s="501"/>
      <c r="AA338" s="501"/>
      <c r="AB338" s="501"/>
      <c r="AC338" s="501"/>
      <c r="AD338" s="501"/>
      <c r="AE338" s="501"/>
      <c r="AF338" s="501"/>
      <c r="AG338" s="501"/>
      <c r="AH338" s="501"/>
      <c r="AI338" s="501"/>
      <c r="AJ338" s="501"/>
      <c r="AK338" s="501"/>
      <c r="AL338" s="501"/>
      <c r="AM338" s="501"/>
      <c r="AN338" s="501"/>
      <c r="AO338" s="501"/>
      <c r="AP338" s="501"/>
      <c r="AQ338" s="501"/>
      <c r="AR338" s="501"/>
      <c r="AS338" s="501"/>
      <c r="AT338" s="501"/>
      <c r="AU338" s="501"/>
      <c r="AV338" s="501"/>
      <c r="AW338" s="501"/>
      <c r="AX338" s="501"/>
      <c r="AY338" s="501"/>
      <c r="AZ338" s="501"/>
      <c r="BA338" s="501"/>
      <c r="BB338" s="501"/>
      <c r="BC338" s="501"/>
      <c r="BD338" s="501"/>
      <c r="BE338" s="501"/>
      <c r="BF338" s="501"/>
      <c r="BG338" s="501"/>
      <c r="BH338" s="501"/>
      <c r="BI338" s="501"/>
      <c r="BJ338" s="501"/>
      <c r="BK338" s="501"/>
      <c r="BL338" s="501"/>
      <c r="BM338" s="501"/>
      <c r="BN338" s="501"/>
      <c r="BO338" s="501"/>
      <c r="BP338" s="501"/>
      <c r="BQ338" s="501"/>
      <c r="BR338" s="501"/>
      <c r="BS338" s="501"/>
      <c r="BT338" s="501"/>
      <c r="BU338" s="501"/>
      <c r="BV338" s="501"/>
      <c r="BW338" s="501"/>
      <c r="BX338" s="501"/>
      <c r="BY338" s="501"/>
      <c r="BZ338" s="501"/>
      <c r="CA338" s="501"/>
      <c r="CB338" s="501"/>
      <c r="CC338" s="501"/>
      <c r="CD338" s="501"/>
      <c r="CE338" s="501"/>
      <c r="CF338" s="501"/>
      <c r="CG338" s="501"/>
      <c r="CH338" s="501"/>
      <c r="CI338" s="501"/>
      <c r="CJ338" s="501"/>
      <c r="CK338" s="501"/>
      <c r="CL338" s="501"/>
      <c r="CM338" s="501"/>
      <c r="CN338" s="501"/>
      <c r="CO338" s="501"/>
      <c r="CP338" s="501"/>
      <c r="CQ338" s="501"/>
      <c r="CR338" s="501"/>
      <c r="CS338" s="501"/>
      <c r="CT338" s="501"/>
    </row>
    <row r="339">
      <c r="A339" s="569"/>
      <c r="B339" s="569"/>
      <c r="C339" s="569"/>
      <c r="D339" s="498"/>
      <c r="E339" s="499"/>
      <c r="F339" s="499"/>
      <c r="G339" s="766"/>
      <c r="H339" s="766"/>
      <c r="I339" s="766"/>
      <c r="J339" s="766"/>
      <c r="K339" s="683"/>
      <c r="L339" s="683"/>
      <c r="M339" s="683"/>
      <c r="N339" s="683"/>
      <c r="O339" s="683"/>
      <c r="P339" s="683"/>
      <c r="Q339" s="683"/>
      <c r="R339" s="683"/>
      <c r="S339" s="683"/>
      <c r="T339" s="501"/>
      <c r="U339" s="501"/>
      <c r="V339" s="501"/>
      <c r="W339" s="501"/>
      <c r="X339" s="501"/>
      <c r="Y339" s="501"/>
      <c r="Z339" s="501"/>
      <c r="AA339" s="501"/>
      <c r="AB339" s="501"/>
      <c r="AC339" s="501"/>
      <c r="AD339" s="501"/>
      <c r="AE339" s="501"/>
      <c r="AF339" s="501"/>
      <c r="AG339" s="501"/>
      <c r="AH339" s="501"/>
      <c r="AI339" s="501"/>
      <c r="AJ339" s="501"/>
      <c r="AK339" s="501"/>
      <c r="AL339" s="501"/>
      <c r="AM339" s="501"/>
      <c r="AN339" s="501"/>
      <c r="AO339" s="501"/>
      <c r="AP339" s="501"/>
      <c r="AQ339" s="501"/>
      <c r="AR339" s="501"/>
      <c r="AS339" s="501"/>
      <c r="AT339" s="501"/>
      <c r="AU339" s="501"/>
      <c r="AV339" s="501"/>
      <c r="AW339" s="501"/>
      <c r="AX339" s="501"/>
      <c r="AY339" s="501"/>
      <c r="AZ339" s="501"/>
      <c r="BA339" s="501"/>
      <c r="BB339" s="501"/>
      <c r="BC339" s="501"/>
      <c r="BD339" s="501"/>
      <c r="BE339" s="501"/>
      <c r="BF339" s="501"/>
      <c r="BG339" s="501"/>
      <c r="BH339" s="501"/>
      <c r="BI339" s="501"/>
      <c r="BJ339" s="501"/>
      <c r="BK339" s="501"/>
      <c r="BL339" s="501"/>
      <c r="BM339" s="501"/>
      <c r="BN339" s="501"/>
      <c r="BO339" s="501"/>
      <c r="BP339" s="501"/>
      <c r="BQ339" s="501"/>
      <c r="BR339" s="501"/>
      <c r="BS339" s="501"/>
      <c r="BT339" s="501"/>
      <c r="BU339" s="501"/>
      <c r="BV339" s="501"/>
      <c r="BW339" s="501"/>
      <c r="BX339" s="501"/>
      <c r="BY339" s="501"/>
      <c r="BZ339" s="501"/>
      <c r="CA339" s="501"/>
      <c r="CB339" s="501"/>
      <c r="CC339" s="501"/>
      <c r="CD339" s="501"/>
      <c r="CE339" s="501"/>
      <c r="CF339" s="501"/>
      <c r="CG339" s="501"/>
      <c r="CH339" s="501"/>
      <c r="CI339" s="501"/>
      <c r="CJ339" s="501"/>
      <c r="CK339" s="501"/>
      <c r="CL339" s="501"/>
      <c r="CM339" s="501"/>
      <c r="CN339" s="501"/>
      <c r="CO339" s="501"/>
      <c r="CP339" s="501"/>
      <c r="CQ339" s="501"/>
      <c r="CR339" s="501"/>
      <c r="CS339" s="501"/>
      <c r="CT339" s="501"/>
    </row>
    <row r="340">
      <c r="A340" s="569"/>
      <c r="B340" s="569"/>
      <c r="C340" s="569"/>
      <c r="D340" s="498"/>
      <c r="E340" s="499"/>
      <c r="F340" s="499"/>
      <c r="G340" s="766"/>
      <c r="H340" s="766"/>
      <c r="I340" s="766"/>
      <c r="J340" s="766"/>
      <c r="K340" s="683"/>
      <c r="L340" s="683"/>
      <c r="M340" s="683"/>
      <c r="N340" s="683"/>
      <c r="O340" s="683"/>
      <c r="P340" s="683"/>
      <c r="Q340" s="683"/>
      <c r="R340" s="683"/>
      <c r="S340" s="683"/>
      <c r="T340" s="501"/>
      <c r="U340" s="501"/>
      <c r="V340" s="501"/>
      <c r="W340" s="501"/>
      <c r="X340" s="501"/>
      <c r="Y340" s="501"/>
      <c r="Z340" s="501"/>
      <c r="AA340" s="501"/>
      <c r="AB340" s="501"/>
      <c r="AC340" s="501"/>
      <c r="AD340" s="501"/>
      <c r="AE340" s="501"/>
      <c r="AF340" s="501"/>
      <c r="AG340" s="501"/>
      <c r="AH340" s="501"/>
      <c r="AI340" s="501"/>
      <c r="AJ340" s="501"/>
      <c r="AK340" s="501"/>
      <c r="AL340" s="501"/>
      <c r="AM340" s="501"/>
      <c r="AN340" s="501"/>
      <c r="AO340" s="501"/>
      <c r="AP340" s="501"/>
      <c r="AQ340" s="501"/>
      <c r="AR340" s="501"/>
      <c r="AS340" s="501"/>
      <c r="AT340" s="501"/>
      <c r="AU340" s="501"/>
      <c r="AV340" s="501"/>
      <c r="AW340" s="501"/>
      <c r="AX340" s="501"/>
      <c r="AY340" s="501"/>
      <c r="AZ340" s="501"/>
      <c r="BA340" s="501"/>
      <c r="BB340" s="501"/>
      <c r="BC340" s="501"/>
      <c r="BD340" s="501"/>
      <c r="BE340" s="501"/>
      <c r="BF340" s="501"/>
      <c r="BG340" s="501"/>
      <c r="BH340" s="501"/>
      <c r="BI340" s="501"/>
      <c r="BJ340" s="501"/>
      <c r="BK340" s="501"/>
      <c r="BL340" s="501"/>
      <c r="BM340" s="501"/>
      <c r="BN340" s="501"/>
      <c r="BO340" s="501"/>
      <c r="BP340" s="501"/>
      <c r="BQ340" s="501"/>
      <c r="BR340" s="501"/>
      <c r="BS340" s="501"/>
      <c r="BT340" s="501"/>
      <c r="BU340" s="501"/>
      <c r="BV340" s="501"/>
      <c r="BW340" s="501"/>
      <c r="BX340" s="501"/>
      <c r="BY340" s="501"/>
      <c r="BZ340" s="501"/>
      <c r="CA340" s="501"/>
      <c r="CB340" s="501"/>
      <c r="CC340" s="501"/>
      <c r="CD340" s="501"/>
      <c r="CE340" s="501"/>
      <c r="CF340" s="501"/>
      <c r="CG340" s="501"/>
      <c r="CH340" s="501"/>
      <c r="CI340" s="501"/>
      <c r="CJ340" s="501"/>
      <c r="CK340" s="501"/>
      <c r="CL340" s="501"/>
      <c r="CM340" s="501"/>
      <c r="CN340" s="501"/>
      <c r="CO340" s="501"/>
      <c r="CP340" s="501"/>
      <c r="CQ340" s="501"/>
      <c r="CR340" s="501"/>
      <c r="CS340" s="501"/>
      <c r="CT340" s="501"/>
    </row>
    <row r="341">
      <c r="A341" s="569"/>
      <c r="B341" s="569"/>
      <c r="C341" s="569"/>
      <c r="D341" s="498"/>
      <c r="E341" s="499"/>
      <c r="F341" s="499"/>
      <c r="G341" s="766"/>
      <c r="H341" s="766"/>
      <c r="I341" s="766"/>
      <c r="J341" s="766"/>
      <c r="K341" s="683"/>
      <c r="L341" s="683"/>
      <c r="M341" s="683"/>
      <c r="N341" s="683"/>
      <c r="O341" s="683"/>
      <c r="P341" s="683"/>
      <c r="Q341" s="683"/>
      <c r="R341" s="683"/>
      <c r="S341" s="683"/>
      <c r="T341" s="501"/>
      <c r="U341" s="501"/>
      <c r="V341" s="501"/>
      <c r="W341" s="501"/>
      <c r="X341" s="501"/>
      <c r="Y341" s="501"/>
      <c r="Z341" s="501"/>
      <c r="AA341" s="501"/>
      <c r="AB341" s="501"/>
      <c r="AC341" s="501"/>
      <c r="AD341" s="501"/>
      <c r="AE341" s="501"/>
      <c r="AF341" s="501"/>
      <c r="AG341" s="501"/>
      <c r="AH341" s="501"/>
      <c r="AI341" s="501"/>
      <c r="AJ341" s="501"/>
      <c r="AK341" s="501"/>
      <c r="AL341" s="501"/>
      <c r="AM341" s="501"/>
      <c r="AN341" s="501"/>
      <c r="AO341" s="501"/>
      <c r="AP341" s="501"/>
      <c r="AQ341" s="501"/>
      <c r="AR341" s="501"/>
      <c r="AS341" s="501"/>
      <c r="AT341" s="501"/>
      <c r="AU341" s="501"/>
      <c r="AV341" s="501"/>
      <c r="AW341" s="501"/>
      <c r="AX341" s="501"/>
      <c r="AY341" s="501"/>
      <c r="AZ341" s="501"/>
      <c r="BA341" s="501"/>
      <c r="BB341" s="501"/>
      <c r="BC341" s="501"/>
      <c r="BD341" s="501"/>
      <c r="BE341" s="501"/>
      <c r="BF341" s="501"/>
      <c r="BG341" s="501"/>
      <c r="BH341" s="501"/>
      <c r="BI341" s="501"/>
      <c r="BJ341" s="501"/>
      <c r="BK341" s="501"/>
      <c r="BL341" s="501"/>
      <c r="BM341" s="501"/>
      <c r="BN341" s="501"/>
      <c r="BO341" s="501"/>
      <c r="BP341" s="501"/>
      <c r="BQ341" s="501"/>
      <c r="BR341" s="501"/>
      <c r="BS341" s="501"/>
      <c r="BT341" s="501"/>
      <c r="BU341" s="501"/>
      <c r="BV341" s="501"/>
      <c r="BW341" s="501"/>
      <c r="BX341" s="501"/>
      <c r="BY341" s="501"/>
      <c r="BZ341" s="501"/>
      <c r="CA341" s="501"/>
      <c r="CB341" s="501"/>
      <c r="CC341" s="501"/>
      <c r="CD341" s="501"/>
      <c r="CE341" s="501"/>
      <c r="CF341" s="501"/>
      <c r="CG341" s="501"/>
      <c r="CH341" s="501"/>
      <c r="CI341" s="501"/>
      <c r="CJ341" s="501"/>
      <c r="CK341" s="501"/>
      <c r="CL341" s="501"/>
      <c r="CM341" s="501"/>
      <c r="CN341" s="501"/>
      <c r="CO341" s="501"/>
      <c r="CP341" s="501"/>
      <c r="CQ341" s="501"/>
      <c r="CR341" s="501"/>
      <c r="CS341" s="501"/>
      <c r="CT341" s="501"/>
    </row>
    <row r="342">
      <c r="A342" s="569"/>
      <c r="B342" s="569"/>
      <c r="C342" s="569"/>
      <c r="D342" s="498"/>
      <c r="E342" s="499"/>
      <c r="F342" s="499"/>
      <c r="G342" s="766"/>
      <c r="H342" s="766"/>
      <c r="I342" s="766"/>
      <c r="J342" s="766"/>
      <c r="K342" s="683"/>
      <c r="L342" s="683"/>
      <c r="M342" s="683"/>
      <c r="N342" s="683"/>
      <c r="O342" s="683"/>
      <c r="P342" s="683"/>
      <c r="Q342" s="683"/>
      <c r="R342" s="683"/>
      <c r="S342" s="683"/>
      <c r="T342" s="501"/>
      <c r="U342" s="501"/>
      <c r="V342" s="501"/>
      <c r="W342" s="501"/>
      <c r="X342" s="501"/>
      <c r="Y342" s="501"/>
      <c r="Z342" s="501"/>
      <c r="AA342" s="501"/>
      <c r="AB342" s="501"/>
      <c r="AC342" s="501"/>
      <c r="AD342" s="501"/>
      <c r="AE342" s="501"/>
      <c r="AF342" s="501"/>
      <c r="AG342" s="501"/>
      <c r="AH342" s="501"/>
      <c r="AI342" s="501"/>
      <c r="AJ342" s="501"/>
      <c r="AK342" s="501"/>
      <c r="AL342" s="501"/>
      <c r="AM342" s="501"/>
      <c r="AN342" s="501"/>
      <c r="AO342" s="501"/>
      <c r="AP342" s="501"/>
      <c r="AQ342" s="501"/>
      <c r="AR342" s="501"/>
      <c r="AS342" s="501"/>
      <c r="AT342" s="501"/>
      <c r="AU342" s="501"/>
      <c r="AV342" s="501"/>
      <c r="AW342" s="501"/>
      <c r="AX342" s="501"/>
      <c r="AY342" s="501"/>
      <c r="AZ342" s="501"/>
      <c r="BA342" s="501"/>
      <c r="BB342" s="501"/>
      <c r="BC342" s="501"/>
      <c r="BD342" s="501"/>
      <c r="BE342" s="501"/>
      <c r="BF342" s="501"/>
      <c r="BG342" s="501"/>
      <c r="BH342" s="501"/>
      <c r="BI342" s="501"/>
      <c r="BJ342" s="501"/>
      <c r="BK342" s="501"/>
      <c r="BL342" s="501"/>
      <c r="BM342" s="501"/>
      <c r="BN342" s="501"/>
      <c r="BO342" s="501"/>
      <c r="BP342" s="501"/>
      <c r="BQ342" s="501"/>
      <c r="BR342" s="501"/>
      <c r="BS342" s="501"/>
      <c r="BT342" s="501"/>
      <c r="BU342" s="501"/>
      <c r="BV342" s="501"/>
      <c r="BW342" s="501"/>
      <c r="BX342" s="501"/>
      <c r="BY342" s="501"/>
      <c r="BZ342" s="501"/>
      <c r="CA342" s="501"/>
      <c r="CB342" s="501"/>
      <c r="CC342" s="501"/>
      <c r="CD342" s="501"/>
      <c r="CE342" s="501"/>
      <c r="CF342" s="501"/>
      <c r="CG342" s="501"/>
      <c r="CH342" s="501"/>
      <c r="CI342" s="501"/>
      <c r="CJ342" s="501"/>
      <c r="CK342" s="501"/>
      <c r="CL342" s="501"/>
      <c r="CM342" s="501"/>
      <c r="CN342" s="501"/>
      <c r="CO342" s="501"/>
      <c r="CP342" s="501"/>
      <c r="CQ342" s="501"/>
      <c r="CR342" s="501"/>
      <c r="CS342" s="501"/>
      <c r="CT342" s="501"/>
    </row>
    <row r="343">
      <c r="A343" s="569"/>
      <c r="B343" s="569"/>
      <c r="C343" s="569"/>
      <c r="D343" s="498"/>
      <c r="E343" s="499"/>
      <c r="F343" s="499"/>
      <c r="G343" s="766"/>
      <c r="H343" s="766"/>
      <c r="I343" s="766"/>
      <c r="J343" s="766"/>
      <c r="K343" s="683"/>
      <c r="L343" s="683"/>
      <c r="M343" s="683"/>
      <c r="N343" s="683"/>
      <c r="O343" s="683"/>
      <c r="P343" s="683"/>
      <c r="Q343" s="683"/>
      <c r="R343" s="683"/>
      <c r="S343" s="683"/>
      <c r="T343" s="501"/>
      <c r="U343" s="501"/>
      <c r="V343" s="501"/>
      <c r="W343" s="501"/>
      <c r="X343" s="501"/>
      <c r="Y343" s="501"/>
      <c r="Z343" s="501"/>
      <c r="AA343" s="501"/>
      <c r="AB343" s="501"/>
      <c r="AC343" s="501"/>
      <c r="AD343" s="501"/>
      <c r="AE343" s="501"/>
      <c r="AF343" s="501"/>
      <c r="AG343" s="501"/>
      <c r="AH343" s="501"/>
      <c r="AI343" s="501"/>
      <c r="AJ343" s="501"/>
      <c r="AK343" s="501"/>
      <c r="AL343" s="501"/>
      <c r="AM343" s="501"/>
      <c r="AN343" s="501"/>
      <c r="AO343" s="501"/>
      <c r="AP343" s="501"/>
      <c r="AQ343" s="501"/>
      <c r="AR343" s="501"/>
      <c r="AS343" s="501"/>
      <c r="AT343" s="501"/>
      <c r="AU343" s="501"/>
      <c r="AV343" s="501"/>
      <c r="AW343" s="501"/>
      <c r="AX343" s="501"/>
      <c r="AY343" s="501"/>
      <c r="AZ343" s="501"/>
      <c r="BA343" s="501"/>
      <c r="BB343" s="501"/>
      <c r="BC343" s="501"/>
      <c r="BD343" s="501"/>
      <c r="BE343" s="501"/>
      <c r="BF343" s="501"/>
      <c r="BG343" s="501"/>
      <c r="BH343" s="501"/>
      <c r="BI343" s="501"/>
      <c r="BJ343" s="501"/>
      <c r="BK343" s="501"/>
      <c r="BL343" s="501"/>
      <c r="BM343" s="501"/>
      <c r="BN343" s="501"/>
      <c r="BO343" s="501"/>
      <c r="BP343" s="501"/>
      <c r="BQ343" s="501"/>
      <c r="BR343" s="501"/>
      <c r="BS343" s="501"/>
      <c r="BT343" s="501"/>
      <c r="BU343" s="501"/>
      <c r="BV343" s="501"/>
      <c r="BW343" s="501"/>
      <c r="BX343" s="501"/>
      <c r="BY343" s="501"/>
      <c r="BZ343" s="501"/>
      <c r="CA343" s="501"/>
      <c r="CB343" s="501"/>
      <c r="CC343" s="501"/>
      <c r="CD343" s="501"/>
      <c r="CE343" s="501"/>
      <c r="CF343" s="501"/>
      <c r="CG343" s="501"/>
      <c r="CH343" s="501"/>
      <c r="CI343" s="501"/>
      <c r="CJ343" s="501"/>
      <c r="CK343" s="501"/>
      <c r="CL343" s="501"/>
      <c r="CM343" s="501"/>
      <c r="CN343" s="501"/>
      <c r="CO343" s="501"/>
      <c r="CP343" s="501"/>
      <c r="CQ343" s="501"/>
      <c r="CR343" s="501"/>
      <c r="CS343" s="501"/>
      <c r="CT343" s="501"/>
    </row>
    <row r="344">
      <c r="A344" s="569"/>
      <c r="B344" s="569"/>
      <c r="C344" s="569"/>
      <c r="D344" s="498"/>
      <c r="E344" s="499"/>
      <c r="F344" s="499"/>
      <c r="G344" s="766"/>
      <c r="H344" s="766"/>
      <c r="I344" s="766"/>
      <c r="J344" s="766"/>
      <c r="K344" s="683"/>
      <c r="L344" s="683"/>
      <c r="M344" s="683"/>
      <c r="N344" s="683"/>
      <c r="O344" s="683"/>
      <c r="P344" s="683"/>
      <c r="Q344" s="683"/>
      <c r="R344" s="683"/>
      <c r="S344" s="683"/>
      <c r="T344" s="501"/>
      <c r="U344" s="501"/>
      <c r="V344" s="501"/>
      <c r="W344" s="501"/>
      <c r="X344" s="501"/>
      <c r="Y344" s="501"/>
      <c r="Z344" s="501"/>
      <c r="AA344" s="501"/>
      <c r="AB344" s="501"/>
      <c r="AC344" s="501"/>
      <c r="AD344" s="501"/>
      <c r="AE344" s="501"/>
      <c r="AF344" s="501"/>
      <c r="AG344" s="501"/>
      <c r="AH344" s="501"/>
      <c r="AI344" s="501"/>
      <c r="AJ344" s="501"/>
      <c r="AK344" s="501"/>
      <c r="AL344" s="501"/>
      <c r="AM344" s="501"/>
      <c r="AN344" s="501"/>
      <c r="AO344" s="501"/>
      <c r="AP344" s="501"/>
      <c r="AQ344" s="501"/>
      <c r="AR344" s="501"/>
      <c r="AS344" s="501"/>
      <c r="AT344" s="501"/>
      <c r="AU344" s="501"/>
      <c r="AV344" s="501"/>
      <c r="AW344" s="501"/>
      <c r="AX344" s="501"/>
      <c r="AY344" s="501"/>
      <c r="AZ344" s="501"/>
      <c r="BA344" s="501"/>
      <c r="BB344" s="501"/>
      <c r="BC344" s="501"/>
      <c r="BD344" s="501"/>
      <c r="BE344" s="501"/>
      <c r="BF344" s="501"/>
      <c r="BG344" s="501"/>
      <c r="BH344" s="501"/>
      <c r="BI344" s="501"/>
      <c r="BJ344" s="501"/>
      <c r="BK344" s="501"/>
      <c r="BL344" s="501"/>
      <c r="BM344" s="501"/>
      <c r="BN344" s="501"/>
      <c r="BO344" s="501"/>
      <c r="BP344" s="501"/>
      <c r="BQ344" s="501"/>
      <c r="BR344" s="501"/>
      <c r="BS344" s="501"/>
      <c r="BT344" s="501"/>
      <c r="BU344" s="501"/>
      <c r="BV344" s="501"/>
      <c r="BW344" s="501"/>
      <c r="BX344" s="501"/>
      <c r="BY344" s="501"/>
      <c r="BZ344" s="501"/>
      <c r="CA344" s="501"/>
      <c r="CB344" s="501"/>
      <c r="CC344" s="501"/>
      <c r="CD344" s="501"/>
      <c r="CE344" s="501"/>
      <c r="CF344" s="501"/>
      <c r="CG344" s="501"/>
      <c r="CH344" s="501"/>
      <c r="CI344" s="501"/>
      <c r="CJ344" s="501"/>
      <c r="CK344" s="501"/>
      <c r="CL344" s="501"/>
      <c r="CM344" s="501"/>
      <c r="CN344" s="501"/>
      <c r="CO344" s="501"/>
      <c r="CP344" s="501"/>
      <c r="CQ344" s="501"/>
      <c r="CR344" s="501"/>
      <c r="CS344" s="501"/>
      <c r="CT344" s="501"/>
    </row>
    <row r="345">
      <c r="A345" s="569"/>
      <c r="B345" s="569"/>
      <c r="C345" s="569"/>
      <c r="D345" s="498"/>
      <c r="E345" s="499"/>
      <c r="F345" s="499"/>
      <c r="G345" s="766"/>
      <c r="H345" s="766"/>
      <c r="I345" s="766"/>
      <c r="J345" s="766"/>
      <c r="K345" s="683"/>
      <c r="L345" s="683"/>
      <c r="M345" s="683"/>
      <c r="N345" s="683"/>
      <c r="O345" s="683"/>
      <c r="P345" s="683"/>
      <c r="Q345" s="683"/>
      <c r="R345" s="683"/>
      <c r="S345" s="683"/>
      <c r="T345" s="501"/>
      <c r="U345" s="501"/>
      <c r="V345" s="501"/>
      <c r="W345" s="501"/>
      <c r="X345" s="501"/>
      <c r="Y345" s="501"/>
      <c r="Z345" s="501"/>
      <c r="AA345" s="501"/>
      <c r="AB345" s="501"/>
      <c r="AC345" s="501"/>
      <c r="AD345" s="501"/>
      <c r="AE345" s="501"/>
      <c r="AF345" s="501"/>
      <c r="AG345" s="501"/>
      <c r="AH345" s="501"/>
      <c r="AI345" s="501"/>
      <c r="AJ345" s="501"/>
      <c r="AK345" s="501"/>
      <c r="AL345" s="501"/>
      <c r="AM345" s="501"/>
      <c r="AN345" s="501"/>
      <c r="AO345" s="501"/>
      <c r="AP345" s="501"/>
      <c r="AQ345" s="501"/>
      <c r="AR345" s="501"/>
      <c r="AS345" s="501"/>
      <c r="AT345" s="501"/>
      <c r="AU345" s="501"/>
      <c r="AV345" s="501"/>
      <c r="AW345" s="501"/>
      <c r="AX345" s="501"/>
      <c r="AY345" s="501"/>
      <c r="AZ345" s="501"/>
      <c r="BA345" s="501"/>
      <c r="BB345" s="501"/>
      <c r="BC345" s="501"/>
      <c r="BD345" s="501"/>
      <c r="BE345" s="501"/>
      <c r="BF345" s="501"/>
      <c r="BG345" s="501"/>
      <c r="BH345" s="501"/>
      <c r="BI345" s="501"/>
      <c r="BJ345" s="501"/>
      <c r="BK345" s="501"/>
      <c r="BL345" s="501"/>
      <c r="BM345" s="501"/>
      <c r="BN345" s="501"/>
      <c r="BO345" s="501"/>
      <c r="BP345" s="501"/>
      <c r="BQ345" s="501"/>
      <c r="BR345" s="501"/>
      <c r="BS345" s="501"/>
      <c r="BT345" s="501"/>
      <c r="BU345" s="501"/>
      <c r="BV345" s="501"/>
      <c r="BW345" s="501"/>
      <c r="BX345" s="501"/>
      <c r="BY345" s="501"/>
      <c r="BZ345" s="501"/>
      <c r="CA345" s="501"/>
      <c r="CB345" s="501"/>
      <c r="CC345" s="501"/>
      <c r="CD345" s="501"/>
      <c r="CE345" s="501"/>
      <c r="CF345" s="501"/>
      <c r="CG345" s="501"/>
      <c r="CH345" s="501"/>
      <c r="CI345" s="501"/>
      <c r="CJ345" s="501"/>
      <c r="CK345" s="501"/>
      <c r="CL345" s="501"/>
      <c r="CM345" s="501"/>
      <c r="CN345" s="501"/>
      <c r="CO345" s="501"/>
      <c r="CP345" s="501"/>
      <c r="CQ345" s="501"/>
      <c r="CR345" s="501"/>
      <c r="CS345" s="501"/>
      <c r="CT345" s="501"/>
    </row>
    <row r="346">
      <c r="A346" s="569"/>
      <c r="B346" s="569"/>
      <c r="C346" s="569"/>
      <c r="D346" s="498"/>
      <c r="E346" s="499"/>
      <c r="F346" s="499"/>
      <c r="G346" s="766"/>
      <c r="H346" s="766"/>
      <c r="I346" s="766"/>
      <c r="J346" s="766"/>
      <c r="K346" s="683"/>
      <c r="L346" s="683"/>
      <c r="M346" s="683"/>
      <c r="N346" s="683"/>
      <c r="O346" s="683"/>
      <c r="P346" s="683"/>
      <c r="Q346" s="683"/>
      <c r="R346" s="683"/>
      <c r="S346" s="683"/>
      <c r="T346" s="501"/>
      <c r="U346" s="501"/>
      <c r="V346" s="501"/>
      <c r="W346" s="501"/>
      <c r="X346" s="501"/>
      <c r="Y346" s="501"/>
      <c r="Z346" s="501"/>
      <c r="AA346" s="501"/>
      <c r="AB346" s="501"/>
      <c r="AC346" s="501"/>
      <c r="AD346" s="501"/>
      <c r="AE346" s="501"/>
      <c r="AF346" s="501"/>
      <c r="AG346" s="501"/>
      <c r="AH346" s="501"/>
      <c r="AI346" s="501"/>
      <c r="AJ346" s="501"/>
      <c r="AK346" s="501"/>
      <c r="AL346" s="501"/>
      <c r="AM346" s="501"/>
      <c r="AN346" s="501"/>
      <c r="AO346" s="501"/>
      <c r="AP346" s="501"/>
      <c r="AQ346" s="501"/>
      <c r="AR346" s="501"/>
      <c r="AS346" s="501"/>
      <c r="AT346" s="501"/>
      <c r="AU346" s="501"/>
      <c r="AV346" s="501"/>
      <c r="AW346" s="501"/>
      <c r="AX346" s="501"/>
      <c r="AY346" s="501"/>
      <c r="AZ346" s="501"/>
      <c r="BA346" s="501"/>
      <c r="BB346" s="501"/>
      <c r="BC346" s="501"/>
      <c r="BD346" s="501"/>
      <c r="BE346" s="501"/>
      <c r="BF346" s="501"/>
      <c r="BG346" s="501"/>
      <c r="BH346" s="501"/>
      <c r="BI346" s="501"/>
      <c r="BJ346" s="501"/>
      <c r="BK346" s="501"/>
      <c r="BL346" s="501"/>
      <c r="BM346" s="501"/>
      <c r="BN346" s="501"/>
      <c r="BO346" s="501"/>
      <c r="BP346" s="501"/>
      <c r="BQ346" s="501"/>
      <c r="BR346" s="501"/>
      <c r="BS346" s="501"/>
      <c r="BT346" s="501"/>
      <c r="BU346" s="501"/>
      <c r="BV346" s="501"/>
      <c r="BW346" s="501"/>
      <c r="BX346" s="501"/>
      <c r="BY346" s="501"/>
      <c r="BZ346" s="501"/>
      <c r="CA346" s="501"/>
      <c r="CB346" s="501"/>
      <c r="CC346" s="501"/>
      <c r="CD346" s="501"/>
      <c r="CE346" s="501"/>
      <c r="CF346" s="501"/>
      <c r="CG346" s="501"/>
      <c r="CH346" s="501"/>
      <c r="CI346" s="501"/>
      <c r="CJ346" s="501"/>
      <c r="CK346" s="501"/>
      <c r="CL346" s="501"/>
      <c r="CM346" s="501"/>
      <c r="CN346" s="501"/>
      <c r="CO346" s="501"/>
      <c r="CP346" s="501"/>
      <c r="CQ346" s="501"/>
      <c r="CR346" s="501"/>
      <c r="CS346" s="501"/>
      <c r="CT346" s="501"/>
    </row>
    <row r="347">
      <c r="A347" s="569"/>
      <c r="B347" s="569"/>
      <c r="C347" s="569"/>
      <c r="D347" s="498"/>
      <c r="E347" s="499"/>
      <c r="F347" s="499"/>
      <c r="G347" s="766"/>
      <c r="H347" s="766"/>
      <c r="I347" s="766"/>
      <c r="J347" s="766"/>
      <c r="K347" s="683"/>
      <c r="L347" s="683"/>
      <c r="M347" s="683"/>
      <c r="N347" s="683"/>
      <c r="O347" s="683"/>
      <c r="P347" s="683"/>
      <c r="Q347" s="683"/>
      <c r="R347" s="683"/>
      <c r="S347" s="683"/>
      <c r="T347" s="501"/>
      <c r="U347" s="501"/>
      <c r="V347" s="501"/>
      <c r="W347" s="501"/>
      <c r="X347" s="501"/>
      <c r="Y347" s="501"/>
      <c r="Z347" s="501"/>
      <c r="AA347" s="501"/>
      <c r="AB347" s="501"/>
      <c r="AC347" s="501"/>
      <c r="AD347" s="501"/>
      <c r="AE347" s="501"/>
      <c r="AF347" s="501"/>
      <c r="AG347" s="501"/>
      <c r="AH347" s="501"/>
      <c r="AI347" s="501"/>
      <c r="AJ347" s="501"/>
      <c r="AK347" s="501"/>
      <c r="AL347" s="501"/>
      <c r="AM347" s="501"/>
      <c r="AN347" s="501"/>
      <c r="AO347" s="501"/>
      <c r="AP347" s="501"/>
      <c r="AQ347" s="501"/>
      <c r="AR347" s="501"/>
      <c r="AS347" s="501"/>
      <c r="AT347" s="501"/>
      <c r="AU347" s="501"/>
      <c r="AV347" s="501"/>
      <c r="AW347" s="501"/>
      <c r="AX347" s="501"/>
      <c r="AY347" s="501"/>
      <c r="AZ347" s="501"/>
      <c r="BA347" s="501"/>
      <c r="BB347" s="501"/>
      <c r="BC347" s="501"/>
      <c r="BD347" s="501"/>
      <c r="BE347" s="501"/>
      <c r="BF347" s="501"/>
      <c r="BG347" s="501"/>
      <c r="BH347" s="501"/>
      <c r="BI347" s="501"/>
      <c r="BJ347" s="501"/>
      <c r="BK347" s="501"/>
      <c r="BL347" s="501"/>
      <c r="BM347" s="501"/>
      <c r="BN347" s="501"/>
      <c r="BO347" s="501"/>
      <c r="BP347" s="501"/>
      <c r="BQ347" s="501"/>
      <c r="BR347" s="501"/>
      <c r="BS347" s="501"/>
      <c r="BT347" s="501"/>
      <c r="BU347" s="501"/>
      <c r="BV347" s="501"/>
      <c r="BW347" s="501"/>
      <c r="BX347" s="501"/>
      <c r="BY347" s="501"/>
      <c r="BZ347" s="501"/>
      <c r="CA347" s="501"/>
      <c r="CB347" s="501"/>
      <c r="CC347" s="501"/>
      <c r="CD347" s="501"/>
      <c r="CE347" s="501"/>
      <c r="CF347" s="501"/>
      <c r="CG347" s="501"/>
      <c r="CH347" s="501"/>
      <c r="CI347" s="501"/>
      <c r="CJ347" s="501"/>
      <c r="CK347" s="501"/>
      <c r="CL347" s="501"/>
      <c r="CM347" s="501"/>
      <c r="CN347" s="501"/>
      <c r="CO347" s="501"/>
      <c r="CP347" s="501"/>
      <c r="CQ347" s="501"/>
      <c r="CR347" s="501"/>
      <c r="CS347" s="501"/>
      <c r="CT347" s="501"/>
    </row>
    <row r="348">
      <c r="A348" s="569"/>
      <c r="B348" s="569"/>
      <c r="C348" s="569"/>
      <c r="D348" s="498"/>
      <c r="E348" s="499"/>
      <c r="F348" s="499"/>
      <c r="G348" s="766"/>
      <c r="H348" s="766"/>
      <c r="I348" s="766"/>
      <c r="J348" s="766"/>
      <c r="K348" s="683"/>
      <c r="L348" s="683"/>
      <c r="M348" s="683"/>
      <c r="N348" s="683"/>
      <c r="O348" s="683"/>
      <c r="P348" s="683"/>
      <c r="Q348" s="683"/>
      <c r="R348" s="683"/>
      <c r="S348" s="683"/>
      <c r="T348" s="501"/>
      <c r="U348" s="501"/>
      <c r="V348" s="501"/>
      <c r="W348" s="501"/>
      <c r="X348" s="501"/>
      <c r="Y348" s="501"/>
      <c r="Z348" s="501"/>
      <c r="AA348" s="501"/>
      <c r="AB348" s="501"/>
      <c r="AC348" s="501"/>
      <c r="AD348" s="501"/>
      <c r="AE348" s="501"/>
      <c r="AF348" s="501"/>
      <c r="AG348" s="501"/>
      <c r="AH348" s="501"/>
      <c r="AI348" s="501"/>
      <c r="AJ348" s="501"/>
      <c r="AK348" s="501"/>
      <c r="AL348" s="501"/>
      <c r="AM348" s="501"/>
      <c r="AN348" s="501"/>
      <c r="AO348" s="501"/>
      <c r="AP348" s="501"/>
      <c r="AQ348" s="501"/>
      <c r="AR348" s="501"/>
      <c r="AS348" s="501"/>
      <c r="AT348" s="501"/>
      <c r="AU348" s="501"/>
      <c r="AV348" s="501"/>
      <c r="AW348" s="501"/>
      <c r="AX348" s="501"/>
      <c r="AY348" s="501"/>
      <c r="AZ348" s="501"/>
      <c r="BA348" s="501"/>
      <c r="BB348" s="501"/>
      <c r="BC348" s="501"/>
      <c r="BD348" s="501"/>
      <c r="BE348" s="501"/>
      <c r="BF348" s="501"/>
      <c r="BG348" s="501"/>
      <c r="BH348" s="501"/>
      <c r="BI348" s="501"/>
      <c r="BJ348" s="501"/>
      <c r="BK348" s="501"/>
      <c r="BL348" s="501"/>
      <c r="BM348" s="501"/>
      <c r="BN348" s="501"/>
      <c r="BO348" s="501"/>
      <c r="BP348" s="501"/>
      <c r="BQ348" s="501"/>
      <c r="BR348" s="501"/>
      <c r="BS348" s="501"/>
      <c r="BT348" s="501"/>
      <c r="BU348" s="501"/>
      <c r="BV348" s="501"/>
      <c r="BW348" s="501"/>
      <c r="BX348" s="501"/>
      <c r="BY348" s="501"/>
      <c r="BZ348" s="501"/>
      <c r="CA348" s="501"/>
      <c r="CB348" s="501"/>
      <c r="CC348" s="501"/>
      <c r="CD348" s="501"/>
      <c r="CE348" s="501"/>
      <c r="CF348" s="501"/>
      <c r="CG348" s="501"/>
      <c r="CH348" s="501"/>
      <c r="CI348" s="501"/>
      <c r="CJ348" s="501"/>
      <c r="CK348" s="501"/>
      <c r="CL348" s="501"/>
      <c r="CM348" s="501"/>
      <c r="CN348" s="501"/>
      <c r="CO348" s="501"/>
      <c r="CP348" s="501"/>
      <c r="CQ348" s="501"/>
      <c r="CR348" s="501"/>
      <c r="CS348" s="501"/>
      <c r="CT348" s="501"/>
    </row>
    <row r="349">
      <c r="A349" s="569"/>
      <c r="B349" s="569"/>
      <c r="C349" s="569"/>
      <c r="D349" s="498"/>
      <c r="E349" s="499"/>
      <c r="F349" s="499"/>
      <c r="G349" s="766"/>
      <c r="H349" s="766"/>
      <c r="I349" s="766"/>
      <c r="J349" s="766"/>
      <c r="K349" s="683"/>
      <c r="L349" s="683"/>
      <c r="M349" s="683"/>
      <c r="N349" s="683"/>
      <c r="O349" s="683"/>
      <c r="P349" s="683"/>
      <c r="Q349" s="683"/>
      <c r="R349" s="683"/>
      <c r="S349" s="683"/>
      <c r="T349" s="501"/>
      <c r="U349" s="501"/>
      <c r="V349" s="501"/>
      <c r="W349" s="501"/>
      <c r="X349" s="501"/>
      <c r="Y349" s="501"/>
      <c r="Z349" s="501"/>
      <c r="AA349" s="501"/>
      <c r="AB349" s="501"/>
      <c r="AC349" s="501"/>
      <c r="AD349" s="501"/>
      <c r="AE349" s="501"/>
      <c r="AF349" s="501"/>
      <c r="AG349" s="501"/>
      <c r="AH349" s="501"/>
      <c r="AI349" s="501"/>
      <c r="AJ349" s="501"/>
      <c r="AK349" s="501"/>
      <c r="AL349" s="501"/>
      <c r="AM349" s="501"/>
      <c r="AN349" s="501"/>
      <c r="AO349" s="501"/>
      <c r="AP349" s="501"/>
      <c r="AQ349" s="501"/>
      <c r="AR349" s="501"/>
      <c r="AS349" s="501"/>
      <c r="AT349" s="501"/>
      <c r="AU349" s="501"/>
      <c r="AV349" s="501"/>
      <c r="AW349" s="501"/>
      <c r="AX349" s="501"/>
      <c r="AY349" s="501"/>
      <c r="AZ349" s="501"/>
      <c r="BA349" s="501"/>
      <c r="BB349" s="501"/>
      <c r="BC349" s="501"/>
      <c r="BD349" s="501"/>
      <c r="BE349" s="501"/>
      <c r="BF349" s="501"/>
      <c r="BG349" s="501"/>
      <c r="BH349" s="501"/>
      <c r="BI349" s="501"/>
      <c r="BJ349" s="501"/>
      <c r="BK349" s="501"/>
      <c r="BL349" s="501"/>
      <c r="BM349" s="501"/>
      <c r="BN349" s="501"/>
      <c r="BO349" s="501"/>
      <c r="BP349" s="501"/>
      <c r="BQ349" s="501"/>
      <c r="BR349" s="501"/>
      <c r="BS349" s="501"/>
      <c r="BT349" s="501"/>
      <c r="BU349" s="501"/>
      <c r="BV349" s="501"/>
      <c r="BW349" s="501"/>
      <c r="BX349" s="501"/>
      <c r="BY349" s="501"/>
      <c r="BZ349" s="501"/>
      <c r="CA349" s="501"/>
      <c r="CB349" s="501"/>
      <c r="CC349" s="501"/>
      <c r="CD349" s="501"/>
      <c r="CE349" s="501"/>
      <c r="CF349" s="501"/>
      <c r="CG349" s="501"/>
      <c r="CH349" s="501"/>
      <c r="CI349" s="501"/>
      <c r="CJ349" s="501"/>
      <c r="CK349" s="501"/>
      <c r="CL349" s="501"/>
      <c r="CM349" s="501"/>
      <c r="CN349" s="501"/>
      <c r="CO349" s="501"/>
      <c r="CP349" s="501"/>
      <c r="CQ349" s="501"/>
      <c r="CR349" s="501"/>
      <c r="CS349" s="501"/>
      <c r="CT349" s="501"/>
    </row>
    <row r="350">
      <c r="A350" s="569"/>
      <c r="B350" s="569"/>
      <c r="C350" s="569"/>
      <c r="D350" s="498"/>
      <c r="E350" s="499"/>
      <c r="F350" s="499"/>
      <c r="G350" s="766"/>
      <c r="H350" s="766"/>
      <c r="I350" s="766"/>
      <c r="J350" s="766"/>
      <c r="K350" s="683"/>
      <c r="L350" s="683"/>
      <c r="M350" s="683"/>
      <c r="N350" s="683"/>
      <c r="O350" s="683"/>
      <c r="P350" s="683"/>
      <c r="Q350" s="683"/>
      <c r="R350" s="683"/>
      <c r="S350" s="683"/>
      <c r="T350" s="501"/>
      <c r="U350" s="501"/>
      <c r="V350" s="501"/>
      <c r="W350" s="501"/>
      <c r="X350" s="501"/>
      <c r="Y350" s="501"/>
      <c r="Z350" s="501"/>
      <c r="AA350" s="501"/>
      <c r="AB350" s="501"/>
      <c r="AC350" s="501"/>
      <c r="AD350" s="501"/>
      <c r="AE350" s="501"/>
      <c r="AF350" s="501"/>
      <c r="AG350" s="501"/>
      <c r="AH350" s="501"/>
      <c r="AI350" s="501"/>
      <c r="AJ350" s="501"/>
      <c r="AK350" s="501"/>
      <c r="AL350" s="501"/>
      <c r="AM350" s="501"/>
      <c r="AN350" s="501"/>
      <c r="AO350" s="501"/>
      <c r="AP350" s="501"/>
      <c r="AQ350" s="501"/>
      <c r="AR350" s="501"/>
      <c r="AS350" s="501"/>
      <c r="AT350" s="501"/>
      <c r="AU350" s="501"/>
      <c r="AV350" s="501"/>
      <c r="AW350" s="501"/>
      <c r="AX350" s="501"/>
      <c r="AY350" s="501"/>
      <c r="AZ350" s="501"/>
      <c r="BA350" s="501"/>
      <c r="BB350" s="501"/>
      <c r="BC350" s="501"/>
      <c r="BD350" s="501"/>
      <c r="BE350" s="501"/>
      <c r="BF350" s="501"/>
      <c r="BG350" s="501"/>
      <c r="BH350" s="501"/>
      <c r="BI350" s="501"/>
      <c r="BJ350" s="501"/>
      <c r="BK350" s="501"/>
      <c r="BL350" s="501"/>
      <c r="BM350" s="501"/>
      <c r="BN350" s="501"/>
      <c r="BO350" s="501"/>
      <c r="BP350" s="501"/>
      <c r="BQ350" s="501"/>
      <c r="BR350" s="501"/>
      <c r="BS350" s="501"/>
      <c r="BT350" s="501"/>
      <c r="BU350" s="501"/>
      <c r="BV350" s="501"/>
      <c r="BW350" s="501"/>
      <c r="BX350" s="501"/>
      <c r="BY350" s="501"/>
      <c r="BZ350" s="501"/>
      <c r="CA350" s="501"/>
      <c r="CB350" s="501"/>
      <c r="CC350" s="501"/>
      <c r="CD350" s="501"/>
      <c r="CE350" s="501"/>
      <c r="CF350" s="501"/>
      <c r="CG350" s="501"/>
      <c r="CH350" s="501"/>
      <c r="CI350" s="501"/>
      <c r="CJ350" s="501"/>
      <c r="CK350" s="501"/>
      <c r="CL350" s="501"/>
      <c r="CM350" s="501"/>
      <c r="CN350" s="501"/>
      <c r="CO350" s="501"/>
      <c r="CP350" s="501"/>
      <c r="CQ350" s="501"/>
      <c r="CR350" s="501"/>
      <c r="CS350" s="501"/>
      <c r="CT350" s="501"/>
    </row>
    <row r="351">
      <c r="A351" s="569"/>
      <c r="B351" s="569"/>
      <c r="C351" s="569"/>
      <c r="D351" s="498"/>
      <c r="E351" s="499"/>
      <c r="F351" s="499"/>
      <c r="G351" s="766"/>
      <c r="H351" s="766"/>
      <c r="I351" s="766"/>
      <c r="J351" s="766"/>
      <c r="K351" s="683"/>
      <c r="L351" s="683"/>
      <c r="M351" s="683"/>
      <c r="N351" s="683"/>
      <c r="O351" s="683"/>
      <c r="P351" s="683"/>
      <c r="Q351" s="683"/>
      <c r="R351" s="683"/>
      <c r="S351" s="683"/>
      <c r="T351" s="501"/>
      <c r="U351" s="501"/>
      <c r="V351" s="501"/>
      <c r="W351" s="501"/>
      <c r="X351" s="501"/>
      <c r="Y351" s="501"/>
      <c r="Z351" s="501"/>
      <c r="AA351" s="501"/>
      <c r="AB351" s="501"/>
      <c r="AC351" s="501"/>
      <c r="AD351" s="501"/>
      <c r="AE351" s="501"/>
      <c r="AF351" s="501"/>
      <c r="AG351" s="501"/>
      <c r="AH351" s="501"/>
      <c r="AI351" s="501"/>
      <c r="AJ351" s="501"/>
      <c r="AK351" s="501"/>
      <c r="AL351" s="501"/>
      <c r="AM351" s="501"/>
      <c r="AN351" s="501"/>
      <c r="AO351" s="501"/>
      <c r="AP351" s="501"/>
      <c r="AQ351" s="501"/>
      <c r="AR351" s="501"/>
      <c r="AS351" s="501"/>
      <c r="AT351" s="501"/>
      <c r="AU351" s="501"/>
      <c r="AV351" s="501"/>
      <c r="AW351" s="501"/>
      <c r="AX351" s="501"/>
      <c r="AY351" s="501"/>
      <c r="AZ351" s="501"/>
      <c r="BA351" s="501"/>
      <c r="BB351" s="501"/>
      <c r="BC351" s="501"/>
      <c r="BD351" s="501"/>
      <c r="BE351" s="501"/>
      <c r="BF351" s="501"/>
      <c r="BG351" s="501"/>
      <c r="BH351" s="501"/>
      <c r="BI351" s="501"/>
      <c r="BJ351" s="501"/>
      <c r="BK351" s="501"/>
      <c r="BL351" s="501"/>
      <c r="BM351" s="501"/>
      <c r="BN351" s="501"/>
      <c r="BO351" s="501"/>
      <c r="BP351" s="501"/>
      <c r="BQ351" s="501"/>
      <c r="BR351" s="501"/>
      <c r="BS351" s="501"/>
      <c r="BT351" s="501"/>
      <c r="BU351" s="501"/>
      <c r="BV351" s="501"/>
      <c r="BW351" s="501"/>
      <c r="BX351" s="501"/>
      <c r="BY351" s="501"/>
      <c r="BZ351" s="501"/>
      <c r="CA351" s="501"/>
      <c r="CB351" s="501"/>
      <c r="CC351" s="501"/>
      <c r="CD351" s="501"/>
      <c r="CE351" s="501"/>
      <c r="CF351" s="501"/>
      <c r="CG351" s="501"/>
      <c r="CH351" s="501"/>
      <c r="CI351" s="501"/>
      <c r="CJ351" s="501"/>
      <c r="CK351" s="501"/>
      <c r="CL351" s="501"/>
      <c r="CM351" s="501"/>
      <c r="CN351" s="501"/>
      <c r="CO351" s="501"/>
      <c r="CP351" s="501"/>
      <c r="CQ351" s="501"/>
      <c r="CR351" s="501"/>
      <c r="CS351" s="501"/>
      <c r="CT351" s="501"/>
    </row>
    <row r="352">
      <c r="A352" s="569"/>
      <c r="B352" s="569"/>
      <c r="C352" s="569"/>
      <c r="D352" s="498"/>
      <c r="E352" s="499"/>
      <c r="F352" s="499"/>
      <c r="G352" s="766"/>
      <c r="H352" s="766"/>
      <c r="I352" s="766"/>
      <c r="J352" s="766"/>
      <c r="K352" s="683"/>
      <c r="L352" s="683"/>
      <c r="M352" s="683"/>
      <c r="N352" s="683"/>
      <c r="O352" s="683"/>
      <c r="P352" s="683"/>
      <c r="Q352" s="683"/>
      <c r="R352" s="683"/>
      <c r="S352" s="683"/>
      <c r="T352" s="501"/>
      <c r="U352" s="501"/>
      <c r="V352" s="501"/>
      <c r="W352" s="501"/>
      <c r="X352" s="501"/>
      <c r="Y352" s="501"/>
      <c r="Z352" s="501"/>
      <c r="AA352" s="501"/>
      <c r="AB352" s="501"/>
      <c r="AC352" s="501"/>
      <c r="AD352" s="501"/>
      <c r="AE352" s="501"/>
      <c r="AF352" s="501"/>
      <c r="AG352" s="501"/>
      <c r="AH352" s="501"/>
      <c r="AI352" s="501"/>
      <c r="AJ352" s="501"/>
      <c r="AK352" s="501"/>
      <c r="AL352" s="501"/>
      <c r="AM352" s="501"/>
      <c r="AN352" s="501"/>
      <c r="AO352" s="501"/>
      <c r="AP352" s="501"/>
      <c r="AQ352" s="501"/>
      <c r="AR352" s="501"/>
      <c r="AS352" s="501"/>
      <c r="AT352" s="501"/>
      <c r="AU352" s="501"/>
      <c r="AV352" s="501"/>
      <c r="AW352" s="501"/>
      <c r="AX352" s="501"/>
      <c r="AY352" s="501"/>
      <c r="AZ352" s="501"/>
      <c r="BA352" s="501"/>
      <c r="BB352" s="501"/>
      <c r="BC352" s="501"/>
      <c r="BD352" s="501"/>
      <c r="BE352" s="501"/>
      <c r="BF352" s="501"/>
      <c r="BG352" s="501"/>
      <c r="BH352" s="501"/>
      <c r="BI352" s="501"/>
      <c r="BJ352" s="501"/>
      <c r="BK352" s="501"/>
      <c r="BL352" s="501"/>
      <c r="BM352" s="501"/>
      <c r="BN352" s="501"/>
      <c r="BO352" s="501"/>
      <c r="BP352" s="501"/>
      <c r="BQ352" s="501"/>
      <c r="BR352" s="501"/>
      <c r="BS352" s="501"/>
      <c r="BT352" s="501"/>
      <c r="BU352" s="501"/>
      <c r="BV352" s="501"/>
      <c r="BW352" s="501"/>
      <c r="BX352" s="501"/>
      <c r="BY352" s="501"/>
      <c r="BZ352" s="501"/>
      <c r="CA352" s="501"/>
      <c r="CB352" s="501"/>
      <c r="CC352" s="501"/>
      <c r="CD352" s="501"/>
      <c r="CE352" s="501"/>
      <c r="CF352" s="501"/>
      <c r="CG352" s="501"/>
      <c r="CH352" s="501"/>
      <c r="CI352" s="501"/>
      <c r="CJ352" s="501"/>
      <c r="CK352" s="501"/>
      <c r="CL352" s="501"/>
      <c r="CM352" s="501"/>
      <c r="CN352" s="501"/>
      <c r="CO352" s="501"/>
      <c r="CP352" s="501"/>
      <c r="CQ352" s="501"/>
      <c r="CR352" s="501"/>
      <c r="CS352" s="501"/>
      <c r="CT352" s="501"/>
    </row>
    <row r="353">
      <c r="A353" s="569"/>
      <c r="B353" s="569"/>
      <c r="C353" s="569"/>
      <c r="D353" s="498"/>
      <c r="E353" s="499"/>
      <c r="F353" s="499"/>
      <c r="G353" s="766"/>
      <c r="H353" s="766"/>
      <c r="I353" s="766"/>
      <c r="J353" s="766"/>
      <c r="K353" s="683"/>
      <c r="L353" s="683"/>
      <c r="M353" s="683"/>
      <c r="N353" s="683"/>
      <c r="O353" s="683"/>
      <c r="P353" s="683"/>
      <c r="Q353" s="683"/>
      <c r="R353" s="683"/>
      <c r="S353" s="683"/>
      <c r="T353" s="501"/>
      <c r="U353" s="501"/>
      <c r="V353" s="501"/>
      <c r="W353" s="501"/>
      <c r="X353" s="501"/>
      <c r="Y353" s="501"/>
      <c r="Z353" s="501"/>
      <c r="AA353" s="501"/>
      <c r="AB353" s="501"/>
      <c r="AC353" s="501"/>
      <c r="AD353" s="501"/>
      <c r="AE353" s="501"/>
      <c r="AF353" s="501"/>
      <c r="AG353" s="501"/>
      <c r="AH353" s="501"/>
      <c r="AI353" s="501"/>
      <c r="AJ353" s="501"/>
      <c r="AK353" s="501"/>
      <c r="AL353" s="501"/>
      <c r="AM353" s="501"/>
      <c r="AN353" s="501"/>
      <c r="AO353" s="501"/>
      <c r="AP353" s="501"/>
      <c r="AQ353" s="501"/>
      <c r="AR353" s="501"/>
      <c r="AS353" s="501"/>
      <c r="AT353" s="501"/>
      <c r="AU353" s="501"/>
      <c r="AV353" s="501"/>
      <c r="AW353" s="501"/>
      <c r="AX353" s="501"/>
      <c r="AY353" s="501"/>
      <c r="AZ353" s="501"/>
      <c r="BA353" s="501"/>
      <c r="BB353" s="501"/>
      <c r="BC353" s="501"/>
      <c r="BD353" s="501"/>
      <c r="BE353" s="501"/>
      <c r="BF353" s="501"/>
      <c r="BG353" s="501"/>
      <c r="BH353" s="501"/>
      <c r="BI353" s="501"/>
      <c r="BJ353" s="501"/>
      <c r="BK353" s="501"/>
      <c r="BL353" s="501"/>
      <c r="BM353" s="501"/>
      <c r="BN353" s="501"/>
      <c r="BO353" s="501"/>
      <c r="BP353" s="501"/>
      <c r="BQ353" s="501"/>
      <c r="BR353" s="501"/>
      <c r="BS353" s="501"/>
      <c r="BT353" s="501"/>
      <c r="BU353" s="501"/>
      <c r="BV353" s="501"/>
      <c r="BW353" s="501"/>
      <c r="BX353" s="501"/>
      <c r="BY353" s="501"/>
      <c r="BZ353" s="501"/>
      <c r="CA353" s="501"/>
      <c r="CB353" s="501"/>
      <c r="CC353" s="501"/>
      <c r="CD353" s="501"/>
      <c r="CE353" s="501"/>
      <c r="CF353" s="501"/>
      <c r="CG353" s="501"/>
      <c r="CH353" s="501"/>
      <c r="CI353" s="501"/>
      <c r="CJ353" s="501"/>
      <c r="CK353" s="501"/>
      <c r="CL353" s="501"/>
      <c r="CM353" s="501"/>
      <c r="CN353" s="501"/>
      <c r="CO353" s="501"/>
      <c r="CP353" s="501"/>
      <c r="CQ353" s="501"/>
      <c r="CR353" s="501"/>
      <c r="CS353" s="501"/>
      <c r="CT353" s="501"/>
    </row>
    <row r="354">
      <c r="A354" s="569"/>
      <c r="B354" s="569"/>
      <c r="C354" s="569"/>
      <c r="D354" s="498"/>
      <c r="E354" s="499"/>
      <c r="F354" s="499"/>
      <c r="G354" s="766"/>
      <c r="H354" s="766"/>
      <c r="I354" s="766"/>
      <c r="J354" s="766"/>
      <c r="K354" s="683"/>
      <c r="L354" s="683"/>
      <c r="M354" s="683"/>
      <c r="N354" s="683"/>
      <c r="O354" s="683"/>
      <c r="P354" s="683"/>
      <c r="Q354" s="683"/>
      <c r="R354" s="683"/>
      <c r="S354" s="683"/>
      <c r="T354" s="501"/>
      <c r="U354" s="501"/>
      <c r="V354" s="501"/>
      <c r="W354" s="501"/>
      <c r="X354" s="501"/>
      <c r="Y354" s="501"/>
      <c r="Z354" s="501"/>
      <c r="AA354" s="501"/>
      <c r="AB354" s="501"/>
      <c r="AC354" s="501"/>
      <c r="AD354" s="501"/>
      <c r="AE354" s="501"/>
      <c r="AF354" s="501"/>
      <c r="AG354" s="501"/>
      <c r="AH354" s="501"/>
      <c r="AI354" s="501"/>
      <c r="AJ354" s="501"/>
      <c r="AK354" s="501"/>
      <c r="AL354" s="501"/>
      <c r="AM354" s="501"/>
      <c r="AN354" s="501"/>
      <c r="AO354" s="501"/>
      <c r="AP354" s="501"/>
      <c r="AQ354" s="501"/>
      <c r="AR354" s="501"/>
      <c r="AS354" s="501"/>
      <c r="AT354" s="501"/>
      <c r="AU354" s="501"/>
      <c r="AV354" s="501"/>
      <c r="AW354" s="501"/>
      <c r="AX354" s="501"/>
      <c r="AY354" s="501"/>
      <c r="AZ354" s="501"/>
      <c r="BA354" s="501"/>
      <c r="BB354" s="501"/>
      <c r="BC354" s="501"/>
      <c r="BD354" s="501"/>
      <c r="BE354" s="501"/>
      <c r="BF354" s="501"/>
      <c r="BG354" s="501"/>
      <c r="BH354" s="501"/>
      <c r="BI354" s="501"/>
      <c r="BJ354" s="501"/>
      <c r="BK354" s="501"/>
      <c r="BL354" s="501"/>
      <c r="BM354" s="501"/>
      <c r="BN354" s="501"/>
      <c r="BO354" s="501"/>
      <c r="BP354" s="501"/>
      <c r="BQ354" s="501"/>
      <c r="BR354" s="501"/>
      <c r="BS354" s="501"/>
      <c r="BT354" s="501"/>
      <c r="BU354" s="501"/>
      <c r="BV354" s="501"/>
      <c r="BW354" s="501"/>
      <c r="BX354" s="501"/>
      <c r="BY354" s="501"/>
      <c r="BZ354" s="501"/>
      <c r="CA354" s="501"/>
      <c r="CB354" s="501"/>
      <c r="CC354" s="501"/>
      <c r="CD354" s="501"/>
      <c r="CE354" s="501"/>
      <c r="CF354" s="501"/>
      <c r="CG354" s="501"/>
      <c r="CH354" s="501"/>
      <c r="CI354" s="501"/>
      <c r="CJ354" s="501"/>
      <c r="CK354" s="501"/>
      <c r="CL354" s="501"/>
      <c r="CM354" s="501"/>
      <c r="CN354" s="501"/>
      <c r="CO354" s="501"/>
      <c r="CP354" s="501"/>
      <c r="CQ354" s="501"/>
      <c r="CR354" s="501"/>
      <c r="CS354" s="501"/>
      <c r="CT354" s="501"/>
    </row>
    <row r="355">
      <c r="A355" s="569"/>
      <c r="B355" s="569"/>
      <c r="C355" s="569"/>
      <c r="D355" s="498"/>
      <c r="E355" s="499"/>
      <c r="F355" s="499"/>
      <c r="G355" s="766"/>
      <c r="H355" s="766"/>
      <c r="I355" s="766"/>
      <c r="J355" s="766"/>
      <c r="K355" s="683"/>
      <c r="L355" s="683"/>
      <c r="M355" s="683"/>
      <c r="N355" s="683"/>
      <c r="O355" s="683"/>
      <c r="P355" s="683"/>
      <c r="Q355" s="683"/>
      <c r="R355" s="683"/>
      <c r="S355" s="683"/>
      <c r="T355" s="501"/>
      <c r="U355" s="501"/>
      <c r="V355" s="501"/>
      <c r="W355" s="501"/>
      <c r="X355" s="501"/>
      <c r="Y355" s="501"/>
      <c r="Z355" s="501"/>
      <c r="AA355" s="501"/>
      <c r="AB355" s="501"/>
      <c r="AC355" s="501"/>
      <c r="AD355" s="501"/>
      <c r="AE355" s="501"/>
      <c r="AF355" s="501"/>
      <c r="AG355" s="501"/>
      <c r="AH355" s="501"/>
      <c r="AI355" s="501"/>
      <c r="AJ355" s="501"/>
      <c r="AK355" s="501"/>
      <c r="AL355" s="501"/>
      <c r="AM355" s="501"/>
      <c r="AN355" s="501"/>
      <c r="AO355" s="501"/>
      <c r="AP355" s="501"/>
      <c r="AQ355" s="501"/>
      <c r="AR355" s="501"/>
      <c r="AS355" s="501"/>
      <c r="AT355" s="501"/>
      <c r="AU355" s="501"/>
      <c r="AV355" s="501"/>
      <c r="AW355" s="501"/>
      <c r="AX355" s="501"/>
      <c r="AY355" s="501"/>
      <c r="AZ355" s="501"/>
      <c r="BA355" s="501"/>
      <c r="BB355" s="501"/>
      <c r="BC355" s="501"/>
      <c r="BD355" s="501"/>
      <c r="BE355" s="501"/>
      <c r="BF355" s="501"/>
      <c r="BG355" s="501"/>
      <c r="BH355" s="501"/>
      <c r="BI355" s="501"/>
      <c r="BJ355" s="501"/>
      <c r="BK355" s="501"/>
      <c r="BL355" s="501"/>
      <c r="BM355" s="501"/>
      <c r="BN355" s="501"/>
      <c r="BO355" s="501"/>
      <c r="BP355" s="501"/>
      <c r="BQ355" s="501"/>
      <c r="BR355" s="501"/>
      <c r="BS355" s="501"/>
      <c r="BT355" s="501"/>
      <c r="BU355" s="501"/>
      <c r="BV355" s="501"/>
      <c r="BW355" s="501"/>
      <c r="BX355" s="501"/>
      <c r="BY355" s="501"/>
      <c r="BZ355" s="501"/>
      <c r="CA355" s="501"/>
      <c r="CB355" s="501"/>
      <c r="CC355" s="501"/>
      <c r="CD355" s="501"/>
      <c r="CE355" s="501"/>
      <c r="CF355" s="501"/>
      <c r="CG355" s="501"/>
      <c r="CH355" s="501"/>
      <c r="CI355" s="501"/>
      <c r="CJ355" s="501"/>
      <c r="CK355" s="501"/>
      <c r="CL355" s="501"/>
      <c r="CM355" s="501"/>
      <c r="CN355" s="501"/>
      <c r="CO355" s="501"/>
      <c r="CP355" s="501"/>
      <c r="CQ355" s="501"/>
      <c r="CR355" s="501"/>
      <c r="CS355" s="501"/>
      <c r="CT355" s="501"/>
    </row>
    <row r="356">
      <c r="A356" s="569"/>
      <c r="B356" s="569"/>
      <c r="C356" s="569"/>
      <c r="D356" s="498"/>
      <c r="E356" s="499"/>
      <c r="F356" s="499"/>
      <c r="G356" s="766"/>
      <c r="H356" s="766"/>
      <c r="I356" s="766"/>
      <c r="J356" s="766"/>
      <c r="K356" s="683"/>
      <c r="L356" s="683"/>
      <c r="M356" s="683"/>
      <c r="N356" s="683"/>
      <c r="O356" s="683"/>
      <c r="P356" s="683"/>
      <c r="Q356" s="683"/>
      <c r="R356" s="683"/>
      <c r="S356" s="683"/>
      <c r="T356" s="501"/>
      <c r="U356" s="501"/>
      <c r="V356" s="501"/>
      <c r="W356" s="501"/>
      <c r="X356" s="501"/>
      <c r="Y356" s="501"/>
      <c r="Z356" s="501"/>
      <c r="AA356" s="501"/>
      <c r="AB356" s="501"/>
      <c r="AC356" s="501"/>
      <c r="AD356" s="501"/>
      <c r="AE356" s="501"/>
      <c r="AF356" s="501"/>
      <c r="AG356" s="501"/>
      <c r="AH356" s="501"/>
      <c r="AI356" s="501"/>
      <c r="AJ356" s="501"/>
      <c r="AK356" s="501"/>
      <c r="AL356" s="501"/>
      <c r="AM356" s="501"/>
      <c r="AN356" s="501"/>
      <c r="AO356" s="501"/>
      <c r="AP356" s="501"/>
      <c r="AQ356" s="501"/>
      <c r="AR356" s="501"/>
      <c r="AS356" s="501"/>
      <c r="AT356" s="501"/>
      <c r="AU356" s="501"/>
      <c r="AV356" s="501"/>
      <c r="AW356" s="501"/>
      <c r="AX356" s="501"/>
      <c r="AY356" s="501"/>
      <c r="AZ356" s="501"/>
      <c r="BA356" s="501"/>
      <c r="BB356" s="501"/>
      <c r="BC356" s="501"/>
      <c r="BD356" s="501"/>
      <c r="BE356" s="501"/>
      <c r="BF356" s="501"/>
      <c r="BG356" s="501"/>
      <c r="BH356" s="501"/>
      <c r="BI356" s="501"/>
      <c r="BJ356" s="501"/>
      <c r="BK356" s="501"/>
      <c r="BL356" s="501"/>
      <c r="BM356" s="501"/>
      <c r="BN356" s="501"/>
      <c r="BO356" s="501"/>
      <c r="BP356" s="501"/>
      <c r="BQ356" s="501"/>
      <c r="BR356" s="501"/>
      <c r="BS356" s="501"/>
      <c r="BT356" s="501"/>
      <c r="BU356" s="501"/>
      <c r="BV356" s="501"/>
      <c r="BW356" s="501"/>
      <c r="BX356" s="501"/>
      <c r="BY356" s="501"/>
      <c r="BZ356" s="501"/>
      <c r="CA356" s="501"/>
      <c r="CB356" s="501"/>
      <c r="CC356" s="501"/>
      <c r="CD356" s="501"/>
      <c r="CE356" s="501"/>
      <c r="CF356" s="501"/>
      <c r="CG356" s="501"/>
      <c r="CH356" s="501"/>
      <c r="CI356" s="501"/>
      <c r="CJ356" s="501"/>
      <c r="CK356" s="501"/>
      <c r="CL356" s="501"/>
      <c r="CM356" s="501"/>
      <c r="CN356" s="501"/>
      <c r="CO356" s="501"/>
      <c r="CP356" s="501"/>
      <c r="CQ356" s="501"/>
      <c r="CR356" s="501"/>
      <c r="CS356" s="501"/>
      <c r="CT356" s="501"/>
    </row>
    <row r="357">
      <c r="A357" s="569"/>
      <c r="B357" s="569"/>
      <c r="C357" s="569"/>
      <c r="D357" s="498"/>
      <c r="E357" s="499"/>
      <c r="F357" s="499"/>
      <c r="G357" s="766"/>
      <c r="H357" s="766"/>
      <c r="I357" s="766"/>
      <c r="J357" s="766"/>
      <c r="K357" s="683"/>
      <c r="L357" s="683"/>
      <c r="M357" s="683"/>
      <c r="N357" s="683"/>
      <c r="O357" s="683"/>
      <c r="P357" s="683"/>
      <c r="Q357" s="683"/>
      <c r="R357" s="683"/>
      <c r="S357" s="683"/>
      <c r="T357" s="501"/>
      <c r="U357" s="501"/>
      <c r="V357" s="501"/>
      <c r="W357" s="501"/>
      <c r="X357" s="501"/>
      <c r="Y357" s="501"/>
      <c r="Z357" s="501"/>
      <c r="AA357" s="501"/>
      <c r="AB357" s="501"/>
      <c r="AC357" s="501"/>
      <c r="AD357" s="501"/>
      <c r="AE357" s="501"/>
      <c r="AF357" s="501"/>
      <c r="AG357" s="501"/>
      <c r="AH357" s="501"/>
      <c r="AI357" s="501"/>
      <c r="AJ357" s="501"/>
      <c r="AK357" s="501"/>
      <c r="AL357" s="501"/>
      <c r="AM357" s="501"/>
      <c r="AN357" s="501"/>
      <c r="AO357" s="501"/>
      <c r="AP357" s="501"/>
      <c r="AQ357" s="501"/>
      <c r="AR357" s="501"/>
      <c r="AS357" s="501"/>
      <c r="AT357" s="501"/>
      <c r="AU357" s="501"/>
      <c r="AV357" s="501"/>
      <c r="AW357" s="501"/>
      <c r="AX357" s="501"/>
      <c r="AY357" s="501"/>
      <c r="AZ357" s="501"/>
      <c r="BA357" s="501"/>
      <c r="BB357" s="501"/>
      <c r="BC357" s="501"/>
      <c r="BD357" s="501"/>
      <c r="BE357" s="501"/>
      <c r="BF357" s="501"/>
      <c r="BG357" s="501"/>
      <c r="BH357" s="501"/>
      <c r="BI357" s="501"/>
      <c r="BJ357" s="501"/>
      <c r="BK357" s="501"/>
      <c r="BL357" s="501"/>
      <c r="BM357" s="501"/>
      <c r="BN357" s="501"/>
      <c r="BO357" s="501"/>
      <c r="BP357" s="501"/>
      <c r="BQ357" s="501"/>
      <c r="BR357" s="501"/>
      <c r="BS357" s="501"/>
      <c r="BT357" s="501"/>
      <c r="BU357" s="501"/>
      <c r="BV357" s="501"/>
      <c r="BW357" s="501"/>
      <c r="BX357" s="501"/>
      <c r="BY357" s="501"/>
      <c r="BZ357" s="501"/>
      <c r="CA357" s="501"/>
      <c r="CB357" s="501"/>
      <c r="CC357" s="501"/>
      <c r="CD357" s="501"/>
      <c r="CE357" s="501"/>
      <c r="CF357" s="501"/>
      <c r="CG357" s="501"/>
      <c r="CH357" s="501"/>
      <c r="CI357" s="501"/>
      <c r="CJ357" s="501"/>
      <c r="CK357" s="501"/>
      <c r="CL357" s="501"/>
      <c r="CM357" s="501"/>
      <c r="CN357" s="501"/>
      <c r="CO357" s="501"/>
      <c r="CP357" s="501"/>
      <c r="CQ357" s="501"/>
      <c r="CR357" s="501"/>
      <c r="CS357" s="501"/>
      <c r="CT357" s="501"/>
    </row>
    <row r="358">
      <c r="A358" s="569"/>
      <c r="B358" s="569"/>
      <c r="C358" s="569"/>
      <c r="D358" s="498"/>
      <c r="E358" s="499"/>
      <c r="F358" s="499"/>
      <c r="G358" s="766"/>
      <c r="H358" s="766"/>
      <c r="I358" s="766"/>
      <c r="J358" s="766"/>
      <c r="K358" s="683"/>
      <c r="L358" s="683"/>
      <c r="M358" s="683"/>
      <c r="N358" s="683"/>
      <c r="O358" s="683"/>
      <c r="P358" s="683"/>
      <c r="Q358" s="683"/>
      <c r="R358" s="683"/>
      <c r="S358" s="683"/>
      <c r="T358" s="501"/>
      <c r="U358" s="501"/>
      <c r="V358" s="501"/>
      <c r="W358" s="501"/>
      <c r="X358" s="501"/>
      <c r="Y358" s="501"/>
      <c r="Z358" s="501"/>
      <c r="AA358" s="501"/>
      <c r="AB358" s="501"/>
      <c r="AC358" s="501"/>
      <c r="AD358" s="501"/>
      <c r="AE358" s="501"/>
      <c r="AF358" s="501"/>
      <c r="AG358" s="501"/>
      <c r="AH358" s="501"/>
      <c r="AI358" s="501"/>
      <c r="AJ358" s="501"/>
      <c r="AK358" s="501"/>
      <c r="AL358" s="501"/>
      <c r="AM358" s="501"/>
      <c r="AN358" s="501"/>
      <c r="AO358" s="501"/>
      <c r="AP358" s="501"/>
      <c r="AQ358" s="501"/>
      <c r="AR358" s="501"/>
      <c r="AS358" s="501"/>
      <c r="AT358" s="501"/>
      <c r="AU358" s="501"/>
      <c r="AV358" s="501"/>
      <c r="AW358" s="501"/>
      <c r="AX358" s="501"/>
      <c r="AY358" s="501"/>
      <c r="AZ358" s="501"/>
      <c r="BA358" s="501"/>
      <c r="BB358" s="501"/>
      <c r="BC358" s="501"/>
      <c r="BD358" s="501"/>
      <c r="BE358" s="501"/>
      <c r="BF358" s="501"/>
      <c r="BG358" s="501"/>
      <c r="BH358" s="501"/>
      <c r="BI358" s="501"/>
      <c r="BJ358" s="501"/>
      <c r="BK358" s="501"/>
      <c r="BL358" s="501"/>
      <c r="BM358" s="501"/>
      <c r="BN358" s="501"/>
      <c r="BO358" s="501"/>
      <c r="BP358" s="501"/>
      <c r="BQ358" s="501"/>
      <c r="BR358" s="501"/>
      <c r="BS358" s="501"/>
      <c r="BT358" s="501"/>
      <c r="BU358" s="501"/>
      <c r="BV358" s="501"/>
      <c r="BW358" s="501"/>
      <c r="BX358" s="501"/>
      <c r="BY358" s="501"/>
      <c r="BZ358" s="501"/>
      <c r="CA358" s="501"/>
      <c r="CB358" s="501"/>
      <c r="CC358" s="501"/>
      <c r="CD358" s="501"/>
      <c r="CE358" s="501"/>
      <c r="CF358" s="501"/>
      <c r="CG358" s="501"/>
      <c r="CH358" s="501"/>
      <c r="CI358" s="501"/>
      <c r="CJ358" s="501"/>
      <c r="CK358" s="501"/>
      <c r="CL358" s="501"/>
      <c r="CM358" s="501"/>
      <c r="CN358" s="501"/>
      <c r="CO358" s="501"/>
      <c r="CP358" s="501"/>
      <c r="CQ358" s="501"/>
      <c r="CR358" s="501"/>
      <c r="CS358" s="501"/>
      <c r="CT358" s="501"/>
    </row>
    <row r="359">
      <c r="A359" s="569"/>
      <c r="B359" s="569"/>
      <c r="C359" s="569"/>
      <c r="D359" s="498"/>
      <c r="E359" s="499"/>
      <c r="F359" s="499"/>
      <c r="G359" s="766"/>
      <c r="H359" s="766"/>
      <c r="I359" s="766"/>
      <c r="J359" s="766"/>
      <c r="K359" s="683"/>
      <c r="L359" s="683"/>
      <c r="M359" s="683"/>
      <c r="N359" s="683"/>
      <c r="O359" s="683"/>
      <c r="P359" s="683"/>
      <c r="Q359" s="683"/>
      <c r="R359" s="683"/>
      <c r="S359" s="683"/>
      <c r="T359" s="501"/>
      <c r="U359" s="501"/>
      <c r="V359" s="501"/>
      <c r="W359" s="501"/>
      <c r="X359" s="501"/>
      <c r="Y359" s="501"/>
      <c r="Z359" s="501"/>
      <c r="AA359" s="501"/>
      <c r="AB359" s="501"/>
      <c r="AC359" s="501"/>
      <c r="AD359" s="501"/>
      <c r="AE359" s="501"/>
      <c r="AF359" s="501"/>
      <c r="AG359" s="501"/>
      <c r="AH359" s="501"/>
      <c r="AI359" s="501"/>
      <c r="AJ359" s="501"/>
      <c r="AK359" s="501"/>
      <c r="AL359" s="501"/>
      <c r="AM359" s="501"/>
      <c r="AN359" s="501"/>
      <c r="AO359" s="501"/>
      <c r="AP359" s="501"/>
      <c r="AQ359" s="501"/>
      <c r="AR359" s="501"/>
      <c r="AS359" s="501"/>
      <c r="AT359" s="501"/>
      <c r="AU359" s="501"/>
      <c r="AV359" s="501"/>
      <c r="AW359" s="501"/>
      <c r="AX359" s="501"/>
      <c r="AY359" s="501"/>
      <c r="AZ359" s="501"/>
      <c r="BA359" s="501"/>
      <c r="BB359" s="501"/>
      <c r="BC359" s="501"/>
      <c r="BD359" s="501"/>
      <c r="BE359" s="501"/>
      <c r="BF359" s="501"/>
      <c r="BG359" s="501"/>
      <c r="BH359" s="501"/>
      <c r="BI359" s="501"/>
      <c r="BJ359" s="501"/>
      <c r="BK359" s="501"/>
      <c r="BL359" s="501"/>
      <c r="BM359" s="501"/>
      <c r="BN359" s="501"/>
      <c r="BO359" s="501"/>
      <c r="BP359" s="501"/>
      <c r="BQ359" s="501"/>
      <c r="BR359" s="501"/>
      <c r="BS359" s="501"/>
      <c r="BT359" s="501"/>
      <c r="BU359" s="501"/>
      <c r="BV359" s="501"/>
      <c r="BW359" s="501"/>
      <c r="BX359" s="501"/>
      <c r="BY359" s="501"/>
      <c r="BZ359" s="501"/>
      <c r="CA359" s="501"/>
      <c r="CB359" s="501"/>
      <c r="CC359" s="501"/>
      <c r="CD359" s="501"/>
      <c r="CE359" s="501"/>
      <c r="CF359" s="501"/>
      <c r="CG359" s="501"/>
      <c r="CH359" s="501"/>
      <c r="CI359" s="501"/>
      <c r="CJ359" s="501"/>
      <c r="CK359" s="501"/>
      <c r="CL359" s="501"/>
      <c r="CM359" s="501"/>
      <c r="CN359" s="501"/>
      <c r="CO359" s="501"/>
      <c r="CP359" s="501"/>
      <c r="CQ359" s="501"/>
      <c r="CR359" s="501"/>
      <c r="CS359" s="501"/>
      <c r="CT359" s="501"/>
    </row>
    <row r="360">
      <c r="A360" s="569"/>
      <c r="B360" s="569"/>
      <c r="C360" s="569"/>
      <c r="D360" s="498"/>
      <c r="E360" s="499"/>
      <c r="F360" s="499"/>
      <c r="G360" s="766"/>
      <c r="H360" s="766"/>
      <c r="I360" s="766"/>
      <c r="J360" s="766"/>
      <c r="K360" s="683"/>
      <c r="L360" s="683"/>
      <c r="M360" s="683"/>
      <c r="N360" s="683"/>
      <c r="O360" s="683"/>
      <c r="P360" s="683"/>
      <c r="Q360" s="683"/>
      <c r="R360" s="683"/>
      <c r="S360" s="683"/>
      <c r="T360" s="501"/>
      <c r="U360" s="501"/>
      <c r="V360" s="501"/>
      <c r="W360" s="501"/>
      <c r="X360" s="501"/>
      <c r="Y360" s="501"/>
      <c r="Z360" s="501"/>
      <c r="AA360" s="501"/>
      <c r="AB360" s="501"/>
      <c r="AC360" s="501"/>
      <c r="AD360" s="501"/>
      <c r="AE360" s="501"/>
      <c r="AF360" s="501"/>
      <c r="AG360" s="501"/>
      <c r="AH360" s="501"/>
      <c r="AI360" s="501"/>
      <c r="AJ360" s="501"/>
      <c r="AK360" s="501"/>
      <c r="AL360" s="501"/>
      <c r="AM360" s="501"/>
      <c r="AN360" s="501"/>
      <c r="AO360" s="501"/>
      <c r="AP360" s="501"/>
      <c r="AQ360" s="501"/>
      <c r="AR360" s="501"/>
      <c r="AS360" s="501"/>
      <c r="AT360" s="501"/>
      <c r="AU360" s="501"/>
      <c r="AV360" s="501"/>
      <c r="AW360" s="501"/>
      <c r="AX360" s="501"/>
      <c r="AY360" s="501"/>
      <c r="AZ360" s="501"/>
      <c r="BA360" s="501"/>
      <c r="BB360" s="501"/>
      <c r="BC360" s="501"/>
      <c r="BD360" s="501"/>
      <c r="BE360" s="501"/>
      <c r="BF360" s="501"/>
      <c r="BG360" s="501"/>
      <c r="BH360" s="501"/>
      <c r="BI360" s="501"/>
      <c r="BJ360" s="501"/>
      <c r="BK360" s="501"/>
      <c r="BL360" s="501"/>
      <c r="BM360" s="501"/>
      <c r="BN360" s="501"/>
      <c r="BO360" s="501"/>
      <c r="BP360" s="501"/>
      <c r="BQ360" s="501"/>
      <c r="BR360" s="501"/>
      <c r="BS360" s="501"/>
      <c r="BT360" s="501"/>
      <c r="BU360" s="501"/>
      <c r="BV360" s="501"/>
      <c r="BW360" s="501"/>
      <c r="BX360" s="501"/>
      <c r="BY360" s="501"/>
      <c r="BZ360" s="501"/>
      <c r="CA360" s="501"/>
      <c r="CB360" s="501"/>
      <c r="CC360" s="501"/>
      <c r="CD360" s="501"/>
      <c r="CE360" s="501"/>
      <c r="CF360" s="501"/>
      <c r="CG360" s="501"/>
      <c r="CH360" s="501"/>
      <c r="CI360" s="501"/>
      <c r="CJ360" s="501"/>
      <c r="CK360" s="501"/>
      <c r="CL360" s="501"/>
      <c r="CM360" s="501"/>
      <c r="CN360" s="501"/>
      <c r="CO360" s="501"/>
      <c r="CP360" s="501"/>
      <c r="CQ360" s="501"/>
      <c r="CR360" s="501"/>
      <c r="CS360" s="501"/>
      <c r="CT360" s="501"/>
    </row>
    <row r="361">
      <c r="A361" s="569"/>
      <c r="B361" s="569"/>
      <c r="C361" s="569"/>
      <c r="D361" s="498"/>
      <c r="E361" s="499"/>
      <c r="F361" s="499"/>
      <c r="G361" s="766"/>
      <c r="H361" s="766"/>
      <c r="I361" s="766"/>
      <c r="J361" s="766"/>
      <c r="K361" s="683"/>
      <c r="L361" s="683"/>
      <c r="M361" s="683"/>
      <c r="N361" s="683"/>
      <c r="O361" s="683"/>
      <c r="P361" s="683"/>
      <c r="Q361" s="683"/>
      <c r="R361" s="683"/>
      <c r="S361" s="683"/>
      <c r="T361" s="501"/>
      <c r="U361" s="501"/>
      <c r="V361" s="501"/>
      <c r="W361" s="501"/>
      <c r="X361" s="501"/>
      <c r="Y361" s="501"/>
      <c r="Z361" s="501"/>
      <c r="AA361" s="501"/>
      <c r="AB361" s="501"/>
      <c r="AC361" s="501"/>
      <c r="AD361" s="501"/>
      <c r="AE361" s="501"/>
      <c r="AF361" s="501"/>
      <c r="AG361" s="501"/>
      <c r="AH361" s="501"/>
      <c r="AI361" s="501"/>
      <c r="AJ361" s="501"/>
      <c r="AK361" s="501"/>
      <c r="AL361" s="501"/>
      <c r="AM361" s="501"/>
      <c r="AN361" s="501"/>
      <c r="AO361" s="501"/>
      <c r="AP361" s="501"/>
      <c r="AQ361" s="501"/>
      <c r="AR361" s="501"/>
      <c r="AS361" s="501"/>
      <c r="AT361" s="501"/>
      <c r="AU361" s="501"/>
      <c r="AV361" s="501"/>
      <c r="AW361" s="501"/>
      <c r="AX361" s="501"/>
      <c r="AY361" s="501"/>
      <c r="AZ361" s="501"/>
      <c r="BA361" s="501"/>
      <c r="BB361" s="501"/>
      <c r="BC361" s="501"/>
      <c r="BD361" s="501"/>
      <c r="BE361" s="501"/>
      <c r="BF361" s="501"/>
      <c r="BG361" s="501"/>
      <c r="BH361" s="501"/>
      <c r="BI361" s="501"/>
      <c r="BJ361" s="501"/>
      <c r="BK361" s="501"/>
      <c r="BL361" s="501"/>
      <c r="BM361" s="501"/>
      <c r="BN361" s="501"/>
      <c r="BO361" s="501"/>
      <c r="BP361" s="501"/>
      <c r="BQ361" s="501"/>
      <c r="BR361" s="501"/>
      <c r="BS361" s="501"/>
      <c r="BT361" s="501"/>
      <c r="BU361" s="501"/>
      <c r="BV361" s="501"/>
      <c r="BW361" s="501"/>
      <c r="BX361" s="501"/>
      <c r="BY361" s="501"/>
      <c r="BZ361" s="501"/>
      <c r="CA361" s="501"/>
      <c r="CB361" s="501"/>
      <c r="CC361" s="501"/>
      <c r="CD361" s="501"/>
      <c r="CE361" s="501"/>
      <c r="CF361" s="501"/>
      <c r="CG361" s="501"/>
      <c r="CH361" s="501"/>
      <c r="CI361" s="501"/>
      <c r="CJ361" s="501"/>
      <c r="CK361" s="501"/>
      <c r="CL361" s="501"/>
      <c r="CM361" s="501"/>
      <c r="CN361" s="501"/>
      <c r="CO361" s="501"/>
      <c r="CP361" s="501"/>
      <c r="CQ361" s="501"/>
      <c r="CR361" s="501"/>
      <c r="CS361" s="501"/>
      <c r="CT361" s="501"/>
    </row>
    <row r="362">
      <c r="A362" s="569"/>
      <c r="B362" s="569"/>
      <c r="C362" s="569"/>
      <c r="D362" s="498"/>
      <c r="E362" s="499"/>
      <c r="F362" s="499"/>
      <c r="G362" s="766"/>
      <c r="H362" s="766"/>
      <c r="I362" s="766"/>
      <c r="J362" s="766"/>
      <c r="K362" s="683"/>
      <c r="L362" s="683"/>
      <c r="M362" s="683"/>
      <c r="N362" s="683"/>
      <c r="O362" s="683"/>
      <c r="P362" s="683"/>
      <c r="Q362" s="683"/>
      <c r="R362" s="683"/>
      <c r="S362" s="683"/>
      <c r="T362" s="501"/>
      <c r="U362" s="501"/>
      <c r="V362" s="501"/>
      <c r="W362" s="501"/>
      <c r="X362" s="501"/>
      <c r="Y362" s="501"/>
      <c r="Z362" s="501"/>
      <c r="AA362" s="501"/>
      <c r="AB362" s="501"/>
      <c r="AC362" s="501"/>
      <c r="AD362" s="501"/>
      <c r="AE362" s="501"/>
      <c r="AF362" s="501"/>
      <c r="AG362" s="501"/>
      <c r="AH362" s="501"/>
      <c r="AI362" s="501"/>
      <c r="AJ362" s="501"/>
      <c r="AK362" s="501"/>
      <c r="AL362" s="501"/>
      <c r="AM362" s="501"/>
      <c r="AN362" s="501"/>
      <c r="AO362" s="501"/>
      <c r="AP362" s="501"/>
      <c r="AQ362" s="501"/>
      <c r="AR362" s="501"/>
      <c r="AS362" s="501"/>
      <c r="AT362" s="501"/>
      <c r="AU362" s="501"/>
      <c r="AV362" s="501"/>
      <c r="AW362" s="501"/>
      <c r="AX362" s="501"/>
      <c r="AY362" s="501"/>
      <c r="AZ362" s="501"/>
      <c r="BA362" s="501"/>
      <c r="BB362" s="501"/>
      <c r="BC362" s="501"/>
      <c r="BD362" s="501"/>
      <c r="BE362" s="501"/>
      <c r="BF362" s="501"/>
      <c r="BG362" s="501"/>
      <c r="BH362" s="501"/>
      <c r="BI362" s="501"/>
      <c r="BJ362" s="501"/>
      <c r="BK362" s="501"/>
      <c r="BL362" s="501"/>
      <c r="BM362" s="501"/>
      <c r="BN362" s="501"/>
      <c r="BO362" s="501"/>
      <c r="BP362" s="501"/>
      <c r="BQ362" s="501"/>
      <c r="BR362" s="501"/>
      <c r="BS362" s="501"/>
      <c r="BT362" s="501"/>
      <c r="BU362" s="501"/>
      <c r="BV362" s="501"/>
      <c r="BW362" s="501"/>
      <c r="BX362" s="501"/>
      <c r="BY362" s="501"/>
      <c r="BZ362" s="501"/>
      <c r="CA362" s="501"/>
      <c r="CB362" s="501"/>
      <c r="CC362" s="501"/>
      <c r="CD362" s="501"/>
      <c r="CE362" s="501"/>
      <c r="CF362" s="501"/>
      <c r="CG362" s="501"/>
      <c r="CH362" s="501"/>
      <c r="CI362" s="501"/>
      <c r="CJ362" s="501"/>
      <c r="CK362" s="501"/>
      <c r="CL362" s="501"/>
      <c r="CM362" s="501"/>
      <c r="CN362" s="501"/>
      <c r="CO362" s="501"/>
      <c r="CP362" s="501"/>
      <c r="CQ362" s="501"/>
      <c r="CR362" s="501"/>
      <c r="CS362" s="501"/>
      <c r="CT362" s="501"/>
    </row>
    <row r="363">
      <c r="A363" s="569"/>
      <c r="B363" s="569"/>
      <c r="C363" s="569"/>
      <c r="D363" s="498"/>
      <c r="E363" s="499"/>
      <c r="F363" s="499"/>
      <c r="G363" s="766"/>
      <c r="H363" s="766"/>
      <c r="I363" s="766"/>
      <c r="J363" s="766"/>
      <c r="K363" s="683"/>
      <c r="L363" s="683"/>
      <c r="M363" s="683"/>
      <c r="N363" s="683"/>
      <c r="O363" s="683"/>
      <c r="P363" s="683"/>
      <c r="Q363" s="683"/>
      <c r="R363" s="683"/>
      <c r="S363" s="683"/>
      <c r="T363" s="501"/>
      <c r="U363" s="501"/>
      <c r="V363" s="501"/>
      <c r="W363" s="501"/>
      <c r="X363" s="501"/>
      <c r="Y363" s="501"/>
      <c r="Z363" s="501"/>
      <c r="AA363" s="501"/>
      <c r="AB363" s="501"/>
      <c r="AC363" s="501"/>
      <c r="AD363" s="501"/>
      <c r="AE363" s="501"/>
      <c r="AF363" s="501"/>
      <c r="AG363" s="501"/>
      <c r="AH363" s="501"/>
      <c r="AI363" s="501"/>
      <c r="AJ363" s="501"/>
      <c r="AK363" s="501"/>
      <c r="AL363" s="501"/>
      <c r="AM363" s="501"/>
      <c r="AN363" s="501"/>
      <c r="AO363" s="501"/>
      <c r="AP363" s="501"/>
      <c r="AQ363" s="501"/>
      <c r="AR363" s="501"/>
      <c r="AS363" s="501"/>
      <c r="AT363" s="501"/>
      <c r="AU363" s="501"/>
      <c r="AV363" s="501"/>
      <c r="AW363" s="501"/>
      <c r="AX363" s="501"/>
      <c r="AY363" s="501"/>
      <c r="AZ363" s="501"/>
      <c r="BA363" s="501"/>
      <c r="BB363" s="501"/>
      <c r="BC363" s="501"/>
      <c r="BD363" s="501"/>
      <c r="BE363" s="501"/>
      <c r="BF363" s="501"/>
      <c r="BG363" s="501"/>
      <c r="BH363" s="501"/>
      <c r="BI363" s="501"/>
      <c r="BJ363" s="501"/>
      <c r="BK363" s="501"/>
      <c r="BL363" s="501"/>
      <c r="BM363" s="501"/>
      <c r="BN363" s="501"/>
      <c r="BO363" s="501"/>
      <c r="BP363" s="501"/>
      <c r="BQ363" s="501"/>
      <c r="BR363" s="501"/>
      <c r="BS363" s="501"/>
      <c r="BT363" s="501"/>
      <c r="BU363" s="501"/>
      <c r="BV363" s="501"/>
      <c r="BW363" s="501"/>
      <c r="BX363" s="501"/>
      <c r="BY363" s="501"/>
      <c r="BZ363" s="501"/>
      <c r="CA363" s="501"/>
      <c r="CB363" s="501"/>
      <c r="CC363" s="501"/>
      <c r="CD363" s="501"/>
      <c r="CE363" s="501"/>
      <c r="CF363" s="501"/>
      <c r="CG363" s="501"/>
      <c r="CH363" s="501"/>
      <c r="CI363" s="501"/>
      <c r="CJ363" s="501"/>
      <c r="CK363" s="501"/>
      <c r="CL363" s="501"/>
      <c r="CM363" s="501"/>
      <c r="CN363" s="501"/>
      <c r="CO363" s="501"/>
      <c r="CP363" s="501"/>
      <c r="CQ363" s="501"/>
      <c r="CR363" s="501"/>
      <c r="CS363" s="501"/>
      <c r="CT363" s="501"/>
    </row>
    <row r="364">
      <c r="A364" s="569"/>
      <c r="B364" s="569"/>
      <c r="C364" s="569"/>
      <c r="D364" s="498"/>
      <c r="E364" s="499"/>
      <c r="F364" s="499"/>
      <c r="G364" s="766"/>
      <c r="H364" s="766"/>
      <c r="I364" s="766"/>
      <c r="J364" s="766"/>
      <c r="K364" s="683"/>
      <c r="L364" s="683"/>
      <c r="M364" s="683"/>
      <c r="N364" s="683"/>
      <c r="O364" s="683"/>
      <c r="P364" s="683"/>
      <c r="Q364" s="683"/>
      <c r="R364" s="683"/>
      <c r="S364" s="683"/>
      <c r="T364" s="501"/>
      <c r="U364" s="501"/>
      <c r="V364" s="501"/>
      <c r="W364" s="501"/>
      <c r="X364" s="501"/>
      <c r="Y364" s="501"/>
      <c r="Z364" s="501"/>
      <c r="AA364" s="501"/>
      <c r="AB364" s="501"/>
      <c r="AC364" s="501"/>
      <c r="AD364" s="501"/>
      <c r="AE364" s="501"/>
      <c r="AF364" s="501"/>
      <c r="AG364" s="501"/>
      <c r="AH364" s="501"/>
      <c r="AI364" s="501"/>
      <c r="AJ364" s="501"/>
      <c r="AK364" s="501"/>
      <c r="AL364" s="501"/>
      <c r="AM364" s="501"/>
      <c r="AN364" s="501"/>
      <c r="AO364" s="501"/>
      <c r="AP364" s="501"/>
      <c r="AQ364" s="501"/>
      <c r="AR364" s="501"/>
      <c r="AS364" s="501"/>
      <c r="AT364" s="501"/>
      <c r="AU364" s="501"/>
      <c r="AV364" s="501"/>
      <c r="AW364" s="501"/>
      <c r="AX364" s="501"/>
      <c r="AY364" s="501"/>
      <c r="AZ364" s="501"/>
      <c r="BA364" s="501"/>
      <c r="BB364" s="501"/>
      <c r="BC364" s="501"/>
      <c r="BD364" s="501"/>
      <c r="BE364" s="501"/>
      <c r="BF364" s="501"/>
      <c r="BG364" s="501"/>
      <c r="BH364" s="501"/>
      <c r="BI364" s="501"/>
      <c r="BJ364" s="501"/>
      <c r="BK364" s="501"/>
      <c r="BL364" s="501"/>
      <c r="BM364" s="501"/>
      <c r="BN364" s="501"/>
      <c r="BO364" s="501"/>
      <c r="BP364" s="501"/>
      <c r="BQ364" s="501"/>
      <c r="BR364" s="501"/>
      <c r="BS364" s="501"/>
      <c r="BT364" s="501"/>
      <c r="BU364" s="501"/>
      <c r="BV364" s="501"/>
      <c r="BW364" s="501"/>
      <c r="BX364" s="501"/>
      <c r="BY364" s="501"/>
      <c r="BZ364" s="501"/>
      <c r="CA364" s="501"/>
      <c r="CB364" s="501"/>
      <c r="CC364" s="501"/>
      <c r="CD364" s="501"/>
      <c r="CE364" s="501"/>
      <c r="CF364" s="501"/>
      <c r="CG364" s="501"/>
      <c r="CH364" s="501"/>
      <c r="CI364" s="501"/>
      <c r="CJ364" s="501"/>
      <c r="CK364" s="501"/>
      <c r="CL364" s="501"/>
      <c r="CM364" s="501"/>
      <c r="CN364" s="501"/>
      <c r="CO364" s="501"/>
      <c r="CP364" s="501"/>
      <c r="CQ364" s="501"/>
      <c r="CR364" s="501"/>
      <c r="CS364" s="501"/>
      <c r="CT364" s="501"/>
    </row>
    <row r="365">
      <c r="A365" s="569"/>
      <c r="B365" s="569"/>
      <c r="C365" s="569"/>
      <c r="D365" s="498"/>
      <c r="E365" s="499"/>
      <c r="F365" s="499"/>
      <c r="G365" s="766"/>
      <c r="H365" s="766"/>
      <c r="I365" s="766"/>
      <c r="J365" s="766"/>
      <c r="K365" s="683"/>
      <c r="L365" s="683"/>
      <c r="M365" s="683"/>
      <c r="N365" s="683"/>
      <c r="O365" s="683"/>
      <c r="P365" s="683"/>
      <c r="Q365" s="683"/>
      <c r="R365" s="683"/>
      <c r="S365" s="683"/>
      <c r="T365" s="501"/>
      <c r="U365" s="501"/>
      <c r="V365" s="501"/>
      <c r="W365" s="501"/>
      <c r="X365" s="501"/>
      <c r="Y365" s="501"/>
      <c r="Z365" s="501"/>
      <c r="AA365" s="501"/>
      <c r="AB365" s="501"/>
      <c r="AC365" s="501"/>
      <c r="AD365" s="501"/>
      <c r="AE365" s="501"/>
      <c r="AF365" s="501"/>
      <c r="AG365" s="501"/>
      <c r="AH365" s="501"/>
      <c r="AI365" s="501"/>
      <c r="AJ365" s="501"/>
      <c r="AK365" s="501"/>
      <c r="AL365" s="501"/>
      <c r="AM365" s="501"/>
      <c r="AN365" s="501"/>
      <c r="AO365" s="501"/>
      <c r="AP365" s="501"/>
      <c r="AQ365" s="501"/>
      <c r="AR365" s="501"/>
      <c r="AS365" s="501"/>
      <c r="AT365" s="501"/>
      <c r="AU365" s="501"/>
      <c r="AV365" s="501"/>
      <c r="AW365" s="501"/>
      <c r="AX365" s="501"/>
      <c r="AY365" s="501"/>
      <c r="AZ365" s="501"/>
      <c r="BA365" s="501"/>
      <c r="BB365" s="501"/>
      <c r="BC365" s="501"/>
      <c r="BD365" s="501"/>
      <c r="BE365" s="501"/>
      <c r="BF365" s="501"/>
      <c r="BG365" s="501"/>
      <c r="BH365" s="501"/>
      <c r="BI365" s="501"/>
      <c r="BJ365" s="501"/>
      <c r="BK365" s="501"/>
      <c r="BL365" s="501"/>
      <c r="BM365" s="501"/>
      <c r="BN365" s="501"/>
      <c r="BO365" s="501"/>
      <c r="BP365" s="501"/>
      <c r="BQ365" s="501"/>
      <c r="BR365" s="501"/>
      <c r="BS365" s="501"/>
      <c r="BT365" s="501"/>
      <c r="BU365" s="501"/>
      <c r="BV365" s="501"/>
      <c r="BW365" s="501"/>
      <c r="BX365" s="501"/>
      <c r="BY365" s="501"/>
      <c r="BZ365" s="501"/>
      <c r="CA365" s="501"/>
      <c r="CB365" s="501"/>
      <c r="CC365" s="501"/>
      <c r="CD365" s="501"/>
      <c r="CE365" s="501"/>
      <c r="CF365" s="501"/>
      <c r="CG365" s="501"/>
      <c r="CH365" s="501"/>
      <c r="CI365" s="501"/>
      <c r="CJ365" s="501"/>
      <c r="CK365" s="501"/>
      <c r="CL365" s="501"/>
      <c r="CM365" s="501"/>
      <c r="CN365" s="501"/>
      <c r="CO365" s="501"/>
      <c r="CP365" s="501"/>
      <c r="CQ365" s="501"/>
      <c r="CR365" s="501"/>
      <c r="CS365" s="501"/>
      <c r="CT365" s="501"/>
    </row>
    <row r="366">
      <c r="A366" s="569"/>
      <c r="B366" s="569"/>
      <c r="C366" s="569"/>
      <c r="D366" s="498"/>
      <c r="E366" s="499"/>
      <c r="F366" s="499"/>
      <c r="G366" s="766"/>
      <c r="H366" s="766"/>
      <c r="I366" s="766"/>
      <c r="J366" s="766"/>
      <c r="K366" s="683"/>
      <c r="L366" s="683"/>
      <c r="M366" s="683"/>
      <c r="N366" s="683"/>
      <c r="O366" s="683"/>
      <c r="P366" s="683"/>
      <c r="Q366" s="683"/>
      <c r="R366" s="683"/>
      <c r="S366" s="683"/>
      <c r="T366" s="501"/>
      <c r="U366" s="501"/>
      <c r="V366" s="501"/>
      <c r="W366" s="501"/>
      <c r="X366" s="501"/>
      <c r="Y366" s="501"/>
      <c r="Z366" s="501"/>
      <c r="AA366" s="501"/>
      <c r="AB366" s="501"/>
      <c r="AC366" s="501"/>
      <c r="AD366" s="501"/>
      <c r="AE366" s="501"/>
      <c r="AF366" s="501"/>
      <c r="AG366" s="501"/>
      <c r="AH366" s="501"/>
      <c r="AI366" s="501"/>
      <c r="AJ366" s="501"/>
      <c r="AK366" s="501"/>
      <c r="AL366" s="501"/>
      <c r="AM366" s="501"/>
      <c r="AN366" s="501"/>
      <c r="AO366" s="501"/>
      <c r="AP366" s="501"/>
      <c r="AQ366" s="501"/>
      <c r="AR366" s="501"/>
      <c r="AS366" s="501"/>
      <c r="AT366" s="501"/>
      <c r="AU366" s="501"/>
      <c r="AV366" s="501"/>
      <c r="AW366" s="501"/>
      <c r="AX366" s="501"/>
      <c r="AY366" s="501"/>
      <c r="AZ366" s="501"/>
      <c r="BA366" s="501"/>
      <c r="BB366" s="501"/>
      <c r="BC366" s="501"/>
      <c r="BD366" s="501"/>
      <c r="BE366" s="501"/>
      <c r="BF366" s="501"/>
      <c r="BG366" s="501"/>
      <c r="BH366" s="501"/>
      <c r="BI366" s="501"/>
      <c r="BJ366" s="501"/>
      <c r="BK366" s="501"/>
      <c r="BL366" s="501"/>
      <c r="BM366" s="501"/>
      <c r="BN366" s="501"/>
      <c r="BO366" s="501"/>
      <c r="BP366" s="501"/>
      <c r="BQ366" s="501"/>
      <c r="BR366" s="501"/>
      <c r="BS366" s="501"/>
      <c r="BT366" s="501"/>
      <c r="BU366" s="501"/>
      <c r="BV366" s="501"/>
      <c r="BW366" s="501"/>
      <c r="BX366" s="501"/>
      <c r="BY366" s="501"/>
      <c r="BZ366" s="501"/>
      <c r="CA366" s="501"/>
      <c r="CB366" s="501"/>
      <c r="CC366" s="501"/>
      <c r="CD366" s="501"/>
      <c r="CE366" s="501"/>
      <c r="CF366" s="501"/>
      <c r="CG366" s="501"/>
      <c r="CH366" s="501"/>
      <c r="CI366" s="501"/>
      <c r="CJ366" s="501"/>
      <c r="CK366" s="501"/>
      <c r="CL366" s="501"/>
      <c r="CM366" s="501"/>
      <c r="CN366" s="501"/>
      <c r="CO366" s="501"/>
      <c r="CP366" s="501"/>
      <c r="CQ366" s="501"/>
      <c r="CR366" s="501"/>
      <c r="CS366" s="501"/>
      <c r="CT366" s="501"/>
    </row>
    <row r="367">
      <c r="A367" s="569"/>
      <c r="B367" s="569"/>
      <c r="C367" s="569"/>
      <c r="D367" s="498"/>
      <c r="E367" s="499"/>
      <c r="F367" s="499"/>
      <c r="G367" s="766"/>
      <c r="H367" s="766"/>
      <c r="I367" s="766"/>
      <c r="J367" s="766"/>
      <c r="K367" s="683"/>
      <c r="L367" s="683"/>
      <c r="M367" s="683"/>
      <c r="N367" s="683"/>
      <c r="O367" s="683"/>
      <c r="P367" s="683"/>
      <c r="Q367" s="683"/>
      <c r="R367" s="683"/>
      <c r="S367" s="683"/>
      <c r="T367" s="501"/>
      <c r="U367" s="501"/>
      <c r="V367" s="501"/>
      <c r="W367" s="501"/>
      <c r="X367" s="501"/>
      <c r="Y367" s="501"/>
      <c r="Z367" s="501"/>
      <c r="AA367" s="501"/>
      <c r="AB367" s="501"/>
      <c r="AC367" s="501"/>
      <c r="AD367" s="501"/>
      <c r="AE367" s="501"/>
      <c r="AF367" s="501"/>
      <c r="AG367" s="501"/>
      <c r="AH367" s="501"/>
      <c r="AI367" s="501"/>
      <c r="AJ367" s="501"/>
      <c r="AK367" s="501"/>
      <c r="AL367" s="501"/>
      <c r="AM367" s="501"/>
      <c r="AN367" s="501"/>
      <c r="AO367" s="501"/>
      <c r="AP367" s="501"/>
      <c r="AQ367" s="501"/>
      <c r="AR367" s="501"/>
      <c r="AS367" s="501"/>
      <c r="AT367" s="501"/>
      <c r="AU367" s="501"/>
      <c r="AV367" s="501"/>
      <c r="AW367" s="501"/>
      <c r="AX367" s="501"/>
      <c r="AY367" s="501"/>
      <c r="AZ367" s="501"/>
      <c r="BA367" s="501"/>
      <c r="BB367" s="501"/>
      <c r="BC367" s="501"/>
      <c r="BD367" s="501"/>
      <c r="BE367" s="501"/>
      <c r="BF367" s="501"/>
      <c r="BG367" s="501"/>
      <c r="BH367" s="501"/>
      <c r="BI367" s="501"/>
      <c r="BJ367" s="501"/>
      <c r="BK367" s="501"/>
      <c r="BL367" s="501"/>
      <c r="BM367" s="501"/>
      <c r="BN367" s="501"/>
      <c r="BO367" s="501"/>
      <c r="BP367" s="501"/>
      <c r="BQ367" s="501"/>
      <c r="BR367" s="501"/>
      <c r="BS367" s="501"/>
      <c r="BT367" s="501"/>
      <c r="BU367" s="501"/>
      <c r="BV367" s="501"/>
      <c r="BW367" s="501"/>
      <c r="BX367" s="501"/>
      <c r="BY367" s="501"/>
      <c r="BZ367" s="501"/>
      <c r="CA367" s="501"/>
      <c r="CB367" s="501"/>
      <c r="CC367" s="501"/>
      <c r="CD367" s="501"/>
      <c r="CE367" s="501"/>
      <c r="CF367" s="501"/>
      <c r="CG367" s="501"/>
      <c r="CH367" s="501"/>
      <c r="CI367" s="501"/>
      <c r="CJ367" s="501"/>
      <c r="CK367" s="501"/>
      <c r="CL367" s="501"/>
      <c r="CM367" s="501"/>
      <c r="CN367" s="501"/>
      <c r="CO367" s="501"/>
      <c r="CP367" s="501"/>
      <c r="CQ367" s="501"/>
      <c r="CR367" s="501"/>
      <c r="CS367" s="501"/>
      <c r="CT367" s="501"/>
    </row>
    <row r="368">
      <c r="A368" s="569"/>
      <c r="B368" s="569"/>
      <c r="C368" s="569"/>
      <c r="D368" s="498"/>
      <c r="E368" s="499"/>
      <c r="F368" s="499"/>
      <c r="G368" s="766"/>
      <c r="H368" s="766"/>
      <c r="I368" s="766"/>
      <c r="J368" s="766"/>
      <c r="K368" s="683"/>
      <c r="L368" s="683"/>
      <c r="M368" s="683"/>
      <c r="N368" s="683"/>
      <c r="O368" s="683"/>
      <c r="P368" s="683"/>
      <c r="Q368" s="683"/>
      <c r="R368" s="683"/>
      <c r="S368" s="683"/>
      <c r="T368" s="501"/>
      <c r="U368" s="501"/>
      <c r="V368" s="501"/>
      <c r="W368" s="501"/>
      <c r="X368" s="501"/>
      <c r="Y368" s="501"/>
      <c r="Z368" s="501"/>
      <c r="AA368" s="501"/>
      <c r="AB368" s="501"/>
      <c r="AC368" s="501"/>
      <c r="AD368" s="501"/>
      <c r="AE368" s="501"/>
      <c r="AF368" s="501"/>
      <c r="AG368" s="501"/>
      <c r="AH368" s="501"/>
      <c r="AI368" s="501"/>
      <c r="AJ368" s="501"/>
      <c r="AK368" s="501"/>
      <c r="AL368" s="501"/>
      <c r="AM368" s="501"/>
      <c r="AN368" s="501"/>
      <c r="AO368" s="501"/>
      <c r="AP368" s="501"/>
      <c r="AQ368" s="501"/>
      <c r="AR368" s="501"/>
      <c r="AS368" s="501"/>
      <c r="AT368" s="501"/>
      <c r="AU368" s="501"/>
      <c r="AV368" s="501"/>
      <c r="AW368" s="501"/>
      <c r="AX368" s="501"/>
      <c r="AY368" s="501"/>
      <c r="AZ368" s="501"/>
      <c r="BA368" s="501"/>
      <c r="BB368" s="501"/>
      <c r="BC368" s="501"/>
      <c r="BD368" s="501"/>
      <c r="BE368" s="501"/>
      <c r="BF368" s="501"/>
      <c r="BG368" s="501"/>
      <c r="BH368" s="501"/>
      <c r="BI368" s="501"/>
      <c r="BJ368" s="501"/>
      <c r="BK368" s="501"/>
      <c r="BL368" s="501"/>
      <c r="BM368" s="501"/>
      <c r="BN368" s="501"/>
      <c r="BO368" s="501"/>
      <c r="BP368" s="501"/>
      <c r="BQ368" s="501"/>
      <c r="BR368" s="501"/>
      <c r="BS368" s="501"/>
      <c r="BT368" s="501"/>
      <c r="BU368" s="501"/>
      <c r="BV368" s="501"/>
      <c r="BW368" s="501"/>
      <c r="BX368" s="501"/>
      <c r="BY368" s="501"/>
      <c r="BZ368" s="501"/>
      <c r="CA368" s="501"/>
      <c r="CB368" s="501"/>
      <c r="CC368" s="501"/>
      <c r="CD368" s="501"/>
      <c r="CE368" s="501"/>
      <c r="CF368" s="501"/>
      <c r="CG368" s="501"/>
      <c r="CH368" s="501"/>
      <c r="CI368" s="501"/>
      <c r="CJ368" s="501"/>
      <c r="CK368" s="501"/>
      <c r="CL368" s="501"/>
      <c r="CM368" s="501"/>
      <c r="CN368" s="501"/>
      <c r="CO368" s="501"/>
      <c r="CP368" s="501"/>
      <c r="CQ368" s="501"/>
      <c r="CR368" s="501"/>
      <c r="CS368" s="501"/>
      <c r="CT368" s="501"/>
    </row>
    <row r="369">
      <c r="A369" s="569"/>
      <c r="B369" s="569"/>
      <c r="C369" s="569"/>
      <c r="D369" s="498"/>
      <c r="E369" s="499"/>
      <c r="F369" s="499"/>
      <c r="G369" s="766"/>
      <c r="H369" s="766"/>
      <c r="I369" s="766"/>
      <c r="J369" s="766"/>
      <c r="K369" s="683"/>
      <c r="L369" s="683"/>
      <c r="M369" s="683"/>
      <c r="N369" s="683"/>
      <c r="O369" s="683"/>
      <c r="P369" s="683"/>
      <c r="Q369" s="683"/>
      <c r="R369" s="683"/>
      <c r="S369" s="683"/>
      <c r="T369" s="501"/>
      <c r="U369" s="501"/>
      <c r="V369" s="501"/>
      <c r="W369" s="501"/>
      <c r="X369" s="501"/>
      <c r="Y369" s="501"/>
      <c r="Z369" s="501"/>
      <c r="AA369" s="501"/>
      <c r="AB369" s="501"/>
      <c r="AC369" s="501"/>
      <c r="AD369" s="501"/>
      <c r="AE369" s="501"/>
      <c r="AF369" s="501"/>
      <c r="AG369" s="501"/>
      <c r="AH369" s="501"/>
      <c r="AI369" s="501"/>
      <c r="AJ369" s="501"/>
      <c r="AK369" s="501"/>
      <c r="AL369" s="501"/>
      <c r="AM369" s="501"/>
      <c r="AN369" s="501"/>
      <c r="AO369" s="501"/>
      <c r="AP369" s="501"/>
      <c r="AQ369" s="501"/>
      <c r="AR369" s="501"/>
      <c r="AS369" s="501"/>
      <c r="AT369" s="501"/>
      <c r="AU369" s="501"/>
      <c r="AV369" s="501"/>
      <c r="AW369" s="501"/>
      <c r="AX369" s="501"/>
      <c r="AY369" s="501"/>
      <c r="AZ369" s="501"/>
      <c r="BA369" s="501"/>
      <c r="BB369" s="501"/>
      <c r="BC369" s="501"/>
      <c r="BD369" s="501"/>
      <c r="BE369" s="501"/>
      <c r="BF369" s="501"/>
      <c r="BG369" s="501"/>
      <c r="BH369" s="501"/>
      <c r="BI369" s="501"/>
      <c r="BJ369" s="501"/>
      <c r="BK369" s="501"/>
      <c r="BL369" s="501"/>
      <c r="BM369" s="501"/>
      <c r="BN369" s="501"/>
      <c r="BO369" s="501"/>
      <c r="BP369" s="501"/>
      <c r="BQ369" s="501"/>
      <c r="BR369" s="501"/>
      <c r="BS369" s="501"/>
      <c r="BT369" s="501"/>
      <c r="BU369" s="501"/>
      <c r="BV369" s="501"/>
      <c r="BW369" s="501"/>
      <c r="BX369" s="501"/>
      <c r="BY369" s="501"/>
      <c r="BZ369" s="501"/>
      <c r="CA369" s="501"/>
      <c r="CB369" s="501"/>
      <c r="CC369" s="501"/>
      <c r="CD369" s="501"/>
      <c r="CE369" s="501"/>
      <c r="CF369" s="501"/>
      <c r="CG369" s="501"/>
      <c r="CH369" s="501"/>
      <c r="CI369" s="501"/>
      <c r="CJ369" s="501"/>
      <c r="CK369" s="501"/>
      <c r="CL369" s="501"/>
      <c r="CM369" s="501"/>
      <c r="CN369" s="501"/>
      <c r="CO369" s="501"/>
      <c r="CP369" s="501"/>
      <c r="CQ369" s="501"/>
      <c r="CR369" s="501"/>
      <c r="CS369" s="501"/>
      <c r="CT369" s="501"/>
    </row>
    <row r="370">
      <c r="A370" s="569"/>
      <c r="B370" s="569"/>
      <c r="C370" s="569"/>
      <c r="D370" s="498"/>
      <c r="E370" s="499"/>
      <c r="F370" s="499"/>
      <c r="G370" s="766"/>
      <c r="H370" s="766"/>
      <c r="I370" s="766"/>
      <c r="J370" s="766"/>
      <c r="K370" s="683"/>
      <c r="L370" s="683"/>
      <c r="M370" s="683"/>
      <c r="N370" s="683"/>
      <c r="O370" s="683"/>
      <c r="P370" s="683"/>
      <c r="Q370" s="683"/>
      <c r="R370" s="683"/>
      <c r="S370" s="683"/>
      <c r="T370" s="501"/>
      <c r="U370" s="501"/>
      <c r="V370" s="501"/>
      <c r="W370" s="501"/>
      <c r="X370" s="501"/>
      <c r="Y370" s="501"/>
      <c r="Z370" s="501"/>
      <c r="AA370" s="501"/>
      <c r="AB370" s="501"/>
      <c r="AC370" s="501"/>
      <c r="AD370" s="501"/>
      <c r="AE370" s="501"/>
      <c r="AF370" s="501"/>
      <c r="AG370" s="501"/>
      <c r="AH370" s="501"/>
      <c r="AI370" s="501"/>
      <c r="AJ370" s="501"/>
      <c r="AK370" s="501"/>
      <c r="AL370" s="501"/>
      <c r="AM370" s="501"/>
      <c r="AN370" s="501"/>
      <c r="AO370" s="501"/>
      <c r="AP370" s="501"/>
      <c r="AQ370" s="501"/>
      <c r="AR370" s="501"/>
      <c r="AS370" s="501"/>
      <c r="AT370" s="501"/>
      <c r="AU370" s="501"/>
      <c r="AV370" s="501"/>
      <c r="AW370" s="501"/>
      <c r="AX370" s="501"/>
      <c r="AY370" s="501"/>
      <c r="AZ370" s="501"/>
      <c r="BA370" s="501"/>
      <c r="BB370" s="501"/>
      <c r="BC370" s="501"/>
      <c r="BD370" s="501"/>
      <c r="BE370" s="501"/>
      <c r="BF370" s="501"/>
      <c r="BG370" s="501"/>
      <c r="BH370" s="501"/>
      <c r="BI370" s="501"/>
      <c r="BJ370" s="501"/>
      <c r="BK370" s="501"/>
      <c r="BL370" s="501"/>
      <c r="BM370" s="501"/>
      <c r="BN370" s="501"/>
      <c r="BO370" s="501"/>
      <c r="BP370" s="501"/>
      <c r="BQ370" s="501"/>
      <c r="BR370" s="501"/>
      <c r="BS370" s="501"/>
      <c r="BT370" s="501"/>
      <c r="BU370" s="501"/>
      <c r="BV370" s="501"/>
      <c r="BW370" s="501"/>
      <c r="BX370" s="501"/>
      <c r="BY370" s="501"/>
      <c r="BZ370" s="501"/>
      <c r="CA370" s="501"/>
      <c r="CB370" s="501"/>
      <c r="CC370" s="501"/>
      <c r="CD370" s="501"/>
      <c r="CE370" s="501"/>
      <c r="CF370" s="501"/>
      <c r="CG370" s="501"/>
      <c r="CH370" s="501"/>
      <c r="CI370" s="501"/>
      <c r="CJ370" s="501"/>
      <c r="CK370" s="501"/>
      <c r="CL370" s="501"/>
      <c r="CM370" s="501"/>
      <c r="CN370" s="501"/>
      <c r="CO370" s="501"/>
      <c r="CP370" s="501"/>
      <c r="CQ370" s="501"/>
      <c r="CR370" s="501"/>
      <c r="CS370" s="501"/>
      <c r="CT370" s="501"/>
    </row>
    <row r="371">
      <c r="A371" s="569"/>
      <c r="B371" s="569"/>
      <c r="C371" s="569"/>
      <c r="D371" s="498"/>
      <c r="E371" s="499"/>
      <c r="F371" s="499"/>
      <c r="G371" s="766"/>
      <c r="H371" s="766"/>
      <c r="I371" s="766"/>
      <c r="J371" s="766"/>
      <c r="K371" s="683"/>
      <c r="L371" s="683"/>
      <c r="M371" s="683"/>
      <c r="N371" s="683"/>
      <c r="O371" s="683"/>
      <c r="P371" s="683"/>
      <c r="Q371" s="683"/>
      <c r="R371" s="683"/>
      <c r="S371" s="683"/>
      <c r="T371" s="501"/>
      <c r="U371" s="501"/>
      <c r="V371" s="501"/>
      <c r="W371" s="501"/>
      <c r="X371" s="501"/>
      <c r="Y371" s="501"/>
      <c r="Z371" s="501"/>
      <c r="AA371" s="501"/>
      <c r="AB371" s="501"/>
      <c r="AC371" s="501"/>
      <c r="AD371" s="501"/>
      <c r="AE371" s="501"/>
      <c r="AF371" s="501"/>
      <c r="AG371" s="501"/>
      <c r="AH371" s="501"/>
      <c r="AI371" s="501"/>
      <c r="AJ371" s="501"/>
      <c r="AK371" s="501"/>
      <c r="AL371" s="501"/>
      <c r="AM371" s="501"/>
      <c r="AN371" s="501"/>
      <c r="AO371" s="501"/>
      <c r="AP371" s="501"/>
      <c r="AQ371" s="501"/>
      <c r="AR371" s="501"/>
      <c r="AS371" s="501"/>
      <c r="AT371" s="501"/>
      <c r="AU371" s="501"/>
      <c r="AV371" s="501"/>
      <c r="AW371" s="501"/>
      <c r="AX371" s="501"/>
      <c r="AY371" s="501"/>
      <c r="AZ371" s="501"/>
      <c r="BA371" s="501"/>
      <c r="BB371" s="501"/>
      <c r="BC371" s="501"/>
      <c r="BD371" s="501"/>
      <c r="BE371" s="501"/>
      <c r="BF371" s="501"/>
      <c r="BG371" s="501"/>
      <c r="BH371" s="501"/>
      <c r="BI371" s="501"/>
      <c r="BJ371" s="501"/>
      <c r="BK371" s="501"/>
      <c r="BL371" s="501"/>
      <c r="BM371" s="501"/>
      <c r="BN371" s="501"/>
      <c r="BO371" s="501"/>
      <c r="BP371" s="501"/>
      <c r="BQ371" s="501"/>
      <c r="BR371" s="501"/>
      <c r="BS371" s="501"/>
      <c r="BT371" s="501"/>
      <c r="BU371" s="501"/>
      <c r="BV371" s="501"/>
      <c r="BW371" s="501"/>
      <c r="BX371" s="501"/>
      <c r="BY371" s="501"/>
      <c r="BZ371" s="501"/>
      <c r="CA371" s="501"/>
      <c r="CB371" s="501"/>
      <c r="CC371" s="501"/>
      <c r="CD371" s="501"/>
      <c r="CE371" s="501"/>
      <c r="CF371" s="501"/>
      <c r="CG371" s="501"/>
      <c r="CH371" s="501"/>
      <c r="CI371" s="501"/>
      <c r="CJ371" s="501"/>
      <c r="CK371" s="501"/>
      <c r="CL371" s="501"/>
      <c r="CM371" s="501"/>
      <c r="CN371" s="501"/>
      <c r="CO371" s="501"/>
      <c r="CP371" s="501"/>
      <c r="CQ371" s="501"/>
      <c r="CR371" s="501"/>
      <c r="CS371" s="501"/>
      <c r="CT371" s="501"/>
    </row>
    <row r="372">
      <c r="A372" s="569"/>
      <c r="B372" s="569"/>
      <c r="C372" s="569"/>
      <c r="D372" s="498"/>
      <c r="E372" s="499"/>
      <c r="F372" s="499"/>
      <c r="G372" s="766"/>
      <c r="H372" s="766"/>
      <c r="I372" s="766"/>
      <c r="J372" s="766"/>
      <c r="K372" s="683"/>
      <c r="L372" s="683"/>
      <c r="M372" s="683"/>
      <c r="N372" s="683"/>
      <c r="O372" s="683"/>
      <c r="P372" s="683"/>
      <c r="Q372" s="683"/>
      <c r="R372" s="683"/>
      <c r="S372" s="683"/>
      <c r="T372" s="501"/>
      <c r="U372" s="501"/>
      <c r="V372" s="501"/>
      <c r="W372" s="501"/>
      <c r="X372" s="501"/>
      <c r="Y372" s="501"/>
      <c r="Z372" s="501"/>
      <c r="AA372" s="501"/>
      <c r="AB372" s="501"/>
      <c r="AC372" s="501"/>
      <c r="AD372" s="501"/>
      <c r="AE372" s="501"/>
      <c r="AF372" s="501"/>
      <c r="AG372" s="501"/>
      <c r="AH372" s="501"/>
      <c r="AI372" s="501"/>
      <c r="AJ372" s="501"/>
      <c r="AK372" s="501"/>
      <c r="AL372" s="501"/>
      <c r="AM372" s="501"/>
      <c r="AN372" s="501"/>
      <c r="AO372" s="501"/>
      <c r="AP372" s="501"/>
      <c r="AQ372" s="501"/>
      <c r="AR372" s="501"/>
      <c r="AS372" s="501"/>
      <c r="AT372" s="501"/>
      <c r="AU372" s="501"/>
      <c r="AV372" s="501"/>
      <c r="AW372" s="501"/>
      <c r="AX372" s="501"/>
      <c r="AY372" s="501"/>
      <c r="AZ372" s="501"/>
      <c r="BA372" s="501"/>
      <c r="BB372" s="501"/>
      <c r="BC372" s="501"/>
      <c r="BD372" s="501"/>
      <c r="BE372" s="501"/>
      <c r="BF372" s="501"/>
      <c r="BG372" s="501"/>
      <c r="BH372" s="501"/>
      <c r="BI372" s="501"/>
      <c r="BJ372" s="501"/>
      <c r="BK372" s="501"/>
      <c r="BL372" s="501"/>
      <c r="BM372" s="501"/>
      <c r="BN372" s="501"/>
      <c r="BO372" s="501"/>
      <c r="BP372" s="501"/>
      <c r="BQ372" s="501"/>
      <c r="BR372" s="501"/>
      <c r="BS372" s="501"/>
      <c r="BT372" s="501"/>
      <c r="BU372" s="501"/>
      <c r="BV372" s="501"/>
      <c r="BW372" s="501"/>
      <c r="BX372" s="501"/>
      <c r="BY372" s="501"/>
      <c r="BZ372" s="501"/>
      <c r="CA372" s="501"/>
      <c r="CB372" s="501"/>
      <c r="CC372" s="501"/>
      <c r="CD372" s="501"/>
      <c r="CE372" s="501"/>
      <c r="CF372" s="501"/>
      <c r="CG372" s="501"/>
      <c r="CH372" s="501"/>
      <c r="CI372" s="501"/>
      <c r="CJ372" s="501"/>
      <c r="CK372" s="501"/>
      <c r="CL372" s="501"/>
      <c r="CM372" s="501"/>
      <c r="CN372" s="501"/>
      <c r="CO372" s="501"/>
      <c r="CP372" s="501"/>
      <c r="CQ372" s="501"/>
      <c r="CR372" s="501"/>
      <c r="CS372" s="501"/>
      <c r="CT372" s="501"/>
    </row>
    <row r="373">
      <c r="A373" s="569"/>
      <c r="B373" s="569"/>
      <c r="C373" s="569"/>
      <c r="D373" s="498"/>
      <c r="E373" s="499"/>
      <c r="F373" s="499"/>
      <c r="G373" s="766"/>
      <c r="H373" s="766"/>
      <c r="I373" s="766"/>
      <c r="J373" s="766"/>
      <c r="K373" s="683"/>
      <c r="L373" s="683"/>
      <c r="M373" s="683"/>
      <c r="N373" s="683"/>
      <c r="O373" s="683"/>
      <c r="P373" s="683"/>
      <c r="Q373" s="683"/>
      <c r="R373" s="683"/>
      <c r="S373" s="683"/>
      <c r="T373" s="501"/>
      <c r="U373" s="501"/>
      <c r="V373" s="501"/>
      <c r="W373" s="501"/>
      <c r="X373" s="501"/>
      <c r="Y373" s="501"/>
      <c r="Z373" s="501"/>
      <c r="AA373" s="501"/>
      <c r="AB373" s="501"/>
      <c r="AC373" s="501"/>
      <c r="AD373" s="501"/>
      <c r="AE373" s="501"/>
      <c r="AF373" s="501"/>
      <c r="AG373" s="501"/>
      <c r="AH373" s="501"/>
      <c r="AI373" s="501"/>
      <c r="AJ373" s="501"/>
      <c r="AK373" s="501"/>
      <c r="AL373" s="501"/>
      <c r="AM373" s="501"/>
      <c r="AN373" s="501"/>
      <c r="AO373" s="501"/>
      <c r="AP373" s="501"/>
      <c r="AQ373" s="501"/>
      <c r="AR373" s="501"/>
      <c r="AS373" s="501"/>
      <c r="AT373" s="501"/>
      <c r="AU373" s="501"/>
      <c r="AV373" s="501"/>
      <c r="AW373" s="501"/>
      <c r="AX373" s="501"/>
      <c r="AY373" s="501"/>
      <c r="AZ373" s="501"/>
      <c r="BA373" s="501"/>
      <c r="BB373" s="501"/>
      <c r="BC373" s="501"/>
      <c r="BD373" s="501"/>
      <c r="BE373" s="501"/>
      <c r="BF373" s="501"/>
      <c r="BG373" s="501"/>
      <c r="BH373" s="501"/>
      <c r="BI373" s="501"/>
      <c r="BJ373" s="501"/>
      <c r="BK373" s="501"/>
      <c r="BL373" s="501"/>
      <c r="BM373" s="501"/>
      <c r="BN373" s="501"/>
      <c r="BO373" s="501"/>
      <c r="BP373" s="501"/>
      <c r="BQ373" s="501"/>
      <c r="BR373" s="501"/>
      <c r="BS373" s="501"/>
      <c r="BT373" s="501"/>
      <c r="BU373" s="501"/>
      <c r="BV373" s="501"/>
      <c r="BW373" s="501"/>
      <c r="BX373" s="501"/>
      <c r="BY373" s="501"/>
      <c r="BZ373" s="501"/>
      <c r="CA373" s="501"/>
      <c r="CB373" s="501"/>
      <c r="CC373" s="501"/>
      <c r="CD373" s="501"/>
      <c r="CE373" s="501"/>
      <c r="CF373" s="501"/>
      <c r="CG373" s="501"/>
      <c r="CH373" s="501"/>
      <c r="CI373" s="501"/>
      <c r="CJ373" s="501"/>
      <c r="CK373" s="501"/>
      <c r="CL373" s="501"/>
      <c r="CM373" s="501"/>
      <c r="CN373" s="501"/>
      <c r="CO373" s="501"/>
      <c r="CP373" s="501"/>
      <c r="CQ373" s="501"/>
      <c r="CR373" s="501"/>
      <c r="CS373" s="501"/>
      <c r="CT373" s="501"/>
    </row>
    <row r="374">
      <c r="A374" s="569"/>
      <c r="B374" s="569"/>
      <c r="C374" s="569"/>
      <c r="D374" s="498"/>
      <c r="E374" s="499"/>
      <c r="F374" s="499"/>
      <c r="G374" s="766"/>
      <c r="H374" s="766"/>
      <c r="I374" s="766"/>
      <c r="J374" s="766"/>
      <c r="K374" s="683"/>
      <c r="L374" s="683"/>
      <c r="M374" s="683"/>
      <c r="N374" s="683"/>
      <c r="O374" s="683"/>
      <c r="P374" s="683"/>
      <c r="Q374" s="683"/>
      <c r="R374" s="683"/>
      <c r="S374" s="683"/>
      <c r="T374" s="501"/>
      <c r="U374" s="501"/>
      <c r="V374" s="501"/>
      <c r="W374" s="501"/>
      <c r="X374" s="501"/>
      <c r="Y374" s="501"/>
      <c r="Z374" s="501"/>
      <c r="AA374" s="501"/>
      <c r="AB374" s="501"/>
      <c r="AC374" s="501"/>
      <c r="AD374" s="501"/>
      <c r="AE374" s="501"/>
      <c r="AF374" s="501"/>
      <c r="AG374" s="501"/>
      <c r="AH374" s="501"/>
      <c r="AI374" s="501"/>
      <c r="AJ374" s="501"/>
      <c r="AK374" s="501"/>
      <c r="AL374" s="501"/>
      <c r="AM374" s="501"/>
      <c r="AN374" s="501"/>
      <c r="AO374" s="501"/>
      <c r="AP374" s="501"/>
      <c r="AQ374" s="501"/>
      <c r="AR374" s="501"/>
      <c r="AS374" s="501"/>
      <c r="AT374" s="501"/>
      <c r="AU374" s="501"/>
      <c r="AV374" s="501"/>
      <c r="AW374" s="501"/>
      <c r="AX374" s="501"/>
      <c r="AY374" s="501"/>
      <c r="AZ374" s="501"/>
      <c r="BA374" s="501"/>
      <c r="BB374" s="501"/>
      <c r="BC374" s="501"/>
      <c r="BD374" s="501"/>
      <c r="BE374" s="501"/>
      <c r="BF374" s="501"/>
      <c r="BG374" s="501"/>
      <c r="BH374" s="501"/>
      <c r="BI374" s="501"/>
      <c r="BJ374" s="501"/>
      <c r="BK374" s="501"/>
      <c r="BL374" s="501"/>
      <c r="BM374" s="501"/>
      <c r="BN374" s="501"/>
      <c r="BO374" s="501"/>
      <c r="BP374" s="501"/>
      <c r="BQ374" s="501"/>
      <c r="BR374" s="501"/>
      <c r="BS374" s="501"/>
      <c r="BT374" s="501"/>
      <c r="BU374" s="501"/>
      <c r="BV374" s="501"/>
      <c r="BW374" s="501"/>
      <c r="BX374" s="501"/>
      <c r="BY374" s="501"/>
      <c r="BZ374" s="501"/>
      <c r="CA374" s="501"/>
      <c r="CB374" s="501"/>
      <c r="CC374" s="501"/>
      <c r="CD374" s="501"/>
      <c r="CE374" s="501"/>
      <c r="CF374" s="501"/>
      <c r="CG374" s="501"/>
      <c r="CH374" s="501"/>
      <c r="CI374" s="501"/>
      <c r="CJ374" s="501"/>
      <c r="CK374" s="501"/>
      <c r="CL374" s="501"/>
      <c r="CM374" s="501"/>
      <c r="CN374" s="501"/>
      <c r="CO374" s="501"/>
      <c r="CP374" s="501"/>
      <c r="CQ374" s="501"/>
      <c r="CR374" s="501"/>
      <c r="CS374" s="501"/>
      <c r="CT374" s="501"/>
    </row>
    <row r="375">
      <c r="A375" s="569"/>
      <c r="B375" s="569"/>
      <c r="C375" s="569"/>
      <c r="D375" s="498"/>
      <c r="E375" s="499"/>
      <c r="F375" s="499"/>
      <c r="G375" s="766"/>
      <c r="H375" s="766"/>
      <c r="I375" s="766"/>
      <c r="J375" s="766"/>
      <c r="K375" s="683"/>
      <c r="L375" s="683"/>
      <c r="M375" s="683"/>
      <c r="N375" s="683"/>
      <c r="O375" s="683"/>
      <c r="P375" s="683"/>
      <c r="Q375" s="683"/>
      <c r="R375" s="683"/>
      <c r="S375" s="683"/>
      <c r="T375" s="501"/>
      <c r="U375" s="501"/>
      <c r="V375" s="501"/>
      <c r="W375" s="501"/>
      <c r="X375" s="501"/>
      <c r="Y375" s="501"/>
      <c r="Z375" s="501"/>
      <c r="AA375" s="501"/>
      <c r="AB375" s="501"/>
      <c r="AC375" s="501"/>
      <c r="AD375" s="501"/>
      <c r="AE375" s="501"/>
      <c r="AF375" s="501"/>
      <c r="AG375" s="501"/>
      <c r="AH375" s="501"/>
      <c r="AI375" s="501"/>
      <c r="AJ375" s="501"/>
      <c r="AK375" s="501"/>
      <c r="AL375" s="501"/>
      <c r="AM375" s="501"/>
      <c r="AN375" s="501"/>
      <c r="AO375" s="501"/>
      <c r="AP375" s="501"/>
      <c r="AQ375" s="501"/>
      <c r="AR375" s="501"/>
      <c r="AS375" s="501"/>
      <c r="AT375" s="501"/>
      <c r="AU375" s="501"/>
      <c r="AV375" s="501"/>
      <c r="AW375" s="501"/>
      <c r="AX375" s="501"/>
      <c r="AY375" s="501"/>
      <c r="AZ375" s="501"/>
      <c r="BA375" s="501"/>
      <c r="BB375" s="501"/>
      <c r="BC375" s="501"/>
      <c r="BD375" s="501"/>
      <c r="BE375" s="501"/>
      <c r="BF375" s="501"/>
      <c r="BG375" s="501"/>
      <c r="BH375" s="501"/>
      <c r="BI375" s="501"/>
      <c r="BJ375" s="501"/>
      <c r="BK375" s="501"/>
      <c r="BL375" s="501"/>
      <c r="BM375" s="501"/>
      <c r="BN375" s="501"/>
      <c r="BO375" s="501"/>
      <c r="BP375" s="501"/>
      <c r="BQ375" s="501"/>
      <c r="BR375" s="501"/>
      <c r="BS375" s="501"/>
      <c r="BT375" s="501"/>
      <c r="BU375" s="501"/>
      <c r="BV375" s="501"/>
      <c r="BW375" s="501"/>
      <c r="BX375" s="501"/>
      <c r="BY375" s="501"/>
      <c r="BZ375" s="501"/>
      <c r="CA375" s="501"/>
      <c r="CB375" s="501"/>
      <c r="CC375" s="501"/>
      <c r="CD375" s="501"/>
      <c r="CE375" s="501"/>
      <c r="CF375" s="501"/>
      <c r="CG375" s="501"/>
      <c r="CH375" s="501"/>
      <c r="CI375" s="501"/>
      <c r="CJ375" s="501"/>
      <c r="CK375" s="501"/>
      <c r="CL375" s="501"/>
      <c r="CM375" s="501"/>
      <c r="CN375" s="501"/>
      <c r="CO375" s="501"/>
      <c r="CP375" s="501"/>
      <c r="CQ375" s="501"/>
      <c r="CR375" s="501"/>
      <c r="CS375" s="501"/>
      <c r="CT375" s="501"/>
    </row>
    <row r="376">
      <c r="A376" s="569"/>
      <c r="B376" s="569"/>
      <c r="C376" s="569"/>
      <c r="D376" s="498"/>
      <c r="E376" s="499"/>
      <c r="F376" s="499"/>
      <c r="G376" s="766"/>
      <c r="H376" s="766"/>
      <c r="I376" s="766"/>
      <c r="J376" s="766"/>
      <c r="K376" s="683"/>
      <c r="L376" s="683"/>
      <c r="M376" s="683"/>
      <c r="N376" s="683"/>
      <c r="O376" s="683"/>
      <c r="P376" s="683"/>
      <c r="Q376" s="683"/>
      <c r="R376" s="683"/>
      <c r="S376" s="683"/>
      <c r="T376" s="501"/>
      <c r="U376" s="501"/>
      <c r="V376" s="501"/>
      <c r="W376" s="501"/>
      <c r="X376" s="501"/>
      <c r="Y376" s="501"/>
      <c r="Z376" s="501"/>
      <c r="AA376" s="501"/>
      <c r="AB376" s="501"/>
      <c r="AC376" s="501"/>
      <c r="AD376" s="501"/>
      <c r="AE376" s="501"/>
      <c r="AF376" s="501"/>
      <c r="AG376" s="501"/>
      <c r="AH376" s="501"/>
      <c r="AI376" s="501"/>
      <c r="AJ376" s="501"/>
      <c r="AK376" s="501"/>
      <c r="AL376" s="501"/>
      <c r="AM376" s="501"/>
      <c r="AN376" s="501"/>
      <c r="AO376" s="501"/>
      <c r="AP376" s="501"/>
      <c r="AQ376" s="501"/>
      <c r="AR376" s="501"/>
      <c r="AS376" s="501"/>
      <c r="AT376" s="501"/>
      <c r="AU376" s="501"/>
      <c r="AV376" s="501"/>
      <c r="AW376" s="501"/>
      <c r="AX376" s="501"/>
      <c r="AY376" s="501"/>
      <c r="AZ376" s="501"/>
      <c r="BA376" s="501"/>
      <c r="BB376" s="501"/>
      <c r="BC376" s="501"/>
      <c r="BD376" s="501"/>
      <c r="BE376" s="501"/>
      <c r="BF376" s="501"/>
      <c r="BG376" s="501"/>
      <c r="BH376" s="501"/>
      <c r="BI376" s="501"/>
      <c r="BJ376" s="501"/>
      <c r="BK376" s="501"/>
      <c r="BL376" s="501"/>
      <c r="BM376" s="501"/>
      <c r="BN376" s="501"/>
      <c r="BO376" s="501"/>
      <c r="BP376" s="501"/>
      <c r="BQ376" s="501"/>
      <c r="BR376" s="501"/>
      <c r="BS376" s="501"/>
      <c r="BT376" s="501"/>
      <c r="BU376" s="501"/>
      <c r="BV376" s="501"/>
      <c r="BW376" s="501"/>
      <c r="BX376" s="501"/>
      <c r="BY376" s="501"/>
      <c r="BZ376" s="501"/>
      <c r="CA376" s="501"/>
      <c r="CB376" s="501"/>
      <c r="CC376" s="501"/>
      <c r="CD376" s="501"/>
      <c r="CE376" s="501"/>
      <c r="CF376" s="501"/>
      <c r="CG376" s="501"/>
      <c r="CH376" s="501"/>
      <c r="CI376" s="501"/>
      <c r="CJ376" s="501"/>
      <c r="CK376" s="501"/>
      <c r="CL376" s="501"/>
      <c r="CM376" s="501"/>
      <c r="CN376" s="501"/>
      <c r="CO376" s="501"/>
      <c r="CP376" s="501"/>
      <c r="CQ376" s="501"/>
      <c r="CR376" s="501"/>
      <c r="CS376" s="501"/>
      <c r="CT376" s="501"/>
    </row>
    <row r="377">
      <c r="A377" s="569"/>
      <c r="B377" s="569"/>
      <c r="C377" s="569"/>
      <c r="D377" s="498"/>
      <c r="E377" s="499"/>
      <c r="F377" s="499"/>
      <c r="G377" s="766"/>
      <c r="H377" s="766"/>
      <c r="I377" s="766"/>
      <c r="J377" s="766"/>
      <c r="K377" s="683"/>
      <c r="L377" s="683"/>
      <c r="M377" s="683"/>
      <c r="N377" s="683"/>
      <c r="O377" s="683"/>
      <c r="P377" s="683"/>
      <c r="Q377" s="683"/>
      <c r="R377" s="683"/>
      <c r="S377" s="683"/>
      <c r="T377" s="501"/>
      <c r="U377" s="501"/>
      <c r="V377" s="501"/>
      <c r="W377" s="501"/>
      <c r="X377" s="501"/>
      <c r="Y377" s="501"/>
      <c r="Z377" s="501"/>
      <c r="AA377" s="501"/>
      <c r="AB377" s="501"/>
      <c r="AC377" s="501"/>
      <c r="AD377" s="501"/>
      <c r="AE377" s="501"/>
      <c r="AF377" s="501"/>
      <c r="AG377" s="501"/>
      <c r="AH377" s="501"/>
      <c r="AI377" s="501"/>
      <c r="AJ377" s="501"/>
      <c r="AK377" s="501"/>
      <c r="AL377" s="501"/>
      <c r="AM377" s="501"/>
      <c r="AN377" s="501"/>
      <c r="AO377" s="501"/>
      <c r="AP377" s="501"/>
      <c r="AQ377" s="501"/>
      <c r="AR377" s="501"/>
      <c r="AS377" s="501"/>
      <c r="AT377" s="501"/>
      <c r="AU377" s="501"/>
      <c r="AV377" s="501"/>
      <c r="AW377" s="501"/>
      <c r="AX377" s="501"/>
      <c r="AY377" s="501"/>
      <c r="AZ377" s="501"/>
      <c r="BA377" s="501"/>
      <c r="BB377" s="501"/>
      <c r="BC377" s="501"/>
      <c r="BD377" s="501"/>
      <c r="BE377" s="501"/>
      <c r="BF377" s="501"/>
      <c r="BG377" s="501"/>
      <c r="BH377" s="501"/>
      <c r="BI377" s="501"/>
      <c r="BJ377" s="501"/>
      <c r="BK377" s="501"/>
      <c r="BL377" s="501"/>
      <c r="BM377" s="501"/>
      <c r="BN377" s="501"/>
      <c r="BO377" s="501"/>
      <c r="BP377" s="501"/>
      <c r="BQ377" s="501"/>
      <c r="BR377" s="501"/>
      <c r="BS377" s="501"/>
      <c r="BT377" s="501"/>
      <c r="BU377" s="501"/>
      <c r="BV377" s="501"/>
      <c r="BW377" s="501"/>
      <c r="BX377" s="501"/>
      <c r="BY377" s="501"/>
      <c r="BZ377" s="501"/>
      <c r="CA377" s="501"/>
      <c r="CB377" s="501"/>
      <c r="CC377" s="501"/>
      <c r="CD377" s="501"/>
      <c r="CE377" s="501"/>
      <c r="CF377" s="501"/>
      <c r="CG377" s="501"/>
      <c r="CH377" s="501"/>
      <c r="CI377" s="501"/>
      <c r="CJ377" s="501"/>
      <c r="CK377" s="501"/>
      <c r="CL377" s="501"/>
      <c r="CM377" s="501"/>
      <c r="CN377" s="501"/>
      <c r="CO377" s="501"/>
      <c r="CP377" s="501"/>
      <c r="CQ377" s="501"/>
      <c r="CR377" s="501"/>
      <c r="CS377" s="501"/>
      <c r="CT377" s="501"/>
    </row>
    <row r="378">
      <c r="A378" s="569"/>
      <c r="B378" s="569"/>
      <c r="C378" s="569"/>
      <c r="D378" s="498"/>
      <c r="E378" s="499"/>
      <c r="F378" s="499"/>
      <c r="G378" s="766"/>
      <c r="H378" s="766"/>
      <c r="I378" s="766"/>
      <c r="J378" s="766"/>
      <c r="K378" s="683"/>
      <c r="L378" s="683"/>
      <c r="M378" s="683"/>
      <c r="N378" s="683"/>
      <c r="O378" s="683"/>
      <c r="P378" s="683"/>
      <c r="Q378" s="683"/>
      <c r="R378" s="683"/>
      <c r="S378" s="683"/>
      <c r="T378" s="501"/>
      <c r="U378" s="501"/>
      <c r="V378" s="501"/>
      <c r="W378" s="501"/>
      <c r="X378" s="501"/>
      <c r="Y378" s="501"/>
      <c r="Z378" s="501"/>
      <c r="AA378" s="501"/>
      <c r="AB378" s="501"/>
      <c r="AC378" s="501"/>
      <c r="AD378" s="501"/>
      <c r="AE378" s="501"/>
      <c r="AF378" s="501"/>
      <c r="AG378" s="501"/>
      <c r="AH378" s="501"/>
      <c r="AI378" s="501"/>
      <c r="AJ378" s="501"/>
      <c r="AK378" s="501"/>
      <c r="AL378" s="501"/>
      <c r="AM378" s="501"/>
      <c r="AN378" s="501"/>
      <c r="AO378" s="501"/>
      <c r="AP378" s="501"/>
      <c r="AQ378" s="501"/>
      <c r="AR378" s="501"/>
      <c r="AS378" s="501"/>
      <c r="AT378" s="501"/>
      <c r="AU378" s="501"/>
      <c r="AV378" s="501"/>
      <c r="AW378" s="501"/>
      <c r="AX378" s="501"/>
      <c r="AY378" s="501"/>
      <c r="AZ378" s="501"/>
      <c r="BA378" s="501"/>
      <c r="BB378" s="501"/>
      <c r="BC378" s="501"/>
      <c r="BD378" s="501"/>
      <c r="BE378" s="501"/>
      <c r="BF378" s="501"/>
      <c r="BG378" s="501"/>
      <c r="BH378" s="501"/>
      <c r="BI378" s="501"/>
      <c r="BJ378" s="501"/>
      <c r="BK378" s="501"/>
      <c r="BL378" s="501"/>
      <c r="BM378" s="501"/>
      <c r="BN378" s="501"/>
      <c r="BO378" s="501"/>
      <c r="BP378" s="501"/>
      <c r="BQ378" s="501"/>
      <c r="BR378" s="501"/>
      <c r="BS378" s="501"/>
      <c r="BT378" s="501"/>
      <c r="BU378" s="501"/>
      <c r="BV378" s="501"/>
      <c r="BW378" s="501"/>
      <c r="BX378" s="501"/>
      <c r="BY378" s="501"/>
      <c r="BZ378" s="501"/>
      <c r="CA378" s="501"/>
      <c r="CB378" s="501"/>
      <c r="CC378" s="501"/>
      <c r="CD378" s="501"/>
      <c r="CE378" s="501"/>
      <c r="CF378" s="501"/>
      <c r="CG378" s="501"/>
      <c r="CH378" s="501"/>
      <c r="CI378" s="501"/>
      <c r="CJ378" s="501"/>
      <c r="CK378" s="501"/>
      <c r="CL378" s="501"/>
      <c r="CM378" s="501"/>
      <c r="CN378" s="501"/>
      <c r="CO378" s="501"/>
      <c r="CP378" s="501"/>
      <c r="CQ378" s="501"/>
      <c r="CR378" s="501"/>
      <c r="CS378" s="501"/>
      <c r="CT378" s="501"/>
    </row>
    <row r="379">
      <c r="A379" s="569"/>
      <c r="B379" s="569"/>
      <c r="C379" s="569"/>
      <c r="D379" s="498"/>
      <c r="E379" s="499"/>
      <c r="F379" s="499"/>
      <c r="G379" s="766"/>
      <c r="H379" s="766"/>
      <c r="I379" s="766"/>
      <c r="J379" s="766"/>
      <c r="K379" s="683"/>
      <c r="L379" s="683"/>
      <c r="M379" s="683"/>
      <c r="N379" s="683"/>
      <c r="O379" s="683"/>
      <c r="P379" s="683"/>
      <c r="Q379" s="683"/>
      <c r="R379" s="683"/>
      <c r="S379" s="683"/>
      <c r="T379" s="501"/>
      <c r="U379" s="501"/>
      <c r="V379" s="501"/>
      <c r="W379" s="501"/>
      <c r="X379" s="501"/>
      <c r="Y379" s="501"/>
      <c r="Z379" s="501"/>
      <c r="AA379" s="501"/>
      <c r="AB379" s="501"/>
      <c r="AC379" s="501"/>
      <c r="AD379" s="501"/>
      <c r="AE379" s="501"/>
      <c r="AF379" s="501"/>
      <c r="AG379" s="501"/>
      <c r="AH379" s="501"/>
      <c r="AI379" s="501"/>
      <c r="AJ379" s="501"/>
      <c r="AK379" s="501"/>
      <c r="AL379" s="501"/>
      <c r="AM379" s="501"/>
      <c r="AN379" s="501"/>
      <c r="AO379" s="501"/>
      <c r="AP379" s="501"/>
      <c r="AQ379" s="501"/>
      <c r="AR379" s="501"/>
      <c r="AS379" s="501"/>
      <c r="AT379" s="501"/>
      <c r="AU379" s="501"/>
      <c r="AV379" s="501"/>
      <c r="AW379" s="501"/>
      <c r="AX379" s="501"/>
      <c r="AY379" s="501"/>
      <c r="AZ379" s="501"/>
      <c r="BA379" s="501"/>
      <c r="BB379" s="501"/>
      <c r="BC379" s="501"/>
      <c r="BD379" s="501"/>
      <c r="BE379" s="501"/>
      <c r="BF379" s="501"/>
      <c r="BG379" s="501"/>
      <c r="BH379" s="501"/>
      <c r="BI379" s="501"/>
      <c r="BJ379" s="501"/>
      <c r="BK379" s="501"/>
      <c r="BL379" s="501"/>
      <c r="BM379" s="501"/>
      <c r="BN379" s="501"/>
      <c r="BO379" s="501"/>
      <c r="BP379" s="501"/>
      <c r="BQ379" s="501"/>
      <c r="BR379" s="501"/>
      <c r="BS379" s="501"/>
      <c r="BT379" s="501"/>
      <c r="BU379" s="501"/>
      <c r="BV379" s="501"/>
      <c r="BW379" s="501"/>
      <c r="BX379" s="501"/>
      <c r="BY379" s="501"/>
      <c r="BZ379" s="501"/>
      <c r="CA379" s="501"/>
      <c r="CB379" s="501"/>
      <c r="CC379" s="501"/>
      <c r="CD379" s="501"/>
      <c r="CE379" s="501"/>
      <c r="CF379" s="501"/>
      <c r="CG379" s="501"/>
      <c r="CH379" s="501"/>
      <c r="CI379" s="501"/>
      <c r="CJ379" s="501"/>
      <c r="CK379" s="501"/>
      <c r="CL379" s="501"/>
      <c r="CM379" s="501"/>
      <c r="CN379" s="501"/>
      <c r="CO379" s="501"/>
      <c r="CP379" s="501"/>
      <c r="CQ379" s="501"/>
      <c r="CR379" s="501"/>
      <c r="CS379" s="501"/>
      <c r="CT379" s="501"/>
    </row>
    <row r="380">
      <c r="A380" s="569"/>
      <c r="B380" s="569"/>
      <c r="C380" s="569"/>
      <c r="D380" s="498"/>
      <c r="E380" s="499"/>
      <c r="F380" s="499"/>
      <c r="G380" s="766"/>
      <c r="H380" s="766"/>
      <c r="I380" s="766"/>
      <c r="J380" s="766"/>
      <c r="K380" s="683"/>
      <c r="L380" s="683"/>
      <c r="M380" s="683"/>
      <c r="N380" s="683"/>
      <c r="O380" s="683"/>
      <c r="P380" s="683"/>
      <c r="Q380" s="683"/>
      <c r="R380" s="683"/>
      <c r="S380" s="683"/>
      <c r="T380" s="501"/>
      <c r="U380" s="501"/>
      <c r="V380" s="501"/>
      <c r="W380" s="501"/>
      <c r="X380" s="501"/>
      <c r="Y380" s="501"/>
      <c r="Z380" s="501"/>
      <c r="AA380" s="501"/>
      <c r="AB380" s="501"/>
      <c r="AC380" s="501"/>
      <c r="AD380" s="501"/>
      <c r="AE380" s="501"/>
      <c r="AF380" s="501"/>
      <c r="AG380" s="501"/>
      <c r="AH380" s="501"/>
      <c r="AI380" s="501"/>
      <c r="AJ380" s="501"/>
      <c r="AK380" s="501"/>
      <c r="AL380" s="501"/>
      <c r="AM380" s="501"/>
      <c r="AN380" s="501"/>
      <c r="AO380" s="501"/>
      <c r="AP380" s="501"/>
      <c r="AQ380" s="501"/>
      <c r="AR380" s="501"/>
      <c r="AS380" s="501"/>
      <c r="AT380" s="501"/>
      <c r="AU380" s="501"/>
      <c r="AV380" s="501"/>
      <c r="AW380" s="501"/>
      <c r="AX380" s="501"/>
      <c r="AY380" s="501"/>
      <c r="AZ380" s="501"/>
      <c r="BA380" s="501"/>
      <c r="BB380" s="501"/>
      <c r="BC380" s="501"/>
      <c r="BD380" s="501"/>
      <c r="BE380" s="501"/>
      <c r="BF380" s="501"/>
      <c r="BG380" s="501"/>
      <c r="BH380" s="501"/>
      <c r="BI380" s="501"/>
      <c r="BJ380" s="501"/>
      <c r="BK380" s="501"/>
      <c r="BL380" s="501"/>
      <c r="BM380" s="501"/>
      <c r="BN380" s="501"/>
      <c r="BO380" s="501"/>
      <c r="BP380" s="501"/>
      <c r="BQ380" s="501"/>
      <c r="BR380" s="501"/>
      <c r="BS380" s="501"/>
      <c r="BT380" s="501"/>
      <c r="BU380" s="501"/>
      <c r="BV380" s="501"/>
      <c r="BW380" s="501"/>
      <c r="BX380" s="501"/>
      <c r="BY380" s="501"/>
      <c r="BZ380" s="501"/>
      <c r="CA380" s="501"/>
      <c r="CB380" s="501"/>
      <c r="CC380" s="501"/>
      <c r="CD380" s="501"/>
      <c r="CE380" s="501"/>
      <c r="CF380" s="501"/>
      <c r="CG380" s="501"/>
      <c r="CH380" s="501"/>
      <c r="CI380" s="501"/>
      <c r="CJ380" s="501"/>
      <c r="CK380" s="501"/>
      <c r="CL380" s="501"/>
      <c r="CM380" s="501"/>
      <c r="CN380" s="501"/>
      <c r="CO380" s="501"/>
      <c r="CP380" s="501"/>
      <c r="CQ380" s="501"/>
      <c r="CR380" s="501"/>
      <c r="CS380" s="501"/>
      <c r="CT380" s="501"/>
    </row>
    <row r="381">
      <c r="A381" s="569"/>
      <c r="B381" s="569"/>
      <c r="C381" s="569"/>
      <c r="D381" s="498"/>
      <c r="E381" s="499"/>
      <c r="F381" s="499"/>
      <c r="G381" s="766"/>
      <c r="H381" s="766"/>
      <c r="I381" s="766"/>
      <c r="J381" s="766"/>
      <c r="K381" s="683"/>
      <c r="L381" s="683"/>
      <c r="M381" s="683"/>
      <c r="N381" s="683"/>
      <c r="O381" s="683"/>
      <c r="P381" s="683"/>
      <c r="Q381" s="683"/>
      <c r="R381" s="683"/>
      <c r="S381" s="683"/>
      <c r="T381" s="501"/>
      <c r="U381" s="501"/>
      <c r="V381" s="501"/>
      <c r="W381" s="501"/>
      <c r="X381" s="501"/>
      <c r="Y381" s="501"/>
      <c r="Z381" s="501"/>
      <c r="AA381" s="501"/>
      <c r="AB381" s="501"/>
      <c r="AC381" s="501"/>
      <c r="AD381" s="501"/>
      <c r="AE381" s="501"/>
      <c r="AF381" s="501"/>
      <c r="AG381" s="501"/>
      <c r="AH381" s="501"/>
      <c r="AI381" s="501"/>
      <c r="AJ381" s="501"/>
      <c r="AK381" s="501"/>
      <c r="AL381" s="501"/>
      <c r="AM381" s="501"/>
      <c r="AN381" s="501"/>
      <c r="AO381" s="501"/>
      <c r="AP381" s="501"/>
      <c r="AQ381" s="501"/>
      <c r="AR381" s="501"/>
      <c r="AS381" s="501"/>
      <c r="AT381" s="501"/>
      <c r="AU381" s="501"/>
      <c r="AV381" s="501"/>
      <c r="AW381" s="501"/>
      <c r="AX381" s="501"/>
      <c r="AY381" s="501"/>
      <c r="AZ381" s="501"/>
      <c r="BA381" s="501"/>
      <c r="BB381" s="501"/>
      <c r="BC381" s="501"/>
      <c r="BD381" s="501"/>
      <c r="BE381" s="501"/>
      <c r="BF381" s="501"/>
      <c r="BG381" s="501"/>
      <c r="BH381" s="501"/>
      <c r="BI381" s="501"/>
      <c r="BJ381" s="501"/>
      <c r="BK381" s="501"/>
      <c r="BL381" s="501"/>
      <c r="BM381" s="501"/>
      <c r="BN381" s="501"/>
      <c r="BO381" s="501"/>
      <c r="BP381" s="501"/>
      <c r="BQ381" s="501"/>
      <c r="BR381" s="501"/>
      <c r="BS381" s="501"/>
      <c r="BT381" s="501"/>
      <c r="BU381" s="501"/>
      <c r="BV381" s="501"/>
      <c r="BW381" s="501"/>
      <c r="BX381" s="501"/>
      <c r="BY381" s="501"/>
      <c r="BZ381" s="501"/>
      <c r="CA381" s="501"/>
      <c r="CB381" s="501"/>
      <c r="CC381" s="501"/>
      <c r="CD381" s="501"/>
      <c r="CE381" s="501"/>
      <c r="CF381" s="501"/>
      <c r="CG381" s="501"/>
      <c r="CH381" s="501"/>
      <c r="CI381" s="501"/>
      <c r="CJ381" s="501"/>
      <c r="CK381" s="501"/>
      <c r="CL381" s="501"/>
      <c r="CM381" s="501"/>
      <c r="CN381" s="501"/>
      <c r="CO381" s="501"/>
      <c r="CP381" s="501"/>
      <c r="CQ381" s="501"/>
      <c r="CR381" s="501"/>
      <c r="CS381" s="501"/>
      <c r="CT381" s="501"/>
    </row>
    <row r="382">
      <c r="A382" s="569"/>
      <c r="B382" s="569"/>
      <c r="C382" s="569"/>
      <c r="D382" s="498"/>
      <c r="E382" s="499"/>
      <c r="F382" s="499"/>
      <c r="G382" s="766"/>
      <c r="H382" s="766"/>
      <c r="I382" s="766"/>
      <c r="J382" s="766"/>
      <c r="K382" s="683"/>
      <c r="L382" s="683"/>
      <c r="M382" s="683"/>
      <c r="N382" s="683"/>
      <c r="O382" s="683"/>
      <c r="P382" s="683"/>
      <c r="Q382" s="683"/>
      <c r="R382" s="683"/>
      <c r="S382" s="683"/>
      <c r="T382" s="501"/>
      <c r="U382" s="501"/>
      <c r="V382" s="501"/>
      <c r="W382" s="501"/>
      <c r="X382" s="501"/>
      <c r="Y382" s="501"/>
      <c r="Z382" s="501"/>
      <c r="AA382" s="501"/>
      <c r="AB382" s="501"/>
      <c r="AC382" s="501"/>
      <c r="AD382" s="501"/>
      <c r="AE382" s="501"/>
      <c r="AF382" s="501"/>
      <c r="AG382" s="501"/>
      <c r="AH382" s="501"/>
      <c r="AI382" s="501"/>
      <c r="AJ382" s="501"/>
      <c r="AK382" s="501"/>
      <c r="AL382" s="501"/>
      <c r="AM382" s="501"/>
      <c r="AN382" s="501"/>
      <c r="AO382" s="501"/>
      <c r="AP382" s="501"/>
      <c r="AQ382" s="501"/>
      <c r="AR382" s="501"/>
      <c r="AS382" s="501"/>
      <c r="AT382" s="501"/>
      <c r="AU382" s="501"/>
      <c r="AV382" s="501"/>
      <c r="AW382" s="501"/>
      <c r="AX382" s="501"/>
      <c r="AY382" s="501"/>
      <c r="AZ382" s="501"/>
      <c r="BA382" s="501"/>
      <c r="BB382" s="501"/>
      <c r="BC382" s="501"/>
      <c r="BD382" s="501"/>
      <c r="BE382" s="501"/>
      <c r="BF382" s="501"/>
      <c r="BG382" s="501"/>
      <c r="BH382" s="501"/>
      <c r="BI382" s="501"/>
      <c r="BJ382" s="501"/>
      <c r="BK382" s="501"/>
      <c r="BL382" s="501"/>
      <c r="BM382" s="501"/>
      <c r="BN382" s="501"/>
      <c r="BO382" s="501"/>
      <c r="BP382" s="501"/>
      <c r="BQ382" s="501"/>
      <c r="BR382" s="501"/>
      <c r="BS382" s="501"/>
      <c r="BT382" s="501"/>
      <c r="BU382" s="501"/>
      <c r="BV382" s="501"/>
      <c r="BW382" s="501"/>
      <c r="BX382" s="501"/>
      <c r="BY382" s="501"/>
      <c r="BZ382" s="501"/>
      <c r="CA382" s="501"/>
      <c r="CB382" s="501"/>
      <c r="CC382" s="501"/>
      <c r="CD382" s="501"/>
      <c r="CE382" s="501"/>
      <c r="CF382" s="501"/>
      <c r="CG382" s="501"/>
      <c r="CH382" s="501"/>
      <c r="CI382" s="501"/>
      <c r="CJ382" s="501"/>
      <c r="CK382" s="501"/>
      <c r="CL382" s="501"/>
      <c r="CM382" s="501"/>
      <c r="CN382" s="501"/>
      <c r="CO382" s="501"/>
      <c r="CP382" s="501"/>
      <c r="CQ382" s="501"/>
      <c r="CR382" s="501"/>
      <c r="CS382" s="501"/>
      <c r="CT382" s="501"/>
    </row>
    <row r="383">
      <c r="A383" s="569"/>
      <c r="B383" s="569"/>
      <c r="C383" s="569"/>
      <c r="D383" s="498"/>
      <c r="E383" s="499"/>
      <c r="F383" s="499"/>
      <c r="G383" s="766"/>
      <c r="H383" s="766"/>
      <c r="I383" s="766"/>
      <c r="J383" s="766"/>
      <c r="K383" s="683"/>
      <c r="L383" s="683"/>
      <c r="M383" s="683"/>
      <c r="N383" s="683"/>
      <c r="O383" s="683"/>
      <c r="P383" s="683"/>
      <c r="Q383" s="683"/>
      <c r="R383" s="683"/>
      <c r="S383" s="683"/>
      <c r="T383" s="501"/>
      <c r="U383" s="501"/>
      <c r="V383" s="501"/>
      <c r="W383" s="501"/>
      <c r="X383" s="501"/>
      <c r="Y383" s="501"/>
      <c r="Z383" s="501"/>
      <c r="AA383" s="501"/>
      <c r="AB383" s="501"/>
      <c r="AC383" s="501"/>
      <c r="AD383" s="501"/>
      <c r="AE383" s="501"/>
      <c r="AF383" s="501"/>
      <c r="AG383" s="501"/>
      <c r="AH383" s="501"/>
      <c r="AI383" s="501"/>
      <c r="AJ383" s="501"/>
      <c r="AK383" s="501"/>
      <c r="AL383" s="501"/>
      <c r="AM383" s="501"/>
      <c r="AN383" s="501"/>
      <c r="AO383" s="501"/>
      <c r="AP383" s="501"/>
      <c r="AQ383" s="501"/>
      <c r="AR383" s="501"/>
      <c r="AS383" s="501"/>
      <c r="AT383" s="501"/>
      <c r="AU383" s="501"/>
      <c r="AV383" s="501"/>
      <c r="AW383" s="501"/>
      <c r="AX383" s="501"/>
      <c r="AY383" s="501"/>
      <c r="AZ383" s="501"/>
      <c r="BA383" s="501"/>
      <c r="BB383" s="501"/>
      <c r="BC383" s="501"/>
      <c r="BD383" s="501"/>
      <c r="BE383" s="501"/>
      <c r="BF383" s="501"/>
      <c r="BG383" s="501"/>
      <c r="BH383" s="501"/>
      <c r="BI383" s="501"/>
      <c r="BJ383" s="501"/>
      <c r="BK383" s="501"/>
      <c r="BL383" s="501"/>
      <c r="BM383" s="501"/>
      <c r="BN383" s="501"/>
      <c r="BO383" s="501"/>
      <c r="BP383" s="501"/>
      <c r="BQ383" s="501"/>
      <c r="BR383" s="501"/>
      <c r="BS383" s="501"/>
      <c r="BT383" s="501"/>
      <c r="BU383" s="501"/>
      <c r="BV383" s="501"/>
      <c r="BW383" s="501"/>
      <c r="BX383" s="501"/>
      <c r="BY383" s="501"/>
      <c r="BZ383" s="501"/>
      <c r="CA383" s="501"/>
      <c r="CB383" s="501"/>
      <c r="CC383" s="501"/>
      <c r="CD383" s="501"/>
      <c r="CE383" s="501"/>
      <c r="CF383" s="501"/>
      <c r="CG383" s="501"/>
      <c r="CH383" s="501"/>
      <c r="CI383" s="501"/>
      <c r="CJ383" s="501"/>
      <c r="CK383" s="501"/>
      <c r="CL383" s="501"/>
      <c r="CM383" s="501"/>
      <c r="CN383" s="501"/>
      <c r="CO383" s="501"/>
      <c r="CP383" s="501"/>
      <c r="CQ383" s="501"/>
      <c r="CR383" s="501"/>
      <c r="CS383" s="501"/>
      <c r="CT383" s="501"/>
    </row>
    <row r="384">
      <c r="A384" s="569"/>
      <c r="B384" s="569"/>
      <c r="C384" s="569"/>
      <c r="D384" s="498"/>
      <c r="E384" s="499"/>
      <c r="F384" s="499"/>
      <c r="G384" s="766"/>
      <c r="H384" s="766"/>
      <c r="I384" s="766"/>
      <c r="J384" s="766"/>
      <c r="K384" s="683"/>
      <c r="L384" s="683"/>
      <c r="M384" s="683"/>
      <c r="N384" s="683"/>
      <c r="O384" s="683"/>
      <c r="P384" s="683"/>
      <c r="Q384" s="683"/>
      <c r="R384" s="683"/>
      <c r="S384" s="683"/>
      <c r="T384" s="501"/>
      <c r="U384" s="501"/>
      <c r="V384" s="501"/>
      <c r="W384" s="501"/>
      <c r="X384" s="501"/>
      <c r="Y384" s="501"/>
      <c r="Z384" s="501"/>
      <c r="AA384" s="501"/>
      <c r="AB384" s="501"/>
      <c r="AC384" s="501"/>
      <c r="AD384" s="501"/>
      <c r="AE384" s="501"/>
      <c r="AF384" s="501"/>
      <c r="AG384" s="501"/>
      <c r="AH384" s="501"/>
      <c r="AI384" s="501"/>
      <c r="AJ384" s="501"/>
      <c r="AK384" s="501"/>
      <c r="AL384" s="501"/>
      <c r="AM384" s="501"/>
      <c r="AN384" s="501"/>
      <c r="AO384" s="501"/>
      <c r="AP384" s="501"/>
      <c r="AQ384" s="501"/>
      <c r="AR384" s="501"/>
      <c r="AS384" s="501"/>
      <c r="AT384" s="501"/>
      <c r="AU384" s="501"/>
      <c r="AV384" s="501"/>
      <c r="AW384" s="501"/>
      <c r="AX384" s="501"/>
      <c r="AY384" s="501"/>
      <c r="AZ384" s="501"/>
      <c r="BA384" s="501"/>
      <c r="BB384" s="501"/>
      <c r="BC384" s="501"/>
      <c r="BD384" s="501"/>
      <c r="BE384" s="501"/>
      <c r="BF384" s="501"/>
      <c r="BG384" s="501"/>
      <c r="BH384" s="501"/>
      <c r="BI384" s="501"/>
      <c r="BJ384" s="501"/>
      <c r="BK384" s="501"/>
      <c r="BL384" s="501"/>
      <c r="BM384" s="501"/>
      <c r="BN384" s="501"/>
      <c r="BO384" s="501"/>
      <c r="BP384" s="501"/>
      <c r="BQ384" s="501"/>
      <c r="BR384" s="501"/>
      <c r="BS384" s="501"/>
      <c r="BT384" s="501"/>
      <c r="BU384" s="501"/>
      <c r="BV384" s="501"/>
      <c r="BW384" s="501"/>
      <c r="BX384" s="501"/>
      <c r="BY384" s="501"/>
      <c r="BZ384" s="501"/>
      <c r="CA384" s="501"/>
      <c r="CB384" s="501"/>
      <c r="CC384" s="501"/>
      <c r="CD384" s="501"/>
      <c r="CE384" s="501"/>
      <c r="CF384" s="501"/>
      <c r="CG384" s="501"/>
      <c r="CH384" s="501"/>
      <c r="CI384" s="501"/>
      <c r="CJ384" s="501"/>
      <c r="CK384" s="501"/>
      <c r="CL384" s="501"/>
      <c r="CM384" s="501"/>
      <c r="CN384" s="501"/>
      <c r="CO384" s="501"/>
      <c r="CP384" s="501"/>
      <c r="CQ384" s="501"/>
      <c r="CR384" s="501"/>
      <c r="CS384" s="501"/>
      <c r="CT384" s="501"/>
    </row>
    <row r="385">
      <c r="A385" s="569"/>
      <c r="B385" s="569"/>
      <c r="C385" s="569"/>
      <c r="D385" s="498"/>
      <c r="E385" s="499"/>
      <c r="F385" s="499"/>
      <c r="G385" s="766"/>
      <c r="H385" s="766"/>
      <c r="I385" s="766"/>
      <c r="J385" s="766"/>
      <c r="K385" s="683"/>
      <c r="L385" s="683"/>
      <c r="M385" s="683"/>
      <c r="N385" s="683"/>
      <c r="O385" s="683"/>
      <c r="P385" s="683"/>
      <c r="Q385" s="683"/>
      <c r="R385" s="683"/>
      <c r="S385" s="683"/>
      <c r="T385" s="501"/>
      <c r="U385" s="501"/>
      <c r="V385" s="501"/>
      <c r="W385" s="501"/>
      <c r="X385" s="501"/>
      <c r="Y385" s="501"/>
      <c r="Z385" s="501"/>
      <c r="AA385" s="501"/>
      <c r="AB385" s="501"/>
      <c r="AC385" s="501"/>
      <c r="AD385" s="501"/>
      <c r="AE385" s="501"/>
      <c r="AF385" s="501"/>
      <c r="AG385" s="501"/>
      <c r="AH385" s="501"/>
      <c r="AI385" s="501"/>
      <c r="AJ385" s="501"/>
      <c r="AK385" s="501"/>
      <c r="AL385" s="501"/>
      <c r="AM385" s="501"/>
      <c r="AN385" s="501"/>
      <c r="AO385" s="501"/>
      <c r="AP385" s="501"/>
      <c r="AQ385" s="501"/>
      <c r="AR385" s="501"/>
      <c r="AS385" s="501"/>
      <c r="AT385" s="501"/>
      <c r="AU385" s="501"/>
      <c r="AV385" s="501"/>
      <c r="AW385" s="501"/>
      <c r="AX385" s="501"/>
      <c r="AY385" s="501"/>
      <c r="AZ385" s="501"/>
      <c r="BA385" s="501"/>
      <c r="BB385" s="501"/>
      <c r="BC385" s="501"/>
      <c r="BD385" s="501"/>
      <c r="BE385" s="501"/>
      <c r="BF385" s="501"/>
      <c r="BG385" s="501"/>
      <c r="BH385" s="501"/>
      <c r="BI385" s="501"/>
      <c r="BJ385" s="501"/>
      <c r="BK385" s="501"/>
      <c r="BL385" s="501"/>
      <c r="BM385" s="501"/>
      <c r="BN385" s="501"/>
      <c r="BO385" s="501"/>
      <c r="BP385" s="501"/>
      <c r="BQ385" s="501"/>
      <c r="BR385" s="501"/>
      <c r="BS385" s="501"/>
      <c r="BT385" s="501"/>
      <c r="BU385" s="501"/>
      <c r="BV385" s="501"/>
      <c r="BW385" s="501"/>
      <c r="BX385" s="501"/>
      <c r="BY385" s="501"/>
      <c r="BZ385" s="501"/>
      <c r="CA385" s="501"/>
      <c r="CB385" s="501"/>
      <c r="CC385" s="501"/>
      <c r="CD385" s="501"/>
      <c r="CE385" s="501"/>
      <c r="CF385" s="501"/>
      <c r="CG385" s="501"/>
      <c r="CH385" s="501"/>
      <c r="CI385" s="501"/>
      <c r="CJ385" s="501"/>
      <c r="CK385" s="501"/>
      <c r="CL385" s="501"/>
      <c r="CM385" s="501"/>
      <c r="CN385" s="501"/>
      <c r="CO385" s="501"/>
      <c r="CP385" s="501"/>
      <c r="CQ385" s="501"/>
      <c r="CR385" s="501"/>
      <c r="CS385" s="501"/>
      <c r="CT385" s="501"/>
    </row>
    <row r="386">
      <c r="A386" s="569"/>
      <c r="B386" s="569"/>
      <c r="C386" s="569"/>
      <c r="D386" s="498"/>
      <c r="E386" s="499"/>
      <c r="F386" s="499"/>
      <c r="G386" s="766"/>
      <c r="H386" s="766"/>
      <c r="I386" s="766"/>
      <c r="J386" s="766"/>
      <c r="K386" s="683"/>
      <c r="L386" s="683"/>
      <c r="M386" s="683"/>
      <c r="N386" s="683"/>
      <c r="O386" s="683"/>
      <c r="P386" s="683"/>
      <c r="Q386" s="683"/>
      <c r="R386" s="683"/>
      <c r="S386" s="683"/>
      <c r="T386" s="501"/>
      <c r="U386" s="501"/>
      <c r="V386" s="501"/>
      <c r="W386" s="501"/>
      <c r="X386" s="501"/>
      <c r="Y386" s="501"/>
      <c r="Z386" s="501"/>
      <c r="AA386" s="501"/>
      <c r="AB386" s="501"/>
      <c r="AC386" s="501"/>
      <c r="AD386" s="501"/>
      <c r="AE386" s="501"/>
      <c r="AF386" s="501"/>
      <c r="AG386" s="501"/>
      <c r="AH386" s="501"/>
      <c r="AI386" s="501"/>
      <c r="AJ386" s="501"/>
      <c r="AK386" s="501"/>
      <c r="AL386" s="501"/>
      <c r="AM386" s="501"/>
      <c r="AN386" s="501"/>
      <c r="AO386" s="501"/>
      <c r="AP386" s="501"/>
      <c r="AQ386" s="501"/>
      <c r="AR386" s="501"/>
      <c r="AS386" s="501"/>
      <c r="AT386" s="501"/>
      <c r="AU386" s="501"/>
      <c r="AV386" s="501"/>
      <c r="AW386" s="501"/>
      <c r="AX386" s="501"/>
      <c r="AY386" s="501"/>
      <c r="AZ386" s="501"/>
      <c r="BA386" s="501"/>
      <c r="BB386" s="501"/>
      <c r="BC386" s="501"/>
      <c r="BD386" s="501"/>
      <c r="BE386" s="501"/>
      <c r="BF386" s="501"/>
      <c r="BG386" s="501"/>
      <c r="BH386" s="501"/>
      <c r="BI386" s="501"/>
      <c r="BJ386" s="501"/>
      <c r="BK386" s="501"/>
      <c r="BL386" s="501"/>
      <c r="BM386" s="501"/>
      <c r="BN386" s="501"/>
      <c r="BO386" s="501"/>
      <c r="BP386" s="501"/>
      <c r="BQ386" s="501"/>
      <c r="BR386" s="501"/>
      <c r="BS386" s="501"/>
      <c r="BT386" s="501"/>
      <c r="BU386" s="501"/>
      <c r="BV386" s="501"/>
      <c r="BW386" s="501"/>
      <c r="BX386" s="501"/>
      <c r="BY386" s="501"/>
      <c r="BZ386" s="501"/>
      <c r="CA386" s="501"/>
      <c r="CB386" s="501"/>
      <c r="CC386" s="501"/>
      <c r="CD386" s="501"/>
      <c r="CE386" s="501"/>
      <c r="CF386" s="501"/>
      <c r="CG386" s="501"/>
      <c r="CH386" s="501"/>
      <c r="CI386" s="501"/>
      <c r="CJ386" s="501"/>
      <c r="CK386" s="501"/>
      <c r="CL386" s="501"/>
      <c r="CM386" s="501"/>
      <c r="CN386" s="501"/>
      <c r="CO386" s="501"/>
      <c r="CP386" s="501"/>
      <c r="CQ386" s="501"/>
      <c r="CR386" s="501"/>
      <c r="CS386" s="501"/>
      <c r="CT386" s="501"/>
    </row>
    <row r="387">
      <c r="A387" s="569"/>
      <c r="B387" s="569"/>
      <c r="C387" s="569"/>
      <c r="D387" s="498"/>
      <c r="E387" s="499"/>
      <c r="F387" s="499"/>
      <c r="G387" s="766"/>
      <c r="H387" s="766"/>
      <c r="I387" s="766"/>
      <c r="J387" s="766"/>
      <c r="K387" s="683"/>
      <c r="L387" s="683"/>
      <c r="M387" s="683"/>
      <c r="N387" s="683"/>
      <c r="O387" s="683"/>
      <c r="P387" s="683"/>
      <c r="Q387" s="683"/>
      <c r="R387" s="683"/>
      <c r="S387" s="683"/>
      <c r="T387" s="501"/>
      <c r="U387" s="501"/>
      <c r="V387" s="501"/>
      <c r="W387" s="501"/>
      <c r="X387" s="501"/>
      <c r="Y387" s="501"/>
      <c r="Z387" s="501"/>
      <c r="AA387" s="501"/>
      <c r="AB387" s="501"/>
      <c r="AC387" s="501"/>
      <c r="AD387" s="501"/>
      <c r="AE387" s="501"/>
      <c r="AF387" s="501"/>
      <c r="AG387" s="501"/>
      <c r="AH387" s="501"/>
      <c r="AI387" s="501"/>
      <c r="AJ387" s="501"/>
      <c r="AK387" s="501"/>
      <c r="AL387" s="501"/>
      <c r="AM387" s="501"/>
      <c r="AN387" s="501"/>
      <c r="AO387" s="501"/>
      <c r="AP387" s="501"/>
      <c r="AQ387" s="501"/>
      <c r="AR387" s="501"/>
      <c r="AS387" s="501"/>
      <c r="AT387" s="501"/>
      <c r="AU387" s="501"/>
      <c r="AV387" s="501"/>
      <c r="AW387" s="501"/>
      <c r="AX387" s="501"/>
      <c r="AY387" s="501"/>
      <c r="AZ387" s="501"/>
      <c r="BA387" s="501"/>
      <c r="BB387" s="501"/>
      <c r="BC387" s="501"/>
      <c r="BD387" s="501"/>
      <c r="BE387" s="501"/>
      <c r="BF387" s="501"/>
      <c r="BG387" s="501"/>
      <c r="BH387" s="501"/>
      <c r="BI387" s="501"/>
      <c r="BJ387" s="501"/>
      <c r="BK387" s="501"/>
      <c r="BL387" s="501"/>
      <c r="BM387" s="501"/>
      <c r="BN387" s="501"/>
      <c r="BO387" s="501"/>
      <c r="BP387" s="501"/>
      <c r="BQ387" s="501"/>
      <c r="BR387" s="501"/>
      <c r="BS387" s="501"/>
      <c r="BT387" s="501"/>
      <c r="BU387" s="501"/>
      <c r="BV387" s="501"/>
      <c r="BW387" s="501"/>
      <c r="BX387" s="501"/>
      <c r="BY387" s="501"/>
      <c r="BZ387" s="501"/>
      <c r="CA387" s="501"/>
      <c r="CB387" s="501"/>
      <c r="CC387" s="501"/>
      <c r="CD387" s="501"/>
      <c r="CE387" s="501"/>
      <c r="CF387" s="501"/>
      <c r="CG387" s="501"/>
      <c r="CH387" s="501"/>
      <c r="CI387" s="501"/>
      <c r="CJ387" s="501"/>
      <c r="CK387" s="501"/>
      <c r="CL387" s="501"/>
      <c r="CM387" s="501"/>
      <c r="CN387" s="501"/>
      <c r="CO387" s="501"/>
      <c r="CP387" s="501"/>
      <c r="CQ387" s="501"/>
      <c r="CR387" s="501"/>
      <c r="CS387" s="501"/>
      <c r="CT387" s="501"/>
    </row>
    <row r="388">
      <c r="A388" s="569"/>
      <c r="B388" s="569"/>
      <c r="C388" s="569"/>
      <c r="D388" s="498"/>
      <c r="E388" s="499"/>
      <c r="F388" s="499"/>
      <c r="G388" s="766"/>
      <c r="H388" s="766"/>
      <c r="I388" s="766"/>
      <c r="J388" s="766"/>
      <c r="K388" s="683"/>
      <c r="L388" s="683"/>
      <c r="M388" s="683"/>
      <c r="N388" s="683"/>
      <c r="O388" s="683"/>
      <c r="P388" s="683"/>
      <c r="Q388" s="683"/>
      <c r="R388" s="683"/>
      <c r="S388" s="683"/>
      <c r="T388" s="501"/>
      <c r="U388" s="501"/>
      <c r="V388" s="501"/>
      <c r="W388" s="501"/>
      <c r="X388" s="501"/>
      <c r="Y388" s="501"/>
      <c r="Z388" s="501"/>
      <c r="AA388" s="501"/>
      <c r="AB388" s="501"/>
      <c r="AC388" s="501"/>
      <c r="AD388" s="501"/>
      <c r="AE388" s="501"/>
      <c r="AF388" s="501"/>
      <c r="AG388" s="501"/>
      <c r="AH388" s="501"/>
      <c r="AI388" s="501"/>
      <c r="AJ388" s="501"/>
      <c r="AK388" s="501"/>
      <c r="AL388" s="501"/>
      <c r="AM388" s="501"/>
      <c r="AN388" s="501"/>
      <c r="AO388" s="501"/>
      <c r="AP388" s="501"/>
      <c r="AQ388" s="501"/>
      <c r="AR388" s="501"/>
      <c r="AS388" s="501"/>
      <c r="AT388" s="501"/>
      <c r="AU388" s="501"/>
      <c r="AV388" s="501"/>
      <c r="AW388" s="501"/>
      <c r="AX388" s="501"/>
      <c r="AY388" s="501"/>
      <c r="AZ388" s="501"/>
      <c r="BA388" s="501"/>
      <c r="BB388" s="501"/>
      <c r="BC388" s="501"/>
      <c r="BD388" s="501"/>
      <c r="BE388" s="501"/>
      <c r="BF388" s="501"/>
      <c r="BG388" s="501"/>
      <c r="BH388" s="501"/>
      <c r="BI388" s="501"/>
      <c r="BJ388" s="501"/>
      <c r="BK388" s="501"/>
      <c r="BL388" s="501"/>
      <c r="BM388" s="501"/>
      <c r="BN388" s="501"/>
      <c r="BO388" s="501"/>
      <c r="BP388" s="501"/>
      <c r="BQ388" s="501"/>
      <c r="BR388" s="501"/>
      <c r="BS388" s="501"/>
      <c r="BT388" s="501"/>
      <c r="BU388" s="501"/>
      <c r="BV388" s="501"/>
      <c r="BW388" s="501"/>
      <c r="BX388" s="501"/>
      <c r="BY388" s="501"/>
      <c r="BZ388" s="501"/>
      <c r="CA388" s="501"/>
      <c r="CB388" s="501"/>
      <c r="CC388" s="501"/>
      <c r="CD388" s="501"/>
      <c r="CE388" s="501"/>
      <c r="CF388" s="501"/>
      <c r="CG388" s="501"/>
      <c r="CH388" s="501"/>
      <c r="CI388" s="501"/>
      <c r="CJ388" s="501"/>
      <c r="CK388" s="501"/>
      <c r="CL388" s="501"/>
      <c r="CM388" s="501"/>
      <c r="CN388" s="501"/>
      <c r="CO388" s="501"/>
      <c r="CP388" s="501"/>
      <c r="CQ388" s="501"/>
      <c r="CR388" s="501"/>
      <c r="CS388" s="501"/>
      <c r="CT388" s="501"/>
    </row>
    <row r="389">
      <c r="A389" s="569"/>
      <c r="B389" s="569"/>
      <c r="C389" s="569"/>
      <c r="D389" s="498"/>
      <c r="E389" s="499"/>
      <c r="F389" s="499"/>
      <c r="G389" s="766"/>
      <c r="H389" s="766"/>
      <c r="I389" s="766"/>
      <c r="J389" s="766"/>
      <c r="K389" s="683"/>
      <c r="L389" s="683"/>
      <c r="M389" s="683"/>
      <c r="N389" s="683"/>
      <c r="O389" s="683"/>
      <c r="P389" s="683"/>
      <c r="Q389" s="683"/>
      <c r="R389" s="683"/>
      <c r="S389" s="683"/>
      <c r="T389" s="501"/>
      <c r="U389" s="501"/>
      <c r="V389" s="501"/>
      <c r="W389" s="501"/>
      <c r="X389" s="501"/>
      <c r="Y389" s="501"/>
      <c r="Z389" s="501"/>
      <c r="AA389" s="501"/>
      <c r="AB389" s="501"/>
      <c r="AC389" s="501"/>
      <c r="AD389" s="501"/>
      <c r="AE389" s="501"/>
      <c r="AF389" s="501"/>
      <c r="AG389" s="501"/>
      <c r="AH389" s="501"/>
      <c r="AI389" s="501"/>
      <c r="AJ389" s="501"/>
      <c r="AK389" s="501"/>
      <c r="AL389" s="501"/>
      <c r="AM389" s="501"/>
      <c r="AN389" s="501"/>
      <c r="AO389" s="501"/>
      <c r="AP389" s="501"/>
      <c r="AQ389" s="501"/>
      <c r="AR389" s="501"/>
      <c r="AS389" s="501"/>
      <c r="AT389" s="501"/>
      <c r="AU389" s="501"/>
      <c r="AV389" s="501"/>
      <c r="AW389" s="501"/>
      <c r="AX389" s="501"/>
      <c r="AY389" s="501"/>
      <c r="AZ389" s="501"/>
      <c r="BA389" s="501"/>
      <c r="BB389" s="501"/>
      <c r="BC389" s="501"/>
      <c r="BD389" s="501"/>
      <c r="BE389" s="501"/>
      <c r="BF389" s="501"/>
      <c r="BG389" s="501"/>
      <c r="BH389" s="501"/>
      <c r="BI389" s="501"/>
      <c r="BJ389" s="501"/>
      <c r="BK389" s="501"/>
      <c r="BL389" s="501"/>
      <c r="BM389" s="501"/>
      <c r="BN389" s="501"/>
      <c r="BO389" s="501"/>
      <c r="BP389" s="501"/>
      <c r="BQ389" s="501"/>
      <c r="BR389" s="501"/>
      <c r="BS389" s="501"/>
      <c r="BT389" s="501"/>
      <c r="BU389" s="501"/>
      <c r="BV389" s="501"/>
      <c r="BW389" s="501"/>
      <c r="BX389" s="501"/>
      <c r="BY389" s="501"/>
      <c r="BZ389" s="501"/>
      <c r="CA389" s="501"/>
      <c r="CB389" s="501"/>
      <c r="CC389" s="501"/>
      <c r="CD389" s="501"/>
      <c r="CE389" s="501"/>
      <c r="CF389" s="501"/>
      <c r="CG389" s="501"/>
      <c r="CH389" s="501"/>
      <c r="CI389" s="501"/>
      <c r="CJ389" s="501"/>
      <c r="CK389" s="501"/>
      <c r="CL389" s="501"/>
      <c r="CM389" s="501"/>
      <c r="CN389" s="501"/>
      <c r="CO389" s="501"/>
      <c r="CP389" s="501"/>
      <c r="CQ389" s="501"/>
      <c r="CR389" s="501"/>
      <c r="CS389" s="501"/>
      <c r="CT389" s="501"/>
    </row>
    <row r="390">
      <c r="A390" s="569"/>
      <c r="B390" s="569"/>
      <c r="C390" s="569"/>
      <c r="D390" s="498"/>
      <c r="E390" s="499"/>
      <c r="F390" s="499"/>
      <c r="G390" s="766"/>
      <c r="H390" s="766"/>
      <c r="I390" s="766"/>
      <c r="J390" s="766"/>
      <c r="K390" s="683"/>
      <c r="L390" s="683"/>
      <c r="M390" s="683"/>
      <c r="N390" s="683"/>
      <c r="O390" s="683"/>
      <c r="P390" s="683"/>
      <c r="Q390" s="683"/>
      <c r="R390" s="683"/>
      <c r="S390" s="683"/>
      <c r="T390" s="501"/>
      <c r="U390" s="501"/>
      <c r="V390" s="501"/>
      <c r="W390" s="501"/>
      <c r="X390" s="501"/>
      <c r="Y390" s="501"/>
      <c r="Z390" s="501"/>
      <c r="AA390" s="501"/>
      <c r="AB390" s="501"/>
      <c r="AC390" s="501"/>
      <c r="AD390" s="501"/>
      <c r="AE390" s="501"/>
      <c r="AF390" s="501"/>
      <c r="AG390" s="501"/>
      <c r="AH390" s="501"/>
      <c r="AI390" s="501"/>
      <c r="AJ390" s="501"/>
      <c r="AK390" s="501"/>
      <c r="AL390" s="501"/>
      <c r="AM390" s="501"/>
      <c r="AN390" s="501"/>
      <c r="AO390" s="501"/>
      <c r="AP390" s="501"/>
      <c r="AQ390" s="501"/>
      <c r="AR390" s="501"/>
      <c r="AS390" s="501"/>
      <c r="AT390" s="501"/>
      <c r="AU390" s="501"/>
      <c r="AV390" s="501"/>
      <c r="AW390" s="501"/>
      <c r="AX390" s="501"/>
      <c r="AY390" s="501"/>
      <c r="AZ390" s="501"/>
      <c r="BA390" s="501"/>
      <c r="BB390" s="501"/>
      <c r="BC390" s="501"/>
      <c r="BD390" s="501"/>
      <c r="BE390" s="501"/>
      <c r="BF390" s="501"/>
      <c r="BG390" s="501"/>
      <c r="BH390" s="501"/>
      <c r="BI390" s="501"/>
      <c r="BJ390" s="501"/>
      <c r="BK390" s="501"/>
      <c r="BL390" s="501"/>
      <c r="BM390" s="501"/>
      <c r="BN390" s="501"/>
      <c r="BO390" s="501"/>
      <c r="BP390" s="501"/>
      <c r="BQ390" s="501"/>
      <c r="BR390" s="501"/>
      <c r="BS390" s="501"/>
      <c r="BT390" s="501"/>
      <c r="BU390" s="501"/>
      <c r="BV390" s="501"/>
      <c r="BW390" s="501"/>
      <c r="BX390" s="501"/>
      <c r="BY390" s="501"/>
      <c r="BZ390" s="501"/>
      <c r="CA390" s="501"/>
      <c r="CB390" s="501"/>
      <c r="CC390" s="501"/>
      <c r="CD390" s="501"/>
      <c r="CE390" s="501"/>
      <c r="CF390" s="501"/>
      <c r="CG390" s="501"/>
      <c r="CH390" s="501"/>
      <c r="CI390" s="501"/>
      <c r="CJ390" s="501"/>
      <c r="CK390" s="501"/>
      <c r="CL390" s="501"/>
      <c r="CM390" s="501"/>
      <c r="CN390" s="501"/>
      <c r="CO390" s="501"/>
      <c r="CP390" s="501"/>
      <c r="CQ390" s="501"/>
      <c r="CR390" s="501"/>
      <c r="CS390" s="501"/>
      <c r="CT390" s="501"/>
    </row>
    <row r="391">
      <c r="A391" s="569"/>
      <c r="B391" s="569"/>
      <c r="C391" s="569"/>
      <c r="D391" s="498"/>
      <c r="E391" s="499"/>
      <c r="F391" s="499"/>
      <c r="G391" s="766"/>
      <c r="H391" s="766"/>
      <c r="I391" s="766"/>
      <c r="J391" s="766"/>
      <c r="K391" s="683"/>
      <c r="L391" s="683"/>
      <c r="M391" s="683"/>
      <c r="N391" s="683"/>
      <c r="O391" s="683"/>
      <c r="P391" s="683"/>
      <c r="Q391" s="683"/>
      <c r="R391" s="683"/>
      <c r="S391" s="683"/>
      <c r="T391" s="501"/>
      <c r="U391" s="501"/>
      <c r="V391" s="501"/>
      <c r="W391" s="501"/>
      <c r="X391" s="501"/>
      <c r="Y391" s="501"/>
      <c r="Z391" s="501"/>
      <c r="AA391" s="501"/>
      <c r="AB391" s="501"/>
      <c r="AC391" s="501"/>
      <c r="AD391" s="501"/>
      <c r="AE391" s="501"/>
      <c r="AF391" s="501"/>
      <c r="AG391" s="501"/>
      <c r="AH391" s="501"/>
      <c r="AI391" s="501"/>
      <c r="AJ391" s="501"/>
      <c r="AK391" s="501"/>
      <c r="AL391" s="501"/>
      <c r="AM391" s="501"/>
      <c r="AN391" s="501"/>
      <c r="AO391" s="501"/>
      <c r="AP391" s="501"/>
      <c r="AQ391" s="501"/>
      <c r="AR391" s="501"/>
      <c r="AS391" s="501"/>
      <c r="AT391" s="501"/>
      <c r="AU391" s="501"/>
      <c r="AV391" s="501"/>
      <c r="AW391" s="501"/>
      <c r="AX391" s="501"/>
      <c r="AY391" s="501"/>
      <c r="AZ391" s="501"/>
      <c r="BA391" s="501"/>
      <c r="BB391" s="501"/>
      <c r="BC391" s="501"/>
      <c r="BD391" s="501"/>
      <c r="BE391" s="501"/>
      <c r="BF391" s="501"/>
      <c r="BG391" s="501"/>
      <c r="BH391" s="501"/>
      <c r="BI391" s="501"/>
      <c r="BJ391" s="501"/>
      <c r="BK391" s="501"/>
      <c r="BL391" s="501"/>
      <c r="BM391" s="501"/>
      <c r="BN391" s="501"/>
      <c r="BO391" s="501"/>
      <c r="BP391" s="501"/>
      <c r="BQ391" s="501"/>
      <c r="BR391" s="501"/>
      <c r="BS391" s="501"/>
      <c r="BT391" s="501"/>
      <c r="BU391" s="501"/>
      <c r="BV391" s="501"/>
      <c r="BW391" s="501"/>
      <c r="BX391" s="501"/>
      <c r="BY391" s="501"/>
      <c r="BZ391" s="501"/>
      <c r="CA391" s="501"/>
      <c r="CB391" s="501"/>
      <c r="CC391" s="501"/>
      <c r="CD391" s="501"/>
      <c r="CE391" s="501"/>
      <c r="CF391" s="501"/>
      <c r="CG391" s="501"/>
      <c r="CH391" s="501"/>
      <c r="CI391" s="501"/>
      <c r="CJ391" s="501"/>
      <c r="CK391" s="501"/>
      <c r="CL391" s="501"/>
      <c r="CM391" s="501"/>
      <c r="CN391" s="501"/>
      <c r="CO391" s="501"/>
      <c r="CP391" s="501"/>
      <c r="CQ391" s="501"/>
      <c r="CR391" s="501"/>
      <c r="CS391" s="501"/>
      <c r="CT391" s="501"/>
    </row>
    <row r="392">
      <c r="A392" s="569"/>
      <c r="B392" s="569"/>
      <c r="C392" s="569"/>
      <c r="D392" s="498"/>
      <c r="E392" s="499"/>
      <c r="F392" s="499"/>
      <c r="G392" s="766"/>
      <c r="H392" s="766"/>
      <c r="I392" s="766"/>
      <c r="J392" s="766"/>
      <c r="K392" s="683"/>
      <c r="L392" s="683"/>
      <c r="M392" s="683"/>
      <c r="N392" s="683"/>
      <c r="O392" s="683"/>
      <c r="P392" s="683"/>
      <c r="Q392" s="683"/>
      <c r="R392" s="683"/>
      <c r="S392" s="683"/>
      <c r="T392" s="501"/>
      <c r="U392" s="501"/>
      <c r="V392" s="501"/>
      <c r="W392" s="501"/>
      <c r="X392" s="501"/>
      <c r="Y392" s="501"/>
      <c r="Z392" s="501"/>
      <c r="AA392" s="501"/>
      <c r="AB392" s="501"/>
      <c r="AC392" s="501"/>
      <c r="AD392" s="501"/>
      <c r="AE392" s="501"/>
      <c r="AF392" s="501"/>
      <c r="AG392" s="501"/>
      <c r="AH392" s="501"/>
      <c r="AI392" s="501"/>
      <c r="AJ392" s="501"/>
      <c r="AK392" s="501"/>
      <c r="AL392" s="501"/>
      <c r="AM392" s="501"/>
      <c r="AN392" s="501"/>
      <c r="AO392" s="501"/>
      <c r="AP392" s="501"/>
      <c r="AQ392" s="501"/>
      <c r="AR392" s="501"/>
      <c r="AS392" s="501"/>
      <c r="AT392" s="501"/>
      <c r="AU392" s="501"/>
      <c r="AV392" s="501"/>
      <c r="AW392" s="501"/>
      <c r="AX392" s="501"/>
      <c r="AY392" s="501"/>
      <c r="AZ392" s="501"/>
      <c r="BA392" s="501"/>
      <c r="BB392" s="501"/>
      <c r="BC392" s="501"/>
      <c r="BD392" s="501"/>
      <c r="BE392" s="501"/>
      <c r="BF392" s="501"/>
      <c r="BG392" s="501"/>
      <c r="BH392" s="501"/>
      <c r="BI392" s="501"/>
      <c r="BJ392" s="501"/>
      <c r="BK392" s="501"/>
      <c r="BL392" s="501"/>
      <c r="BM392" s="501"/>
      <c r="BN392" s="501"/>
      <c r="BO392" s="501"/>
      <c r="BP392" s="501"/>
      <c r="BQ392" s="501"/>
      <c r="BR392" s="501"/>
      <c r="BS392" s="501"/>
      <c r="BT392" s="501"/>
      <c r="BU392" s="501"/>
      <c r="BV392" s="501"/>
      <c r="BW392" s="501"/>
      <c r="BX392" s="501"/>
      <c r="BY392" s="501"/>
      <c r="BZ392" s="501"/>
      <c r="CA392" s="501"/>
      <c r="CB392" s="501"/>
      <c r="CC392" s="501"/>
      <c r="CD392" s="501"/>
      <c r="CE392" s="501"/>
      <c r="CF392" s="501"/>
      <c r="CG392" s="501"/>
      <c r="CH392" s="501"/>
      <c r="CI392" s="501"/>
      <c r="CJ392" s="501"/>
      <c r="CK392" s="501"/>
      <c r="CL392" s="501"/>
      <c r="CM392" s="501"/>
      <c r="CN392" s="501"/>
      <c r="CO392" s="501"/>
      <c r="CP392" s="501"/>
      <c r="CQ392" s="501"/>
      <c r="CR392" s="501"/>
      <c r="CS392" s="501"/>
      <c r="CT392" s="501"/>
    </row>
    <row r="393">
      <c r="A393" s="569"/>
      <c r="B393" s="569"/>
      <c r="C393" s="569"/>
      <c r="D393" s="498"/>
      <c r="E393" s="499"/>
      <c r="F393" s="499"/>
      <c r="G393" s="766"/>
      <c r="H393" s="766"/>
      <c r="I393" s="766"/>
      <c r="J393" s="766"/>
      <c r="K393" s="683"/>
      <c r="L393" s="683"/>
      <c r="M393" s="683"/>
      <c r="N393" s="683"/>
      <c r="O393" s="683"/>
      <c r="P393" s="683"/>
      <c r="Q393" s="683"/>
      <c r="R393" s="683"/>
      <c r="S393" s="683"/>
      <c r="T393" s="501"/>
      <c r="U393" s="501"/>
      <c r="V393" s="501"/>
      <c r="W393" s="501"/>
      <c r="X393" s="501"/>
      <c r="Y393" s="501"/>
      <c r="Z393" s="501"/>
      <c r="AA393" s="501"/>
      <c r="AB393" s="501"/>
      <c r="AC393" s="501"/>
      <c r="AD393" s="501"/>
      <c r="AE393" s="501"/>
      <c r="AF393" s="501"/>
      <c r="AG393" s="501"/>
      <c r="AH393" s="501"/>
      <c r="AI393" s="501"/>
      <c r="AJ393" s="501"/>
      <c r="AK393" s="501"/>
      <c r="AL393" s="501"/>
      <c r="AM393" s="501"/>
      <c r="AN393" s="501"/>
      <c r="AO393" s="501"/>
      <c r="AP393" s="501"/>
      <c r="AQ393" s="501"/>
      <c r="AR393" s="501"/>
      <c r="AS393" s="501"/>
      <c r="AT393" s="501"/>
      <c r="AU393" s="501"/>
      <c r="AV393" s="501"/>
      <c r="AW393" s="501"/>
      <c r="AX393" s="501"/>
      <c r="AY393" s="501"/>
      <c r="AZ393" s="501"/>
      <c r="BA393" s="501"/>
      <c r="BB393" s="501"/>
      <c r="BC393" s="501"/>
      <c r="BD393" s="501"/>
      <c r="BE393" s="501"/>
      <c r="BF393" s="501"/>
      <c r="BG393" s="501"/>
      <c r="BH393" s="501"/>
      <c r="BI393" s="501"/>
      <c r="BJ393" s="501"/>
      <c r="BK393" s="501"/>
      <c r="BL393" s="501"/>
      <c r="BM393" s="501"/>
      <c r="BN393" s="501"/>
      <c r="BO393" s="501"/>
      <c r="BP393" s="501"/>
      <c r="BQ393" s="501"/>
      <c r="BR393" s="501"/>
      <c r="BS393" s="501"/>
      <c r="BT393" s="501"/>
      <c r="BU393" s="501"/>
      <c r="BV393" s="501"/>
      <c r="BW393" s="501"/>
      <c r="BX393" s="501"/>
      <c r="BY393" s="501"/>
      <c r="BZ393" s="501"/>
      <c r="CA393" s="501"/>
      <c r="CB393" s="501"/>
      <c r="CC393" s="501"/>
      <c r="CD393" s="501"/>
      <c r="CE393" s="501"/>
      <c r="CF393" s="501"/>
      <c r="CG393" s="501"/>
      <c r="CH393" s="501"/>
      <c r="CI393" s="501"/>
      <c r="CJ393" s="501"/>
      <c r="CK393" s="501"/>
      <c r="CL393" s="501"/>
      <c r="CM393" s="501"/>
      <c r="CN393" s="501"/>
      <c r="CO393" s="501"/>
      <c r="CP393" s="501"/>
      <c r="CQ393" s="501"/>
      <c r="CR393" s="501"/>
      <c r="CS393" s="501"/>
      <c r="CT393" s="501"/>
    </row>
    <row r="394">
      <c r="A394" s="569"/>
      <c r="B394" s="569"/>
      <c r="C394" s="569"/>
      <c r="D394" s="498"/>
      <c r="E394" s="499"/>
      <c r="F394" s="499"/>
      <c r="G394" s="766"/>
      <c r="H394" s="766"/>
      <c r="I394" s="766"/>
      <c r="J394" s="766"/>
      <c r="K394" s="683"/>
      <c r="L394" s="683"/>
      <c r="M394" s="683"/>
      <c r="N394" s="683"/>
      <c r="O394" s="683"/>
      <c r="P394" s="683"/>
      <c r="Q394" s="683"/>
      <c r="R394" s="683"/>
      <c r="S394" s="683"/>
      <c r="T394" s="501"/>
      <c r="U394" s="501"/>
      <c r="V394" s="501"/>
      <c r="W394" s="501"/>
      <c r="X394" s="501"/>
      <c r="Y394" s="501"/>
      <c r="Z394" s="501"/>
      <c r="AA394" s="501"/>
      <c r="AB394" s="501"/>
      <c r="AC394" s="501"/>
      <c r="AD394" s="501"/>
      <c r="AE394" s="501"/>
      <c r="AF394" s="501"/>
      <c r="AG394" s="501"/>
      <c r="AH394" s="501"/>
      <c r="AI394" s="501"/>
      <c r="AJ394" s="501"/>
      <c r="AK394" s="501"/>
      <c r="AL394" s="501"/>
      <c r="AM394" s="501"/>
      <c r="AN394" s="501"/>
      <c r="AO394" s="501"/>
      <c r="AP394" s="501"/>
      <c r="AQ394" s="501"/>
      <c r="AR394" s="501"/>
      <c r="AS394" s="501"/>
      <c r="AT394" s="501"/>
      <c r="AU394" s="501"/>
      <c r="AV394" s="501"/>
      <c r="AW394" s="501"/>
      <c r="AX394" s="501"/>
      <c r="AY394" s="501"/>
      <c r="AZ394" s="501"/>
      <c r="BA394" s="501"/>
      <c r="BB394" s="501"/>
      <c r="BC394" s="501"/>
      <c r="BD394" s="501"/>
      <c r="BE394" s="501"/>
      <c r="BF394" s="501"/>
      <c r="BG394" s="501"/>
      <c r="BH394" s="501"/>
      <c r="BI394" s="501"/>
      <c r="BJ394" s="501"/>
      <c r="BK394" s="501"/>
      <c r="BL394" s="501"/>
      <c r="BM394" s="501"/>
      <c r="BN394" s="501"/>
      <c r="BO394" s="501"/>
      <c r="BP394" s="501"/>
      <c r="BQ394" s="501"/>
      <c r="BR394" s="501"/>
      <c r="BS394" s="501"/>
      <c r="BT394" s="501"/>
      <c r="BU394" s="501"/>
      <c r="BV394" s="501"/>
      <c r="BW394" s="501"/>
      <c r="BX394" s="501"/>
      <c r="BY394" s="501"/>
      <c r="BZ394" s="501"/>
      <c r="CA394" s="501"/>
      <c r="CB394" s="501"/>
      <c r="CC394" s="501"/>
      <c r="CD394" s="501"/>
      <c r="CE394" s="501"/>
      <c r="CF394" s="501"/>
      <c r="CG394" s="501"/>
      <c r="CH394" s="501"/>
      <c r="CI394" s="501"/>
      <c r="CJ394" s="501"/>
      <c r="CK394" s="501"/>
      <c r="CL394" s="501"/>
      <c r="CM394" s="501"/>
      <c r="CN394" s="501"/>
      <c r="CO394" s="501"/>
      <c r="CP394" s="501"/>
      <c r="CQ394" s="501"/>
      <c r="CR394" s="501"/>
      <c r="CS394" s="501"/>
      <c r="CT394" s="501"/>
    </row>
    <row r="395">
      <c r="A395" s="569"/>
      <c r="B395" s="569"/>
      <c r="C395" s="569"/>
      <c r="D395" s="498"/>
      <c r="E395" s="499"/>
      <c r="F395" s="499"/>
      <c r="G395" s="766"/>
      <c r="H395" s="766"/>
      <c r="I395" s="766"/>
      <c r="J395" s="766"/>
      <c r="K395" s="683"/>
      <c r="L395" s="683"/>
      <c r="M395" s="683"/>
      <c r="N395" s="683"/>
      <c r="O395" s="683"/>
      <c r="P395" s="683"/>
      <c r="Q395" s="683"/>
      <c r="R395" s="683"/>
      <c r="S395" s="683"/>
      <c r="T395" s="501"/>
      <c r="U395" s="501"/>
      <c r="V395" s="501"/>
      <c r="W395" s="501"/>
      <c r="X395" s="501"/>
      <c r="Y395" s="501"/>
      <c r="Z395" s="501"/>
      <c r="AA395" s="501"/>
      <c r="AB395" s="501"/>
      <c r="AC395" s="501"/>
      <c r="AD395" s="501"/>
      <c r="AE395" s="501"/>
      <c r="AF395" s="501"/>
      <c r="AG395" s="501"/>
      <c r="AH395" s="501"/>
      <c r="AI395" s="501"/>
      <c r="AJ395" s="501"/>
      <c r="AK395" s="501"/>
      <c r="AL395" s="501"/>
      <c r="AM395" s="501"/>
      <c r="AN395" s="501"/>
      <c r="AO395" s="501"/>
      <c r="AP395" s="501"/>
      <c r="AQ395" s="501"/>
      <c r="AR395" s="501"/>
      <c r="AS395" s="501"/>
      <c r="AT395" s="501"/>
      <c r="AU395" s="501"/>
      <c r="AV395" s="501"/>
      <c r="AW395" s="501"/>
      <c r="AX395" s="501"/>
      <c r="AY395" s="501"/>
      <c r="AZ395" s="501"/>
      <c r="BA395" s="501"/>
      <c r="BB395" s="501"/>
      <c r="BC395" s="501"/>
      <c r="BD395" s="501"/>
      <c r="BE395" s="501"/>
      <c r="BF395" s="501"/>
      <c r="BG395" s="501"/>
      <c r="BH395" s="501"/>
      <c r="BI395" s="501"/>
      <c r="BJ395" s="501"/>
      <c r="BK395" s="501"/>
      <c r="BL395" s="501"/>
      <c r="BM395" s="501"/>
      <c r="BN395" s="501"/>
      <c r="BO395" s="501"/>
      <c r="BP395" s="501"/>
      <c r="BQ395" s="501"/>
      <c r="BR395" s="501"/>
      <c r="BS395" s="501"/>
      <c r="BT395" s="501"/>
      <c r="BU395" s="501"/>
      <c r="BV395" s="501"/>
      <c r="BW395" s="501"/>
      <c r="BX395" s="501"/>
      <c r="BY395" s="501"/>
      <c r="BZ395" s="501"/>
      <c r="CA395" s="501"/>
      <c r="CB395" s="501"/>
      <c r="CC395" s="501"/>
      <c r="CD395" s="501"/>
      <c r="CE395" s="501"/>
      <c r="CF395" s="501"/>
      <c r="CG395" s="501"/>
      <c r="CH395" s="501"/>
      <c r="CI395" s="501"/>
      <c r="CJ395" s="501"/>
      <c r="CK395" s="501"/>
      <c r="CL395" s="501"/>
      <c r="CM395" s="501"/>
      <c r="CN395" s="501"/>
      <c r="CO395" s="501"/>
      <c r="CP395" s="501"/>
      <c r="CQ395" s="501"/>
      <c r="CR395" s="501"/>
      <c r="CS395" s="501"/>
      <c r="CT395" s="501"/>
    </row>
    <row r="396">
      <c r="A396" s="569"/>
      <c r="B396" s="569"/>
      <c r="C396" s="569"/>
      <c r="D396" s="498"/>
      <c r="E396" s="499"/>
      <c r="F396" s="499"/>
      <c r="G396" s="766"/>
      <c r="H396" s="766"/>
      <c r="I396" s="766"/>
      <c r="J396" s="766"/>
      <c r="K396" s="683"/>
      <c r="L396" s="683"/>
      <c r="M396" s="683"/>
      <c r="N396" s="683"/>
      <c r="O396" s="683"/>
      <c r="P396" s="683"/>
      <c r="Q396" s="683"/>
      <c r="R396" s="683"/>
      <c r="S396" s="683"/>
      <c r="T396" s="501"/>
      <c r="U396" s="501"/>
      <c r="V396" s="501"/>
      <c r="W396" s="501"/>
      <c r="X396" s="501"/>
      <c r="Y396" s="501"/>
      <c r="Z396" s="501"/>
      <c r="AA396" s="501"/>
      <c r="AB396" s="501"/>
      <c r="AC396" s="501"/>
      <c r="AD396" s="501"/>
      <c r="AE396" s="501"/>
      <c r="AF396" s="501"/>
      <c r="AG396" s="501"/>
      <c r="AH396" s="501"/>
      <c r="AI396" s="501"/>
      <c r="AJ396" s="501"/>
      <c r="AK396" s="501"/>
      <c r="AL396" s="501"/>
      <c r="AM396" s="501"/>
      <c r="AN396" s="501"/>
      <c r="AO396" s="501"/>
      <c r="AP396" s="501"/>
      <c r="AQ396" s="501"/>
      <c r="AR396" s="501"/>
      <c r="AS396" s="501"/>
      <c r="AT396" s="501"/>
      <c r="AU396" s="501"/>
      <c r="AV396" s="501"/>
      <c r="AW396" s="501"/>
      <c r="AX396" s="501"/>
      <c r="AY396" s="501"/>
      <c r="AZ396" s="501"/>
      <c r="BA396" s="501"/>
      <c r="BB396" s="501"/>
      <c r="BC396" s="501"/>
      <c r="BD396" s="501"/>
      <c r="BE396" s="501"/>
      <c r="BF396" s="501"/>
      <c r="BG396" s="501"/>
      <c r="BH396" s="501"/>
      <c r="BI396" s="501"/>
      <c r="BJ396" s="501"/>
      <c r="BK396" s="501"/>
      <c r="BL396" s="501"/>
      <c r="BM396" s="501"/>
      <c r="BN396" s="501"/>
      <c r="BO396" s="501"/>
      <c r="BP396" s="501"/>
      <c r="BQ396" s="501"/>
      <c r="BR396" s="501"/>
      <c r="BS396" s="501"/>
      <c r="BT396" s="501"/>
      <c r="BU396" s="501"/>
      <c r="BV396" s="501"/>
      <c r="BW396" s="501"/>
      <c r="BX396" s="501"/>
      <c r="BY396" s="501"/>
      <c r="BZ396" s="501"/>
      <c r="CA396" s="501"/>
      <c r="CB396" s="501"/>
      <c r="CC396" s="501"/>
      <c r="CD396" s="501"/>
      <c r="CE396" s="501"/>
      <c r="CF396" s="501"/>
      <c r="CG396" s="501"/>
      <c r="CH396" s="501"/>
      <c r="CI396" s="501"/>
      <c r="CJ396" s="501"/>
      <c r="CK396" s="501"/>
      <c r="CL396" s="501"/>
      <c r="CM396" s="501"/>
      <c r="CN396" s="501"/>
      <c r="CO396" s="501"/>
      <c r="CP396" s="501"/>
      <c r="CQ396" s="501"/>
      <c r="CR396" s="501"/>
      <c r="CS396" s="501"/>
      <c r="CT396" s="501"/>
    </row>
    <row r="397">
      <c r="A397" s="569"/>
      <c r="B397" s="569"/>
      <c r="C397" s="569"/>
      <c r="D397" s="498"/>
      <c r="E397" s="499"/>
      <c r="F397" s="499"/>
      <c r="G397" s="766"/>
      <c r="H397" s="766"/>
      <c r="I397" s="766"/>
      <c r="J397" s="766"/>
      <c r="K397" s="683"/>
      <c r="L397" s="683"/>
      <c r="M397" s="683"/>
      <c r="N397" s="683"/>
      <c r="O397" s="683"/>
      <c r="P397" s="683"/>
      <c r="Q397" s="683"/>
      <c r="R397" s="683"/>
      <c r="S397" s="683"/>
      <c r="T397" s="501"/>
      <c r="U397" s="501"/>
      <c r="V397" s="501"/>
      <c r="W397" s="501"/>
      <c r="X397" s="501"/>
      <c r="Y397" s="501"/>
      <c r="Z397" s="501"/>
      <c r="AA397" s="501"/>
      <c r="AB397" s="501"/>
      <c r="AC397" s="501"/>
      <c r="AD397" s="501"/>
      <c r="AE397" s="501"/>
      <c r="AF397" s="501"/>
      <c r="AG397" s="501"/>
      <c r="AH397" s="501"/>
      <c r="AI397" s="501"/>
      <c r="AJ397" s="501"/>
      <c r="AK397" s="501"/>
      <c r="AL397" s="501"/>
      <c r="AM397" s="501"/>
      <c r="AN397" s="501"/>
      <c r="AO397" s="501"/>
      <c r="AP397" s="501"/>
      <c r="AQ397" s="501"/>
      <c r="AR397" s="501"/>
      <c r="AS397" s="501"/>
      <c r="AT397" s="501"/>
      <c r="AU397" s="501"/>
      <c r="AV397" s="501"/>
      <c r="AW397" s="501"/>
      <c r="AX397" s="501"/>
      <c r="AY397" s="501"/>
      <c r="AZ397" s="501"/>
      <c r="BA397" s="501"/>
      <c r="BB397" s="501"/>
      <c r="BC397" s="501"/>
      <c r="BD397" s="501"/>
      <c r="BE397" s="501"/>
      <c r="BF397" s="501"/>
      <c r="BG397" s="501"/>
      <c r="BH397" s="501"/>
      <c r="BI397" s="501"/>
      <c r="BJ397" s="501"/>
      <c r="BK397" s="501"/>
      <c r="BL397" s="501"/>
      <c r="BM397" s="501"/>
      <c r="BN397" s="501"/>
      <c r="BO397" s="501"/>
      <c r="BP397" s="501"/>
      <c r="BQ397" s="501"/>
      <c r="BR397" s="501"/>
      <c r="BS397" s="501"/>
      <c r="BT397" s="501"/>
      <c r="BU397" s="501"/>
      <c r="BV397" s="501"/>
      <c r="BW397" s="501"/>
      <c r="BX397" s="501"/>
      <c r="BY397" s="501"/>
      <c r="BZ397" s="501"/>
      <c r="CA397" s="501"/>
      <c r="CB397" s="501"/>
      <c r="CC397" s="501"/>
      <c r="CD397" s="501"/>
      <c r="CE397" s="501"/>
      <c r="CF397" s="501"/>
      <c r="CG397" s="501"/>
      <c r="CH397" s="501"/>
      <c r="CI397" s="501"/>
      <c r="CJ397" s="501"/>
      <c r="CK397" s="501"/>
      <c r="CL397" s="501"/>
      <c r="CM397" s="501"/>
      <c r="CN397" s="501"/>
      <c r="CO397" s="501"/>
      <c r="CP397" s="501"/>
      <c r="CQ397" s="501"/>
      <c r="CR397" s="501"/>
      <c r="CS397" s="501"/>
      <c r="CT397" s="501"/>
    </row>
    <row r="398">
      <c r="A398" s="569"/>
      <c r="B398" s="569"/>
      <c r="C398" s="569"/>
      <c r="D398" s="498"/>
      <c r="E398" s="499"/>
      <c r="F398" s="499"/>
      <c r="G398" s="766"/>
      <c r="H398" s="766"/>
      <c r="I398" s="766"/>
      <c r="J398" s="766"/>
      <c r="K398" s="683"/>
      <c r="L398" s="683"/>
      <c r="M398" s="683"/>
      <c r="N398" s="683"/>
      <c r="O398" s="683"/>
      <c r="P398" s="683"/>
      <c r="Q398" s="683"/>
      <c r="R398" s="683"/>
      <c r="S398" s="683"/>
      <c r="T398" s="501"/>
      <c r="U398" s="501"/>
      <c r="V398" s="501"/>
      <c r="W398" s="501"/>
      <c r="X398" s="501"/>
      <c r="Y398" s="501"/>
      <c r="Z398" s="501"/>
      <c r="AA398" s="501"/>
      <c r="AB398" s="501"/>
      <c r="AC398" s="501"/>
      <c r="AD398" s="501"/>
      <c r="AE398" s="501"/>
      <c r="AF398" s="501"/>
      <c r="AG398" s="501"/>
      <c r="AH398" s="501"/>
      <c r="AI398" s="501"/>
      <c r="AJ398" s="501"/>
      <c r="AK398" s="501"/>
      <c r="AL398" s="501"/>
      <c r="AM398" s="501"/>
      <c r="AN398" s="501"/>
      <c r="AO398" s="501"/>
      <c r="AP398" s="501"/>
      <c r="AQ398" s="501"/>
      <c r="AR398" s="501"/>
      <c r="AS398" s="501"/>
      <c r="AT398" s="501"/>
      <c r="AU398" s="501"/>
      <c r="AV398" s="501"/>
      <c r="AW398" s="501"/>
      <c r="AX398" s="501"/>
      <c r="AY398" s="501"/>
      <c r="AZ398" s="501"/>
      <c r="BA398" s="501"/>
      <c r="BB398" s="501"/>
      <c r="BC398" s="501"/>
      <c r="BD398" s="501"/>
      <c r="BE398" s="501"/>
      <c r="BF398" s="501"/>
      <c r="BG398" s="501"/>
      <c r="BH398" s="501"/>
      <c r="BI398" s="501"/>
      <c r="BJ398" s="501"/>
      <c r="BK398" s="501"/>
      <c r="BL398" s="501"/>
      <c r="BM398" s="501"/>
      <c r="BN398" s="501"/>
      <c r="BO398" s="501"/>
      <c r="BP398" s="501"/>
      <c r="BQ398" s="501"/>
      <c r="BR398" s="501"/>
      <c r="BS398" s="501"/>
      <c r="BT398" s="501"/>
      <c r="BU398" s="501"/>
      <c r="BV398" s="501"/>
      <c r="BW398" s="501"/>
      <c r="BX398" s="501"/>
      <c r="BY398" s="501"/>
      <c r="BZ398" s="501"/>
      <c r="CA398" s="501"/>
      <c r="CB398" s="501"/>
      <c r="CC398" s="501"/>
      <c r="CD398" s="501"/>
      <c r="CE398" s="501"/>
      <c r="CF398" s="501"/>
      <c r="CG398" s="501"/>
      <c r="CH398" s="501"/>
      <c r="CI398" s="501"/>
      <c r="CJ398" s="501"/>
      <c r="CK398" s="501"/>
      <c r="CL398" s="501"/>
      <c r="CM398" s="501"/>
      <c r="CN398" s="501"/>
      <c r="CO398" s="501"/>
      <c r="CP398" s="501"/>
      <c r="CQ398" s="501"/>
      <c r="CR398" s="501"/>
      <c r="CS398" s="501"/>
      <c r="CT398" s="501"/>
    </row>
    <row r="399">
      <c r="A399" s="569"/>
      <c r="B399" s="569"/>
      <c r="C399" s="569"/>
      <c r="D399" s="498"/>
      <c r="E399" s="499"/>
      <c r="F399" s="499"/>
      <c r="G399" s="766"/>
      <c r="H399" s="766"/>
      <c r="I399" s="766"/>
      <c r="J399" s="766"/>
      <c r="K399" s="683"/>
      <c r="L399" s="683"/>
      <c r="M399" s="683"/>
      <c r="N399" s="683"/>
      <c r="O399" s="683"/>
      <c r="P399" s="683"/>
      <c r="Q399" s="683"/>
      <c r="R399" s="683"/>
      <c r="S399" s="683"/>
      <c r="T399" s="501"/>
      <c r="U399" s="501"/>
      <c r="V399" s="501"/>
      <c r="W399" s="501"/>
      <c r="X399" s="501"/>
      <c r="Y399" s="501"/>
      <c r="Z399" s="501"/>
      <c r="AA399" s="501"/>
      <c r="AB399" s="501"/>
      <c r="AC399" s="501"/>
      <c r="AD399" s="501"/>
      <c r="AE399" s="501"/>
      <c r="AF399" s="501"/>
      <c r="AG399" s="501"/>
      <c r="AH399" s="501"/>
      <c r="AI399" s="501"/>
      <c r="AJ399" s="501"/>
      <c r="AK399" s="501"/>
      <c r="AL399" s="501"/>
      <c r="AM399" s="501"/>
      <c r="AN399" s="501"/>
      <c r="AO399" s="501"/>
      <c r="AP399" s="501"/>
      <c r="AQ399" s="501"/>
      <c r="AR399" s="501"/>
      <c r="AS399" s="501"/>
      <c r="AT399" s="501"/>
      <c r="AU399" s="501"/>
      <c r="AV399" s="501"/>
      <c r="AW399" s="501"/>
      <c r="AX399" s="501"/>
      <c r="AY399" s="501"/>
      <c r="AZ399" s="501"/>
      <c r="BA399" s="501"/>
      <c r="BB399" s="501"/>
      <c r="BC399" s="501"/>
      <c r="BD399" s="501"/>
      <c r="BE399" s="501"/>
      <c r="BF399" s="501"/>
      <c r="BG399" s="501"/>
      <c r="BH399" s="501"/>
      <c r="BI399" s="501"/>
      <c r="BJ399" s="501"/>
      <c r="BK399" s="501"/>
      <c r="BL399" s="501"/>
      <c r="BM399" s="501"/>
      <c r="BN399" s="501"/>
      <c r="BO399" s="501"/>
      <c r="BP399" s="501"/>
      <c r="BQ399" s="501"/>
      <c r="BR399" s="501"/>
      <c r="BS399" s="501"/>
      <c r="BT399" s="501"/>
      <c r="BU399" s="501"/>
      <c r="BV399" s="501"/>
      <c r="BW399" s="501"/>
      <c r="BX399" s="501"/>
      <c r="BY399" s="501"/>
      <c r="BZ399" s="501"/>
      <c r="CA399" s="501"/>
      <c r="CB399" s="501"/>
      <c r="CC399" s="501"/>
      <c r="CD399" s="501"/>
      <c r="CE399" s="501"/>
      <c r="CF399" s="501"/>
      <c r="CG399" s="501"/>
      <c r="CH399" s="501"/>
      <c r="CI399" s="501"/>
      <c r="CJ399" s="501"/>
      <c r="CK399" s="501"/>
      <c r="CL399" s="501"/>
      <c r="CM399" s="501"/>
      <c r="CN399" s="501"/>
      <c r="CO399" s="501"/>
      <c r="CP399" s="501"/>
      <c r="CQ399" s="501"/>
      <c r="CR399" s="501"/>
      <c r="CS399" s="501"/>
      <c r="CT399" s="501"/>
    </row>
    <row r="400">
      <c r="A400" s="569"/>
      <c r="B400" s="569"/>
      <c r="C400" s="569"/>
      <c r="D400" s="498"/>
      <c r="E400" s="499"/>
      <c r="F400" s="499"/>
      <c r="G400" s="766"/>
      <c r="H400" s="766"/>
      <c r="I400" s="766"/>
      <c r="J400" s="766"/>
      <c r="K400" s="683"/>
      <c r="L400" s="683"/>
      <c r="M400" s="683"/>
      <c r="N400" s="683"/>
      <c r="O400" s="683"/>
      <c r="P400" s="683"/>
      <c r="Q400" s="683"/>
      <c r="R400" s="683"/>
      <c r="S400" s="683"/>
      <c r="T400" s="501"/>
      <c r="U400" s="501"/>
      <c r="V400" s="501"/>
      <c r="W400" s="501"/>
      <c r="X400" s="501"/>
      <c r="Y400" s="501"/>
      <c r="Z400" s="501"/>
      <c r="AA400" s="501"/>
      <c r="AB400" s="501"/>
      <c r="AC400" s="501"/>
      <c r="AD400" s="501"/>
      <c r="AE400" s="501"/>
      <c r="AF400" s="501"/>
      <c r="AG400" s="501"/>
      <c r="AH400" s="501"/>
      <c r="AI400" s="501"/>
      <c r="AJ400" s="501"/>
      <c r="AK400" s="501"/>
      <c r="AL400" s="501"/>
      <c r="AM400" s="501"/>
      <c r="AN400" s="501"/>
      <c r="AO400" s="501"/>
      <c r="AP400" s="501"/>
      <c r="AQ400" s="501"/>
      <c r="AR400" s="501"/>
      <c r="AS400" s="501"/>
      <c r="AT400" s="501"/>
      <c r="AU400" s="501"/>
      <c r="AV400" s="501"/>
      <c r="AW400" s="501"/>
      <c r="AX400" s="501"/>
      <c r="AY400" s="501"/>
      <c r="AZ400" s="501"/>
      <c r="BA400" s="501"/>
      <c r="BB400" s="501"/>
      <c r="BC400" s="501"/>
      <c r="BD400" s="501"/>
      <c r="BE400" s="501"/>
      <c r="BF400" s="501"/>
      <c r="BG400" s="501"/>
      <c r="BH400" s="501"/>
      <c r="BI400" s="501"/>
      <c r="BJ400" s="501"/>
      <c r="BK400" s="501"/>
      <c r="BL400" s="501"/>
      <c r="BM400" s="501"/>
      <c r="BN400" s="501"/>
      <c r="BO400" s="501"/>
      <c r="BP400" s="501"/>
      <c r="BQ400" s="501"/>
      <c r="BR400" s="501"/>
      <c r="BS400" s="501"/>
      <c r="BT400" s="501"/>
      <c r="BU400" s="501"/>
      <c r="BV400" s="501"/>
      <c r="BW400" s="501"/>
      <c r="BX400" s="501"/>
      <c r="BY400" s="501"/>
      <c r="BZ400" s="501"/>
      <c r="CA400" s="501"/>
      <c r="CB400" s="501"/>
      <c r="CC400" s="501"/>
      <c r="CD400" s="501"/>
      <c r="CE400" s="501"/>
      <c r="CF400" s="501"/>
      <c r="CG400" s="501"/>
      <c r="CH400" s="501"/>
      <c r="CI400" s="501"/>
      <c r="CJ400" s="501"/>
      <c r="CK400" s="501"/>
      <c r="CL400" s="501"/>
      <c r="CM400" s="501"/>
      <c r="CN400" s="501"/>
      <c r="CO400" s="501"/>
      <c r="CP400" s="501"/>
      <c r="CQ400" s="501"/>
      <c r="CR400" s="501"/>
      <c r="CS400" s="501"/>
      <c r="CT400" s="501"/>
    </row>
    <row r="401">
      <c r="A401" s="569"/>
      <c r="B401" s="569"/>
      <c r="C401" s="569"/>
      <c r="D401" s="498"/>
      <c r="E401" s="499"/>
      <c r="F401" s="499"/>
      <c r="G401" s="766"/>
      <c r="H401" s="766"/>
      <c r="I401" s="766"/>
      <c r="J401" s="766"/>
      <c r="K401" s="683"/>
      <c r="L401" s="683"/>
      <c r="M401" s="683"/>
      <c r="N401" s="683"/>
      <c r="O401" s="683"/>
      <c r="P401" s="683"/>
      <c r="Q401" s="683"/>
      <c r="R401" s="683"/>
      <c r="S401" s="683"/>
      <c r="T401" s="501"/>
      <c r="U401" s="501"/>
      <c r="V401" s="501"/>
      <c r="W401" s="501"/>
      <c r="X401" s="501"/>
      <c r="Y401" s="501"/>
      <c r="Z401" s="501"/>
      <c r="AA401" s="501"/>
      <c r="AB401" s="501"/>
      <c r="AC401" s="501"/>
      <c r="AD401" s="501"/>
      <c r="AE401" s="501"/>
      <c r="AF401" s="501"/>
      <c r="AG401" s="501"/>
      <c r="AH401" s="501"/>
      <c r="AI401" s="501"/>
      <c r="AJ401" s="501"/>
      <c r="AK401" s="501"/>
      <c r="AL401" s="501"/>
      <c r="AM401" s="501"/>
      <c r="AN401" s="501"/>
      <c r="AO401" s="501"/>
      <c r="AP401" s="501"/>
      <c r="AQ401" s="501"/>
      <c r="AR401" s="501"/>
      <c r="AS401" s="501"/>
      <c r="AT401" s="501"/>
      <c r="AU401" s="501"/>
      <c r="AV401" s="501"/>
      <c r="AW401" s="501"/>
      <c r="AX401" s="501"/>
      <c r="AY401" s="501"/>
      <c r="AZ401" s="501"/>
      <c r="BA401" s="501"/>
      <c r="BB401" s="501"/>
      <c r="BC401" s="501"/>
      <c r="BD401" s="501"/>
      <c r="BE401" s="501"/>
      <c r="BF401" s="501"/>
      <c r="BG401" s="501"/>
      <c r="BH401" s="501"/>
      <c r="BI401" s="501"/>
      <c r="BJ401" s="501"/>
      <c r="BK401" s="501"/>
      <c r="BL401" s="501"/>
      <c r="BM401" s="501"/>
      <c r="BN401" s="501"/>
      <c r="BO401" s="501"/>
      <c r="BP401" s="501"/>
      <c r="BQ401" s="501"/>
      <c r="BR401" s="501"/>
      <c r="BS401" s="501"/>
      <c r="BT401" s="501"/>
      <c r="BU401" s="501"/>
      <c r="BV401" s="501"/>
      <c r="BW401" s="501"/>
      <c r="BX401" s="501"/>
      <c r="BY401" s="501"/>
      <c r="BZ401" s="501"/>
      <c r="CA401" s="501"/>
      <c r="CB401" s="501"/>
      <c r="CC401" s="501"/>
      <c r="CD401" s="501"/>
      <c r="CE401" s="501"/>
      <c r="CF401" s="501"/>
      <c r="CG401" s="501"/>
      <c r="CH401" s="501"/>
      <c r="CI401" s="501"/>
      <c r="CJ401" s="501"/>
      <c r="CK401" s="501"/>
      <c r="CL401" s="501"/>
      <c r="CM401" s="501"/>
      <c r="CN401" s="501"/>
      <c r="CO401" s="501"/>
      <c r="CP401" s="501"/>
      <c r="CQ401" s="501"/>
      <c r="CR401" s="501"/>
      <c r="CS401" s="501"/>
      <c r="CT401" s="501"/>
    </row>
    <row r="402">
      <c r="A402" s="569"/>
      <c r="B402" s="569"/>
      <c r="C402" s="569"/>
      <c r="D402" s="498"/>
      <c r="E402" s="499"/>
      <c r="F402" s="499"/>
      <c r="G402" s="766"/>
      <c r="H402" s="766"/>
      <c r="I402" s="766"/>
      <c r="J402" s="766"/>
      <c r="K402" s="683"/>
      <c r="L402" s="683"/>
      <c r="M402" s="683"/>
      <c r="N402" s="683"/>
      <c r="O402" s="683"/>
      <c r="P402" s="683"/>
      <c r="Q402" s="683"/>
      <c r="R402" s="683"/>
      <c r="S402" s="683"/>
      <c r="T402" s="501"/>
      <c r="U402" s="501"/>
      <c r="V402" s="501"/>
      <c r="W402" s="501"/>
      <c r="X402" s="501"/>
      <c r="Y402" s="501"/>
      <c r="Z402" s="501"/>
      <c r="AA402" s="501"/>
      <c r="AB402" s="501"/>
      <c r="AC402" s="501"/>
      <c r="AD402" s="501"/>
      <c r="AE402" s="501"/>
      <c r="AF402" s="501"/>
      <c r="AG402" s="501"/>
      <c r="AH402" s="501"/>
      <c r="AI402" s="501"/>
      <c r="AJ402" s="501"/>
      <c r="AK402" s="501"/>
      <c r="AL402" s="501"/>
      <c r="AM402" s="501"/>
      <c r="AN402" s="501"/>
      <c r="AO402" s="501"/>
      <c r="AP402" s="501"/>
      <c r="AQ402" s="501"/>
      <c r="AR402" s="501"/>
      <c r="AS402" s="501"/>
      <c r="AT402" s="501"/>
      <c r="AU402" s="501"/>
      <c r="AV402" s="501"/>
      <c r="AW402" s="501"/>
      <c r="AX402" s="501"/>
      <c r="AY402" s="501"/>
      <c r="AZ402" s="501"/>
      <c r="BA402" s="501"/>
      <c r="BB402" s="501"/>
      <c r="BC402" s="501"/>
      <c r="BD402" s="501"/>
      <c r="BE402" s="501"/>
      <c r="BF402" s="501"/>
      <c r="BG402" s="501"/>
      <c r="BH402" s="501"/>
      <c r="BI402" s="501"/>
      <c r="BJ402" s="501"/>
      <c r="BK402" s="501"/>
      <c r="BL402" s="501"/>
      <c r="BM402" s="501"/>
      <c r="BN402" s="501"/>
      <c r="BO402" s="501"/>
      <c r="BP402" s="501"/>
      <c r="BQ402" s="501"/>
      <c r="BR402" s="501"/>
      <c r="BS402" s="501"/>
      <c r="BT402" s="501"/>
      <c r="BU402" s="501"/>
      <c r="BV402" s="501"/>
      <c r="BW402" s="501"/>
      <c r="BX402" s="501"/>
      <c r="BY402" s="501"/>
      <c r="BZ402" s="501"/>
      <c r="CA402" s="501"/>
      <c r="CB402" s="501"/>
      <c r="CC402" s="501"/>
      <c r="CD402" s="501"/>
      <c r="CE402" s="501"/>
      <c r="CF402" s="501"/>
      <c r="CG402" s="501"/>
      <c r="CH402" s="501"/>
      <c r="CI402" s="501"/>
      <c r="CJ402" s="501"/>
      <c r="CK402" s="501"/>
      <c r="CL402" s="501"/>
      <c r="CM402" s="501"/>
      <c r="CN402" s="501"/>
      <c r="CO402" s="501"/>
      <c r="CP402" s="501"/>
      <c r="CQ402" s="501"/>
      <c r="CR402" s="501"/>
      <c r="CS402" s="501"/>
      <c r="CT402" s="501"/>
    </row>
    <row r="403">
      <c r="A403" s="569"/>
      <c r="B403" s="569"/>
      <c r="C403" s="569"/>
      <c r="D403" s="498"/>
      <c r="E403" s="499"/>
      <c r="F403" s="499"/>
      <c r="G403" s="766"/>
      <c r="H403" s="766"/>
      <c r="I403" s="766"/>
      <c r="J403" s="766"/>
      <c r="K403" s="683"/>
      <c r="L403" s="683"/>
      <c r="M403" s="683"/>
      <c r="N403" s="683"/>
      <c r="O403" s="683"/>
      <c r="P403" s="683"/>
      <c r="Q403" s="683"/>
      <c r="R403" s="683"/>
      <c r="S403" s="683"/>
      <c r="T403" s="501"/>
      <c r="U403" s="501"/>
      <c r="V403" s="501"/>
      <c r="W403" s="501"/>
      <c r="X403" s="501"/>
      <c r="Y403" s="501"/>
      <c r="Z403" s="501"/>
      <c r="AA403" s="501"/>
      <c r="AB403" s="501"/>
      <c r="AC403" s="501"/>
      <c r="AD403" s="501"/>
      <c r="AE403" s="501"/>
      <c r="AF403" s="501"/>
      <c r="AG403" s="501"/>
      <c r="AH403" s="501"/>
      <c r="AI403" s="501"/>
      <c r="AJ403" s="501"/>
      <c r="AK403" s="501"/>
      <c r="AL403" s="501"/>
      <c r="AM403" s="501"/>
      <c r="AN403" s="501"/>
      <c r="AO403" s="501"/>
      <c r="AP403" s="501"/>
      <c r="AQ403" s="501"/>
      <c r="AR403" s="501"/>
      <c r="AS403" s="501"/>
      <c r="AT403" s="501"/>
      <c r="AU403" s="501"/>
      <c r="AV403" s="501"/>
      <c r="AW403" s="501"/>
      <c r="AX403" s="501"/>
      <c r="AY403" s="501"/>
      <c r="AZ403" s="501"/>
      <c r="BA403" s="501"/>
      <c r="BB403" s="501"/>
      <c r="BC403" s="501"/>
      <c r="BD403" s="501"/>
      <c r="BE403" s="501"/>
      <c r="BF403" s="501"/>
      <c r="BG403" s="501"/>
      <c r="BH403" s="501"/>
      <c r="BI403" s="501"/>
      <c r="BJ403" s="501"/>
      <c r="BK403" s="501"/>
      <c r="BL403" s="501"/>
      <c r="BM403" s="501"/>
      <c r="BN403" s="501"/>
      <c r="BO403" s="501"/>
      <c r="BP403" s="501"/>
      <c r="BQ403" s="501"/>
      <c r="BR403" s="501"/>
      <c r="BS403" s="501"/>
      <c r="BT403" s="501"/>
      <c r="BU403" s="501"/>
      <c r="BV403" s="501"/>
      <c r="BW403" s="501"/>
      <c r="BX403" s="501"/>
      <c r="BY403" s="501"/>
      <c r="BZ403" s="501"/>
      <c r="CA403" s="501"/>
      <c r="CB403" s="501"/>
      <c r="CC403" s="501"/>
      <c r="CD403" s="501"/>
      <c r="CE403" s="501"/>
      <c r="CF403" s="501"/>
      <c r="CG403" s="501"/>
      <c r="CH403" s="501"/>
      <c r="CI403" s="501"/>
      <c r="CJ403" s="501"/>
      <c r="CK403" s="501"/>
      <c r="CL403" s="501"/>
      <c r="CM403" s="501"/>
      <c r="CN403" s="501"/>
      <c r="CO403" s="501"/>
      <c r="CP403" s="501"/>
      <c r="CQ403" s="501"/>
      <c r="CR403" s="501"/>
      <c r="CS403" s="501"/>
      <c r="CT403" s="501"/>
    </row>
    <row r="404">
      <c r="A404" s="569"/>
      <c r="B404" s="569"/>
      <c r="C404" s="569"/>
      <c r="D404" s="498"/>
      <c r="E404" s="499"/>
      <c r="F404" s="499"/>
      <c r="G404" s="766"/>
      <c r="H404" s="766"/>
      <c r="I404" s="766"/>
      <c r="J404" s="766"/>
      <c r="K404" s="683"/>
      <c r="L404" s="683"/>
      <c r="M404" s="683"/>
      <c r="N404" s="683"/>
      <c r="O404" s="683"/>
      <c r="P404" s="683"/>
      <c r="Q404" s="683"/>
      <c r="R404" s="683"/>
      <c r="S404" s="683"/>
      <c r="T404" s="501"/>
      <c r="U404" s="501"/>
      <c r="V404" s="501"/>
      <c r="W404" s="501"/>
      <c r="X404" s="501"/>
      <c r="Y404" s="501"/>
      <c r="Z404" s="501"/>
      <c r="AA404" s="501"/>
      <c r="AB404" s="501"/>
      <c r="AC404" s="501"/>
      <c r="AD404" s="501"/>
      <c r="AE404" s="501"/>
      <c r="AF404" s="501"/>
      <c r="AG404" s="501"/>
      <c r="AH404" s="501"/>
      <c r="AI404" s="501"/>
      <c r="AJ404" s="501"/>
      <c r="AK404" s="501"/>
      <c r="AL404" s="501"/>
      <c r="AM404" s="501"/>
      <c r="AN404" s="501"/>
      <c r="AO404" s="501"/>
      <c r="AP404" s="501"/>
      <c r="AQ404" s="501"/>
      <c r="AR404" s="501"/>
      <c r="AS404" s="501"/>
      <c r="AT404" s="501"/>
      <c r="AU404" s="501"/>
      <c r="AV404" s="501"/>
      <c r="AW404" s="501"/>
      <c r="AX404" s="501"/>
      <c r="AY404" s="501"/>
      <c r="AZ404" s="501"/>
      <c r="BA404" s="501"/>
      <c r="BB404" s="501"/>
      <c r="BC404" s="501"/>
      <c r="BD404" s="501"/>
      <c r="BE404" s="501"/>
      <c r="BF404" s="501"/>
      <c r="BG404" s="501"/>
      <c r="BH404" s="501"/>
      <c r="BI404" s="501"/>
      <c r="BJ404" s="501"/>
      <c r="BK404" s="501"/>
      <c r="BL404" s="501"/>
      <c r="BM404" s="501"/>
      <c r="BN404" s="501"/>
      <c r="BO404" s="501"/>
      <c r="BP404" s="501"/>
      <c r="BQ404" s="501"/>
      <c r="BR404" s="501"/>
      <c r="BS404" s="501"/>
      <c r="BT404" s="501"/>
      <c r="BU404" s="501"/>
      <c r="BV404" s="501"/>
      <c r="BW404" s="501"/>
      <c r="BX404" s="501"/>
      <c r="BY404" s="501"/>
      <c r="BZ404" s="501"/>
      <c r="CA404" s="501"/>
      <c r="CB404" s="501"/>
      <c r="CC404" s="501"/>
      <c r="CD404" s="501"/>
      <c r="CE404" s="501"/>
      <c r="CF404" s="501"/>
      <c r="CG404" s="501"/>
      <c r="CH404" s="501"/>
      <c r="CI404" s="501"/>
      <c r="CJ404" s="501"/>
      <c r="CK404" s="501"/>
      <c r="CL404" s="501"/>
      <c r="CM404" s="501"/>
      <c r="CN404" s="501"/>
      <c r="CO404" s="501"/>
      <c r="CP404" s="501"/>
      <c r="CQ404" s="501"/>
      <c r="CR404" s="501"/>
      <c r="CS404" s="501"/>
      <c r="CT404" s="501"/>
    </row>
    <row r="405">
      <c r="A405" s="569"/>
      <c r="B405" s="569"/>
      <c r="C405" s="569"/>
      <c r="D405" s="498"/>
      <c r="E405" s="499"/>
      <c r="F405" s="499"/>
      <c r="G405" s="766"/>
      <c r="H405" s="766"/>
      <c r="I405" s="766"/>
      <c r="J405" s="766"/>
      <c r="K405" s="683"/>
      <c r="L405" s="683"/>
      <c r="M405" s="683"/>
      <c r="N405" s="683"/>
      <c r="O405" s="683"/>
      <c r="P405" s="683"/>
      <c r="Q405" s="683"/>
      <c r="R405" s="683"/>
      <c r="S405" s="683"/>
      <c r="T405" s="501"/>
      <c r="U405" s="501"/>
      <c r="V405" s="501"/>
      <c r="W405" s="501"/>
      <c r="X405" s="501"/>
      <c r="Y405" s="501"/>
      <c r="Z405" s="501"/>
      <c r="AA405" s="501"/>
      <c r="AB405" s="501"/>
      <c r="AC405" s="501"/>
      <c r="AD405" s="501"/>
      <c r="AE405" s="501"/>
      <c r="AF405" s="501"/>
      <c r="AG405" s="501"/>
      <c r="AH405" s="501"/>
      <c r="AI405" s="501"/>
      <c r="AJ405" s="501"/>
      <c r="AK405" s="501"/>
      <c r="AL405" s="501"/>
      <c r="AM405" s="501"/>
      <c r="AN405" s="501"/>
      <c r="AO405" s="501"/>
      <c r="AP405" s="501"/>
      <c r="AQ405" s="501"/>
      <c r="AR405" s="501"/>
      <c r="AS405" s="501"/>
      <c r="AT405" s="501"/>
      <c r="AU405" s="501"/>
      <c r="AV405" s="501"/>
      <c r="AW405" s="501"/>
      <c r="AX405" s="501"/>
      <c r="AY405" s="501"/>
      <c r="AZ405" s="501"/>
      <c r="BA405" s="501"/>
      <c r="BB405" s="501"/>
      <c r="BC405" s="501"/>
      <c r="BD405" s="501"/>
      <c r="BE405" s="501"/>
      <c r="BF405" s="501"/>
      <c r="BG405" s="501"/>
      <c r="BH405" s="501"/>
      <c r="BI405" s="501"/>
      <c r="BJ405" s="501"/>
      <c r="BK405" s="501"/>
      <c r="BL405" s="501"/>
      <c r="BM405" s="501"/>
      <c r="BN405" s="501"/>
      <c r="BO405" s="501"/>
      <c r="BP405" s="501"/>
      <c r="BQ405" s="501"/>
      <c r="BR405" s="501"/>
      <c r="BS405" s="501"/>
      <c r="BT405" s="501"/>
      <c r="BU405" s="501"/>
      <c r="BV405" s="501"/>
      <c r="BW405" s="501"/>
      <c r="BX405" s="501"/>
      <c r="BY405" s="501"/>
      <c r="BZ405" s="501"/>
      <c r="CA405" s="501"/>
      <c r="CB405" s="501"/>
      <c r="CC405" s="501"/>
      <c r="CD405" s="501"/>
      <c r="CE405" s="501"/>
      <c r="CF405" s="501"/>
      <c r="CG405" s="501"/>
      <c r="CH405" s="501"/>
      <c r="CI405" s="501"/>
      <c r="CJ405" s="501"/>
      <c r="CK405" s="501"/>
      <c r="CL405" s="501"/>
      <c r="CM405" s="501"/>
      <c r="CN405" s="501"/>
      <c r="CO405" s="501"/>
      <c r="CP405" s="501"/>
      <c r="CQ405" s="501"/>
      <c r="CR405" s="501"/>
      <c r="CS405" s="501"/>
      <c r="CT405" s="501"/>
    </row>
    <row r="406">
      <c r="A406" s="569"/>
      <c r="B406" s="569"/>
      <c r="C406" s="569"/>
      <c r="D406" s="498"/>
      <c r="E406" s="499"/>
      <c r="F406" s="499"/>
      <c r="G406" s="766"/>
      <c r="H406" s="766"/>
      <c r="I406" s="766"/>
      <c r="J406" s="766"/>
      <c r="K406" s="683"/>
      <c r="L406" s="683"/>
      <c r="M406" s="683"/>
      <c r="N406" s="683"/>
      <c r="O406" s="683"/>
      <c r="P406" s="683"/>
      <c r="Q406" s="683"/>
      <c r="R406" s="683"/>
      <c r="S406" s="683"/>
      <c r="T406" s="501"/>
      <c r="U406" s="501"/>
      <c r="V406" s="501"/>
      <c r="W406" s="501"/>
      <c r="X406" s="501"/>
      <c r="Y406" s="501"/>
      <c r="Z406" s="501"/>
      <c r="AA406" s="501"/>
      <c r="AB406" s="501"/>
      <c r="AC406" s="501"/>
      <c r="AD406" s="501"/>
      <c r="AE406" s="501"/>
      <c r="AF406" s="501"/>
      <c r="AG406" s="501"/>
      <c r="AH406" s="501"/>
      <c r="AI406" s="501"/>
      <c r="AJ406" s="501"/>
      <c r="AK406" s="501"/>
      <c r="AL406" s="501"/>
      <c r="AM406" s="501"/>
      <c r="AN406" s="501"/>
      <c r="AO406" s="501"/>
      <c r="AP406" s="501"/>
      <c r="AQ406" s="501"/>
      <c r="AR406" s="501"/>
      <c r="AS406" s="501"/>
      <c r="AT406" s="501"/>
      <c r="AU406" s="501"/>
      <c r="AV406" s="501"/>
      <c r="AW406" s="501"/>
      <c r="AX406" s="501"/>
      <c r="AY406" s="501"/>
      <c r="AZ406" s="501"/>
      <c r="BA406" s="501"/>
      <c r="BB406" s="501"/>
      <c r="BC406" s="501"/>
      <c r="BD406" s="501"/>
      <c r="BE406" s="501"/>
      <c r="BF406" s="501"/>
      <c r="BG406" s="501"/>
      <c r="BH406" s="501"/>
      <c r="BI406" s="501"/>
      <c r="BJ406" s="501"/>
      <c r="BK406" s="501"/>
      <c r="BL406" s="501"/>
      <c r="BM406" s="501"/>
      <c r="BN406" s="501"/>
      <c r="BO406" s="501"/>
      <c r="BP406" s="501"/>
      <c r="BQ406" s="501"/>
      <c r="BR406" s="501"/>
      <c r="BS406" s="501"/>
      <c r="BT406" s="501"/>
      <c r="BU406" s="501"/>
      <c r="BV406" s="501"/>
      <c r="BW406" s="501"/>
      <c r="BX406" s="501"/>
      <c r="BY406" s="501"/>
      <c r="BZ406" s="501"/>
      <c r="CA406" s="501"/>
      <c r="CB406" s="501"/>
      <c r="CC406" s="501"/>
      <c r="CD406" s="501"/>
      <c r="CE406" s="501"/>
      <c r="CF406" s="501"/>
      <c r="CG406" s="501"/>
      <c r="CH406" s="501"/>
      <c r="CI406" s="501"/>
      <c r="CJ406" s="501"/>
      <c r="CK406" s="501"/>
      <c r="CL406" s="501"/>
      <c r="CM406" s="501"/>
      <c r="CN406" s="501"/>
      <c r="CO406" s="501"/>
      <c r="CP406" s="501"/>
      <c r="CQ406" s="501"/>
      <c r="CR406" s="501"/>
      <c r="CS406" s="501"/>
      <c r="CT406" s="501"/>
    </row>
    <row r="407">
      <c r="A407" s="569"/>
      <c r="B407" s="569"/>
      <c r="C407" s="569"/>
      <c r="D407" s="498"/>
      <c r="E407" s="499"/>
      <c r="F407" s="499"/>
      <c r="G407" s="766"/>
      <c r="H407" s="766"/>
      <c r="I407" s="766"/>
      <c r="J407" s="766"/>
      <c r="K407" s="683"/>
      <c r="L407" s="683"/>
      <c r="M407" s="683"/>
      <c r="N407" s="683"/>
      <c r="O407" s="683"/>
      <c r="P407" s="683"/>
      <c r="Q407" s="683"/>
      <c r="R407" s="683"/>
      <c r="S407" s="683"/>
      <c r="T407" s="501"/>
      <c r="U407" s="501"/>
      <c r="V407" s="501"/>
      <c r="W407" s="501"/>
      <c r="X407" s="501"/>
      <c r="Y407" s="501"/>
      <c r="Z407" s="501"/>
      <c r="AA407" s="501"/>
      <c r="AB407" s="501"/>
      <c r="AC407" s="501"/>
      <c r="AD407" s="501"/>
      <c r="AE407" s="501"/>
      <c r="AF407" s="501"/>
      <c r="AG407" s="501"/>
      <c r="AH407" s="501"/>
      <c r="AI407" s="501"/>
      <c r="AJ407" s="501"/>
      <c r="AK407" s="501"/>
      <c r="AL407" s="501"/>
      <c r="AM407" s="501"/>
      <c r="AN407" s="501"/>
      <c r="AO407" s="501"/>
      <c r="AP407" s="501"/>
      <c r="AQ407" s="501"/>
      <c r="AR407" s="501"/>
      <c r="AS407" s="501"/>
      <c r="AT407" s="501"/>
      <c r="AU407" s="501"/>
      <c r="AV407" s="501"/>
      <c r="AW407" s="501"/>
      <c r="AX407" s="501"/>
      <c r="AY407" s="501"/>
      <c r="AZ407" s="501"/>
      <c r="BA407" s="501"/>
      <c r="BB407" s="501"/>
      <c r="BC407" s="501"/>
      <c r="BD407" s="501"/>
      <c r="BE407" s="501"/>
      <c r="BF407" s="501"/>
      <c r="BG407" s="501"/>
      <c r="BH407" s="501"/>
      <c r="BI407" s="501"/>
      <c r="BJ407" s="501"/>
      <c r="BK407" s="501"/>
      <c r="BL407" s="501"/>
      <c r="BM407" s="501"/>
      <c r="BN407" s="501"/>
      <c r="BO407" s="501"/>
      <c r="BP407" s="501"/>
      <c r="BQ407" s="501"/>
      <c r="BR407" s="501"/>
      <c r="BS407" s="501"/>
      <c r="BT407" s="501"/>
      <c r="BU407" s="501"/>
      <c r="BV407" s="501"/>
      <c r="BW407" s="501"/>
      <c r="BX407" s="501"/>
      <c r="BY407" s="501"/>
      <c r="BZ407" s="501"/>
      <c r="CA407" s="501"/>
      <c r="CB407" s="501"/>
      <c r="CC407" s="501"/>
      <c r="CD407" s="501"/>
      <c r="CE407" s="501"/>
      <c r="CF407" s="501"/>
      <c r="CG407" s="501"/>
      <c r="CH407" s="501"/>
      <c r="CI407" s="501"/>
      <c r="CJ407" s="501"/>
      <c r="CK407" s="501"/>
      <c r="CL407" s="501"/>
      <c r="CM407" s="501"/>
      <c r="CN407" s="501"/>
      <c r="CO407" s="501"/>
      <c r="CP407" s="501"/>
      <c r="CQ407" s="501"/>
      <c r="CR407" s="501"/>
      <c r="CS407" s="501"/>
      <c r="CT407" s="501"/>
    </row>
    <row r="408">
      <c r="A408" s="569"/>
      <c r="B408" s="569"/>
      <c r="C408" s="569"/>
      <c r="D408" s="498"/>
      <c r="E408" s="499"/>
      <c r="F408" s="499"/>
      <c r="G408" s="766"/>
      <c r="H408" s="766"/>
      <c r="I408" s="766"/>
      <c r="J408" s="766"/>
      <c r="K408" s="683"/>
      <c r="L408" s="683"/>
      <c r="M408" s="683"/>
      <c r="N408" s="683"/>
      <c r="O408" s="683"/>
      <c r="P408" s="683"/>
      <c r="Q408" s="683"/>
      <c r="R408" s="683"/>
      <c r="S408" s="683"/>
      <c r="T408" s="501"/>
      <c r="U408" s="501"/>
      <c r="V408" s="501"/>
      <c r="W408" s="501"/>
      <c r="X408" s="501"/>
      <c r="Y408" s="501"/>
      <c r="Z408" s="501"/>
      <c r="AA408" s="501"/>
      <c r="AB408" s="501"/>
      <c r="AC408" s="501"/>
      <c r="AD408" s="501"/>
      <c r="AE408" s="501"/>
      <c r="AF408" s="501"/>
      <c r="AG408" s="501"/>
      <c r="AH408" s="501"/>
      <c r="AI408" s="501"/>
      <c r="AJ408" s="501"/>
      <c r="AK408" s="501"/>
      <c r="AL408" s="501"/>
      <c r="AM408" s="501"/>
      <c r="AN408" s="501"/>
      <c r="AO408" s="501"/>
      <c r="AP408" s="501"/>
      <c r="AQ408" s="501"/>
      <c r="AR408" s="501"/>
      <c r="AS408" s="501"/>
      <c r="AT408" s="501"/>
      <c r="AU408" s="501"/>
      <c r="AV408" s="501"/>
      <c r="AW408" s="501"/>
      <c r="AX408" s="501"/>
      <c r="AY408" s="501"/>
      <c r="AZ408" s="501"/>
      <c r="BA408" s="501"/>
      <c r="BB408" s="501"/>
      <c r="BC408" s="501"/>
      <c r="BD408" s="501"/>
      <c r="BE408" s="501"/>
      <c r="BF408" s="501"/>
      <c r="BG408" s="501"/>
      <c r="BH408" s="501"/>
      <c r="BI408" s="501"/>
      <c r="BJ408" s="501"/>
      <c r="BK408" s="501"/>
      <c r="BL408" s="501"/>
      <c r="BM408" s="501"/>
      <c r="BN408" s="501"/>
      <c r="BO408" s="501"/>
      <c r="BP408" s="501"/>
      <c r="BQ408" s="501"/>
      <c r="BR408" s="501"/>
      <c r="BS408" s="501"/>
      <c r="BT408" s="501"/>
      <c r="BU408" s="501"/>
      <c r="BV408" s="501"/>
      <c r="BW408" s="501"/>
      <c r="BX408" s="501"/>
      <c r="BY408" s="501"/>
      <c r="BZ408" s="501"/>
      <c r="CA408" s="501"/>
      <c r="CB408" s="501"/>
      <c r="CC408" s="501"/>
      <c r="CD408" s="501"/>
      <c r="CE408" s="501"/>
      <c r="CF408" s="501"/>
      <c r="CG408" s="501"/>
      <c r="CH408" s="501"/>
      <c r="CI408" s="501"/>
      <c r="CJ408" s="501"/>
      <c r="CK408" s="501"/>
      <c r="CL408" s="501"/>
      <c r="CM408" s="501"/>
      <c r="CN408" s="501"/>
      <c r="CO408" s="501"/>
      <c r="CP408" s="501"/>
      <c r="CQ408" s="501"/>
      <c r="CR408" s="501"/>
      <c r="CS408" s="501"/>
      <c r="CT408" s="501"/>
    </row>
    <row r="409">
      <c r="A409" s="569"/>
      <c r="B409" s="569"/>
      <c r="C409" s="569"/>
      <c r="D409" s="498"/>
      <c r="E409" s="499"/>
      <c r="F409" s="499"/>
      <c r="G409" s="766"/>
      <c r="H409" s="766"/>
      <c r="I409" s="766"/>
      <c r="J409" s="766"/>
      <c r="K409" s="683"/>
      <c r="L409" s="683"/>
      <c r="M409" s="683"/>
      <c r="N409" s="683"/>
      <c r="O409" s="683"/>
      <c r="P409" s="683"/>
      <c r="Q409" s="683"/>
      <c r="R409" s="683"/>
      <c r="S409" s="683"/>
      <c r="T409" s="501"/>
      <c r="U409" s="501"/>
      <c r="V409" s="501"/>
      <c r="W409" s="501"/>
      <c r="X409" s="501"/>
      <c r="Y409" s="501"/>
      <c r="Z409" s="501"/>
      <c r="AA409" s="501"/>
      <c r="AB409" s="501"/>
      <c r="AC409" s="501"/>
      <c r="AD409" s="501"/>
      <c r="AE409" s="501"/>
      <c r="AF409" s="501"/>
      <c r="AG409" s="501"/>
      <c r="AH409" s="501"/>
      <c r="AI409" s="501"/>
      <c r="AJ409" s="501"/>
      <c r="AK409" s="501"/>
      <c r="AL409" s="501"/>
      <c r="AM409" s="501"/>
      <c r="AN409" s="501"/>
      <c r="AO409" s="501"/>
      <c r="AP409" s="501"/>
      <c r="AQ409" s="501"/>
      <c r="AR409" s="501"/>
      <c r="AS409" s="501"/>
      <c r="AT409" s="501"/>
      <c r="AU409" s="501"/>
      <c r="AV409" s="501"/>
      <c r="AW409" s="501"/>
      <c r="AX409" s="501"/>
      <c r="AY409" s="501"/>
      <c r="AZ409" s="501"/>
      <c r="BA409" s="501"/>
      <c r="BB409" s="501"/>
      <c r="BC409" s="501"/>
      <c r="BD409" s="501"/>
      <c r="BE409" s="501"/>
      <c r="BF409" s="501"/>
      <c r="BG409" s="501"/>
      <c r="BH409" s="501"/>
      <c r="BI409" s="501"/>
      <c r="BJ409" s="501"/>
      <c r="BK409" s="501"/>
      <c r="BL409" s="501"/>
      <c r="BM409" s="501"/>
      <c r="BN409" s="501"/>
      <c r="BO409" s="501"/>
      <c r="BP409" s="501"/>
      <c r="BQ409" s="501"/>
      <c r="BR409" s="501"/>
      <c r="BS409" s="501"/>
      <c r="BT409" s="501"/>
      <c r="BU409" s="501"/>
      <c r="BV409" s="501"/>
      <c r="BW409" s="501"/>
      <c r="BX409" s="501"/>
      <c r="BY409" s="501"/>
      <c r="BZ409" s="501"/>
      <c r="CA409" s="501"/>
      <c r="CB409" s="501"/>
      <c r="CC409" s="501"/>
      <c r="CD409" s="501"/>
      <c r="CE409" s="501"/>
      <c r="CF409" s="501"/>
      <c r="CG409" s="501"/>
      <c r="CH409" s="501"/>
      <c r="CI409" s="501"/>
      <c r="CJ409" s="501"/>
      <c r="CK409" s="501"/>
      <c r="CL409" s="501"/>
      <c r="CM409" s="501"/>
      <c r="CN409" s="501"/>
      <c r="CO409" s="501"/>
      <c r="CP409" s="501"/>
      <c r="CQ409" s="501"/>
      <c r="CR409" s="501"/>
      <c r="CS409" s="501"/>
      <c r="CT409" s="501"/>
    </row>
    <row r="410">
      <c r="A410" s="569"/>
      <c r="B410" s="569"/>
      <c r="C410" s="569"/>
      <c r="D410" s="498"/>
      <c r="E410" s="499"/>
      <c r="F410" s="499"/>
      <c r="G410" s="766"/>
      <c r="H410" s="766"/>
      <c r="I410" s="766"/>
      <c r="J410" s="766"/>
      <c r="K410" s="683"/>
      <c r="L410" s="683"/>
      <c r="M410" s="683"/>
      <c r="N410" s="683"/>
      <c r="O410" s="683"/>
      <c r="P410" s="683"/>
      <c r="Q410" s="683"/>
      <c r="R410" s="683"/>
      <c r="S410" s="683"/>
      <c r="T410" s="501"/>
      <c r="U410" s="501"/>
      <c r="V410" s="501"/>
      <c r="W410" s="501"/>
      <c r="X410" s="501"/>
      <c r="Y410" s="501"/>
      <c r="Z410" s="501"/>
      <c r="AA410" s="501"/>
      <c r="AB410" s="501"/>
      <c r="AC410" s="501"/>
      <c r="AD410" s="501"/>
      <c r="AE410" s="501"/>
      <c r="AF410" s="501"/>
      <c r="AG410" s="501"/>
      <c r="AH410" s="501"/>
      <c r="AI410" s="501"/>
      <c r="AJ410" s="501"/>
      <c r="AK410" s="501"/>
      <c r="AL410" s="501"/>
      <c r="AM410" s="501"/>
      <c r="AN410" s="501"/>
      <c r="AO410" s="501"/>
      <c r="AP410" s="501"/>
      <c r="AQ410" s="501"/>
      <c r="AR410" s="501"/>
      <c r="AS410" s="501"/>
      <c r="AT410" s="501"/>
      <c r="AU410" s="501"/>
      <c r="AV410" s="501"/>
      <c r="AW410" s="501"/>
      <c r="AX410" s="501"/>
      <c r="AY410" s="501"/>
      <c r="AZ410" s="501"/>
      <c r="BA410" s="501"/>
      <c r="BB410" s="501"/>
      <c r="BC410" s="501"/>
      <c r="BD410" s="501"/>
      <c r="BE410" s="501"/>
      <c r="BF410" s="501"/>
      <c r="BG410" s="501"/>
      <c r="BH410" s="501"/>
      <c r="BI410" s="501"/>
      <c r="BJ410" s="501"/>
      <c r="BK410" s="501"/>
      <c r="BL410" s="501"/>
      <c r="BM410" s="501"/>
      <c r="BN410" s="501"/>
      <c r="BO410" s="501"/>
      <c r="BP410" s="501"/>
      <c r="BQ410" s="501"/>
      <c r="BR410" s="501"/>
      <c r="BS410" s="501"/>
      <c r="BT410" s="501"/>
      <c r="BU410" s="501"/>
      <c r="BV410" s="501"/>
      <c r="BW410" s="501"/>
      <c r="BX410" s="501"/>
      <c r="BY410" s="501"/>
      <c r="BZ410" s="501"/>
      <c r="CA410" s="501"/>
      <c r="CB410" s="501"/>
      <c r="CC410" s="501"/>
      <c r="CD410" s="501"/>
      <c r="CE410" s="501"/>
      <c r="CF410" s="501"/>
      <c r="CG410" s="501"/>
      <c r="CH410" s="501"/>
      <c r="CI410" s="501"/>
      <c r="CJ410" s="501"/>
      <c r="CK410" s="501"/>
      <c r="CL410" s="501"/>
      <c r="CM410" s="501"/>
      <c r="CN410" s="501"/>
      <c r="CO410" s="501"/>
      <c r="CP410" s="501"/>
      <c r="CQ410" s="501"/>
      <c r="CR410" s="501"/>
      <c r="CS410" s="501"/>
      <c r="CT410" s="501"/>
    </row>
    <row r="411">
      <c r="A411" s="569"/>
      <c r="B411" s="569"/>
      <c r="C411" s="569"/>
      <c r="D411" s="498"/>
      <c r="E411" s="499"/>
      <c r="F411" s="499"/>
      <c r="G411" s="766"/>
      <c r="H411" s="766"/>
      <c r="I411" s="766"/>
      <c r="J411" s="766"/>
      <c r="K411" s="683"/>
      <c r="L411" s="683"/>
      <c r="M411" s="683"/>
      <c r="N411" s="683"/>
      <c r="O411" s="683"/>
      <c r="P411" s="683"/>
      <c r="Q411" s="683"/>
      <c r="R411" s="683"/>
      <c r="S411" s="683"/>
      <c r="T411" s="501"/>
      <c r="U411" s="501"/>
      <c r="V411" s="501"/>
      <c r="W411" s="501"/>
      <c r="X411" s="501"/>
      <c r="Y411" s="501"/>
      <c r="Z411" s="501"/>
      <c r="AA411" s="501"/>
      <c r="AB411" s="501"/>
      <c r="AC411" s="501"/>
      <c r="AD411" s="501"/>
      <c r="AE411" s="501"/>
      <c r="AF411" s="501"/>
      <c r="AG411" s="501"/>
      <c r="AH411" s="501"/>
      <c r="AI411" s="501"/>
      <c r="AJ411" s="501"/>
      <c r="AK411" s="501"/>
      <c r="AL411" s="501"/>
      <c r="AM411" s="501"/>
      <c r="AN411" s="501"/>
      <c r="AO411" s="501"/>
      <c r="AP411" s="501"/>
      <c r="AQ411" s="501"/>
      <c r="AR411" s="501"/>
      <c r="AS411" s="501"/>
      <c r="AT411" s="501"/>
      <c r="AU411" s="501"/>
      <c r="AV411" s="501"/>
      <c r="AW411" s="501"/>
      <c r="AX411" s="501"/>
      <c r="AY411" s="501"/>
      <c r="AZ411" s="501"/>
      <c r="BA411" s="501"/>
      <c r="BB411" s="501"/>
      <c r="BC411" s="501"/>
      <c r="BD411" s="501"/>
      <c r="BE411" s="501"/>
      <c r="BF411" s="501"/>
      <c r="BG411" s="501"/>
      <c r="BH411" s="501"/>
      <c r="BI411" s="501"/>
      <c r="BJ411" s="501"/>
      <c r="BK411" s="501"/>
      <c r="BL411" s="501"/>
      <c r="BM411" s="501"/>
      <c r="BN411" s="501"/>
      <c r="BO411" s="501"/>
      <c r="BP411" s="501"/>
      <c r="BQ411" s="501"/>
      <c r="BR411" s="501"/>
      <c r="BS411" s="501"/>
      <c r="BT411" s="501"/>
      <c r="BU411" s="501"/>
      <c r="BV411" s="501"/>
      <c r="BW411" s="501"/>
      <c r="BX411" s="501"/>
      <c r="BY411" s="501"/>
      <c r="BZ411" s="501"/>
      <c r="CA411" s="501"/>
      <c r="CB411" s="501"/>
      <c r="CC411" s="501"/>
      <c r="CD411" s="501"/>
      <c r="CE411" s="501"/>
      <c r="CF411" s="501"/>
      <c r="CG411" s="501"/>
      <c r="CH411" s="501"/>
      <c r="CI411" s="501"/>
      <c r="CJ411" s="501"/>
      <c r="CK411" s="501"/>
      <c r="CL411" s="501"/>
      <c r="CM411" s="501"/>
      <c r="CN411" s="501"/>
      <c r="CO411" s="501"/>
      <c r="CP411" s="501"/>
      <c r="CQ411" s="501"/>
      <c r="CR411" s="501"/>
      <c r="CS411" s="501"/>
      <c r="CT411" s="501"/>
    </row>
    <row r="412">
      <c r="A412" s="569"/>
      <c r="B412" s="569"/>
      <c r="C412" s="569"/>
      <c r="D412" s="498"/>
      <c r="E412" s="499"/>
      <c r="F412" s="499"/>
      <c r="G412" s="766"/>
      <c r="H412" s="766"/>
      <c r="I412" s="766"/>
      <c r="J412" s="766"/>
      <c r="K412" s="683"/>
      <c r="L412" s="683"/>
      <c r="M412" s="683"/>
      <c r="N412" s="683"/>
      <c r="O412" s="683"/>
      <c r="P412" s="683"/>
      <c r="Q412" s="683"/>
      <c r="R412" s="683"/>
      <c r="S412" s="683"/>
      <c r="T412" s="501"/>
      <c r="U412" s="501"/>
      <c r="V412" s="501"/>
      <c r="W412" s="501"/>
      <c r="X412" s="501"/>
      <c r="Y412" s="501"/>
      <c r="Z412" s="501"/>
      <c r="AA412" s="501"/>
      <c r="AB412" s="501"/>
      <c r="AC412" s="501"/>
      <c r="AD412" s="501"/>
      <c r="AE412" s="501"/>
      <c r="AF412" s="501"/>
      <c r="AG412" s="501"/>
      <c r="AH412" s="501"/>
      <c r="AI412" s="501"/>
      <c r="AJ412" s="501"/>
      <c r="AK412" s="501"/>
      <c r="AL412" s="501"/>
      <c r="AM412" s="501"/>
      <c r="AN412" s="501"/>
      <c r="AO412" s="501"/>
      <c r="AP412" s="501"/>
      <c r="AQ412" s="501"/>
      <c r="AR412" s="501"/>
      <c r="AS412" s="501"/>
      <c r="AT412" s="501"/>
      <c r="AU412" s="501"/>
      <c r="AV412" s="501"/>
      <c r="AW412" s="501"/>
      <c r="AX412" s="501"/>
      <c r="AY412" s="501"/>
      <c r="AZ412" s="501"/>
      <c r="BA412" s="501"/>
      <c r="BB412" s="501"/>
      <c r="BC412" s="501"/>
      <c r="BD412" s="501"/>
      <c r="BE412" s="501"/>
      <c r="BF412" s="501"/>
      <c r="BG412" s="501"/>
      <c r="BH412" s="501"/>
      <c r="BI412" s="501"/>
      <c r="BJ412" s="501"/>
      <c r="BK412" s="501"/>
      <c r="BL412" s="501"/>
      <c r="BM412" s="501"/>
      <c r="BN412" s="501"/>
      <c r="BO412" s="501"/>
      <c r="BP412" s="501"/>
      <c r="BQ412" s="501"/>
      <c r="BR412" s="501"/>
      <c r="BS412" s="501"/>
      <c r="BT412" s="501"/>
      <c r="BU412" s="501"/>
      <c r="BV412" s="501"/>
      <c r="BW412" s="501"/>
      <c r="BX412" s="501"/>
      <c r="BY412" s="501"/>
      <c r="BZ412" s="501"/>
      <c r="CA412" s="501"/>
      <c r="CB412" s="501"/>
      <c r="CC412" s="501"/>
      <c r="CD412" s="501"/>
      <c r="CE412" s="501"/>
      <c r="CF412" s="501"/>
      <c r="CG412" s="501"/>
      <c r="CH412" s="501"/>
      <c r="CI412" s="501"/>
      <c r="CJ412" s="501"/>
      <c r="CK412" s="501"/>
      <c r="CL412" s="501"/>
      <c r="CM412" s="501"/>
      <c r="CN412" s="501"/>
      <c r="CO412" s="501"/>
      <c r="CP412" s="501"/>
      <c r="CQ412" s="501"/>
      <c r="CR412" s="501"/>
      <c r="CS412" s="501"/>
      <c r="CT412" s="501"/>
    </row>
    <row r="413">
      <c r="A413" s="569"/>
      <c r="B413" s="569"/>
      <c r="C413" s="569"/>
      <c r="D413" s="498"/>
      <c r="E413" s="499"/>
      <c r="F413" s="499"/>
      <c r="G413" s="766"/>
      <c r="H413" s="766"/>
      <c r="I413" s="766"/>
      <c r="J413" s="766"/>
      <c r="K413" s="683"/>
      <c r="L413" s="683"/>
      <c r="M413" s="683"/>
      <c r="N413" s="683"/>
      <c r="O413" s="683"/>
      <c r="P413" s="683"/>
      <c r="Q413" s="683"/>
      <c r="R413" s="683"/>
      <c r="S413" s="683"/>
      <c r="T413" s="501"/>
      <c r="U413" s="501"/>
      <c r="V413" s="501"/>
      <c r="W413" s="501"/>
      <c r="X413" s="501"/>
      <c r="Y413" s="501"/>
      <c r="Z413" s="501"/>
      <c r="AA413" s="501"/>
      <c r="AB413" s="501"/>
      <c r="AC413" s="501"/>
      <c r="AD413" s="501"/>
      <c r="AE413" s="501"/>
      <c r="AF413" s="501"/>
      <c r="AG413" s="501"/>
      <c r="AH413" s="501"/>
      <c r="AI413" s="501"/>
      <c r="AJ413" s="501"/>
      <c r="AK413" s="501"/>
      <c r="AL413" s="501"/>
      <c r="AM413" s="501"/>
      <c r="AN413" s="501"/>
      <c r="AO413" s="501"/>
      <c r="AP413" s="501"/>
      <c r="AQ413" s="501"/>
      <c r="AR413" s="501"/>
      <c r="AS413" s="501"/>
      <c r="AT413" s="501"/>
      <c r="AU413" s="501"/>
      <c r="AV413" s="501"/>
      <c r="AW413" s="501"/>
      <c r="AX413" s="501"/>
      <c r="AY413" s="501"/>
      <c r="AZ413" s="501"/>
      <c r="BA413" s="501"/>
      <c r="BB413" s="501"/>
      <c r="BC413" s="501"/>
      <c r="BD413" s="501"/>
      <c r="BE413" s="501"/>
      <c r="BF413" s="501"/>
      <c r="BG413" s="501"/>
      <c r="BH413" s="501"/>
      <c r="BI413" s="501"/>
      <c r="BJ413" s="501"/>
      <c r="BK413" s="501"/>
      <c r="BL413" s="501"/>
      <c r="BM413" s="501"/>
      <c r="BN413" s="501"/>
      <c r="BO413" s="501"/>
      <c r="BP413" s="501"/>
      <c r="BQ413" s="501"/>
      <c r="BR413" s="501"/>
      <c r="BS413" s="501"/>
      <c r="BT413" s="501"/>
      <c r="BU413" s="501"/>
      <c r="BV413" s="501"/>
      <c r="BW413" s="501"/>
      <c r="BX413" s="501"/>
      <c r="BY413" s="501"/>
      <c r="BZ413" s="501"/>
      <c r="CA413" s="501"/>
      <c r="CB413" s="501"/>
      <c r="CC413" s="501"/>
      <c r="CD413" s="501"/>
      <c r="CE413" s="501"/>
      <c r="CF413" s="501"/>
      <c r="CG413" s="501"/>
      <c r="CH413" s="501"/>
      <c r="CI413" s="501"/>
      <c r="CJ413" s="501"/>
      <c r="CK413" s="501"/>
      <c r="CL413" s="501"/>
      <c r="CM413" s="501"/>
      <c r="CN413" s="501"/>
      <c r="CO413" s="501"/>
      <c r="CP413" s="501"/>
      <c r="CQ413" s="501"/>
      <c r="CR413" s="501"/>
      <c r="CS413" s="501"/>
      <c r="CT413" s="501"/>
    </row>
    <row r="414">
      <c r="A414" s="569"/>
      <c r="B414" s="569"/>
      <c r="C414" s="569"/>
      <c r="D414" s="498"/>
      <c r="E414" s="499"/>
      <c r="F414" s="499"/>
      <c r="G414" s="766"/>
      <c r="H414" s="766"/>
      <c r="I414" s="766"/>
      <c r="J414" s="766"/>
      <c r="K414" s="683"/>
      <c r="L414" s="683"/>
      <c r="M414" s="683"/>
      <c r="N414" s="683"/>
      <c r="O414" s="683"/>
      <c r="P414" s="683"/>
      <c r="Q414" s="683"/>
      <c r="R414" s="683"/>
      <c r="S414" s="683"/>
      <c r="T414" s="501"/>
      <c r="U414" s="501"/>
      <c r="V414" s="501"/>
      <c r="W414" s="501"/>
      <c r="X414" s="501"/>
      <c r="Y414" s="501"/>
      <c r="Z414" s="501"/>
      <c r="AA414" s="501"/>
      <c r="AB414" s="501"/>
      <c r="AC414" s="501"/>
      <c r="AD414" s="501"/>
      <c r="AE414" s="501"/>
      <c r="AF414" s="501"/>
      <c r="AG414" s="501"/>
      <c r="AH414" s="501"/>
      <c r="AI414" s="501"/>
      <c r="AJ414" s="501"/>
      <c r="AK414" s="501"/>
      <c r="AL414" s="501"/>
      <c r="AM414" s="501"/>
      <c r="AN414" s="501"/>
      <c r="AO414" s="501"/>
      <c r="AP414" s="501"/>
      <c r="AQ414" s="501"/>
      <c r="AR414" s="501"/>
      <c r="AS414" s="501"/>
      <c r="AT414" s="501"/>
      <c r="AU414" s="501"/>
      <c r="AV414" s="501"/>
      <c r="AW414" s="501"/>
      <c r="AX414" s="501"/>
      <c r="AY414" s="501"/>
      <c r="AZ414" s="501"/>
      <c r="BA414" s="501"/>
      <c r="BB414" s="501"/>
      <c r="BC414" s="501"/>
      <c r="BD414" s="501"/>
      <c r="BE414" s="501"/>
      <c r="BF414" s="501"/>
      <c r="BG414" s="501"/>
      <c r="BH414" s="501"/>
      <c r="BI414" s="501"/>
      <c r="BJ414" s="501"/>
      <c r="BK414" s="501"/>
      <c r="BL414" s="501"/>
      <c r="BM414" s="501"/>
      <c r="BN414" s="501"/>
      <c r="BO414" s="501"/>
      <c r="BP414" s="501"/>
      <c r="BQ414" s="501"/>
      <c r="BR414" s="501"/>
      <c r="BS414" s="501"/>
      <c r="BT414" s="501"/>
      <c r="BU414" s="501"/>
      <c r="BV414" s="501"/>
      <c r="BW414" s="501"/>
      <c r="BX414" s="501"/>
      <c r="BY414" s="501"/>
      <c r="BZ414" s="501"/>
      <c r="CA414" s="501"/>
      <c r="CB414" s="501"/>
      <c r="CC414" s="501"/>
      <c r="CD414" s="501"/>
      <c r="CE414" s="501"/>
      <c r="CF414" s="501"/>
      <c r="CG414" s="501"/>
      <c r="CH414" s="501"/>
      <c r="CI414" s="501"/>
      <c r="CJ414" s="501"/>
      <c r="CK414" s="501"/>
      <c r="CL414" s="501"/>
      <c r="CM414" s="501"/>
      <c r="CN414" s="501"/>
      <c r="CO414" s="501"/>
      <c r="CP414" s="501"/>
      <c r="CQ414" s="501"/>
      <c r="CR414" s="501"/>
      <c r="CS414" s="501"/>
      <c r="CT414" s="501"/>
    </row>
    <row r="415">
      <c r="A415" s="569"/>
      <c r="B415" s="569"/>
      <c r="C415" s="569"/>
      <c r="D415" s="498"/>
      <c r="E415" s="499"/>
      <c r="F415" s="499"/>
      <c r="G415" s="766"/>
      <c r="H415" s="766"/>
      <c r="I415" s="766"/>
      <c r="J415" s="766"/>
      <c r="K415" s="683"/>
      <c r="L415" s="683"/>
      <c r="M415" s="683"/>
      <c r="N415" s="683"/>
      <c r="O415" s="683"/>
      <c r="P415" s="683"/>
      <c r="Q415" s="683"/>
      <c r="R415" s="683"/>
      <c r="S415" s="683"/>
      <c r="T415" s="501"/>
      <c r="U415" s="501"/>
      <c r="V415" s="501"/>
      <c r="W415" s="501"/>
      <c r="X415" s="501"/>
      <c r="Y415" s="501"/>
      <c r="Z415" s="501"/>
      <c r="AA415" s="501"/>
      <c r="AB415" s="501"/>
      <c r="AC415" s="501"/>
      <c r="AD415" s="501"/>
      <c r="AE415" s="501"/>
      <c r="AF415" s="501"/>
      <c r="AG415" s="501"/>
      <c r="AH415" s="501"/>
      <c r="AI415" s="501"/>
      <c r="AJ415" s="501"/>
      <c r="AK415" s="501"/>
      <c r="AL415" s="501"/>
      <c r="AM415" s="501"/>
      <c r="AN415" s="501"/>
      <c r="AO415" s="501"/>
      <c r="AP415" s="501"/>
      <c r="AQ415" s="501"/>
      <c r="AR415" s="501"/>
      <c r="AS415" s="501"/>
      <c r="AT415" s="501"/>
      <c r="AU415" s="501"/>
      <c r="AV415" s="501"/>
      <c r="AW415" s="501"/>
      <c r="AX415" s="501"/>
      <c r="AY415" s="501"/>
      <c r="AZ415" s="501"/>
      <c r="BA415" s="501"/>
      <c r="BB415" s="501"/>
      <c r="BC415" s="501"/>
      <c r="BD415" s="501"/>
      <c r="BE415" s="501"/>
      <c r="BF415" s="501"/>
      <c r="BG415" s="501"/>
      <c r="BH415" s="501"/>
      <c r="BI415" s="501"/>
      <c r="BJ415" s="501"/>
      <c r="BK415" s="501"/>
      <c r="BL415" s="501"/>
      <c r="BM415" s="501"/>
      <c r="BN415" s="501"/>
      <c r="BO415" s="501"/>
      <c r="BP415" s="501"/>
      <c r="BQ415" s="501"/>
      <c r="BR415" s="501"/>
      <c r="BS415" s="501"/>
      <c r="BT415" s="501"/>
      <c r="BU415" s="501"/>
      <c r="BV415" s="501"/>
      <c r="BW415" s="501"/>
      <c r="BX415" s="501"/>
      <c r="BY415" s="501"/>
      <c r="BZ415" s="501"/>
      <c r="CA415" s="501"/>
      <c r="CB415" s="501"/>
      <c r="CC415" s="501"/>
      <c r="CD415" s="501"/>
      <c r="CE415" s="501"/>
      <c r="CF415" s="501"/>
      <c r="CG415" s="501"/>
      <c r="CH415" s="501"/>
      <c r="CI415" s="501"/>
      <c r="CJ415" s="501"/>
      <c r="CK415" s="501"/>
      <c r="CL415" s="501"/>
      <c r="CM415" s="501"/>
      <c r="CN415" s="501"/>
      <c r="CO415" s="501"/>
      <c r="CP415" s="501"/>
      <c r="CQ415" s="501"/>
      <c r="CR415" s="501"/>
      <c r="CS415" s="501"/>
      <c r="CT415" s="501"/>
    </row>
    <row r="416">
      <c r="A416" s="569"/>
      <c r="B416" s="569"/>
      <c r="C416" s="569"/>
      <c r="D416" s="498"/>
      <c r="E416" s="499"/>
      <c r="F416" s="499"/>
      <c r="G416" s="766"/>
      <c r="H416" s="766"/>
      <c r="I416" s="766"/>
      <c r="J416" s="766"/>
      <c r="K416" s="683"/>
      <c r="L416" s="683"/>
      <c r="M416" s="683"/>
      <c r="N416" s="683"/>
      <c r="O416" s="683"/>
      <c r="P416" s="683"/>
      <c r="Q416" s="683"/>
      <c r="R416" s="683"/>
      <c r="S416" s="683"/>
      <c r="T416" s="501"/>
      <c r="U416" s="501"/>
      <c r="V416" s="501"/>
      <c r="W416" s="501"/>
      <c r="X416" s="501"/>
      <c r="Y416" s="501"/>
      <c r="Z416" s="501"/>
      <c r="AA416" s="501"/>
      <c r="AB416" s="501"/>
      <c r="AC416" s="501"/>
      <c r="AD416" s="501"/>
      <c r="AE416" s="501"/>
      <c r="AF416" s="501"/>
      <c r="AG416" s="501"/>
      <c r="AH416" s="501"/>
      <c r="AI416" s="501"/>
      <c r="AJ416" s="501"/>
      <c r="AK416" s="501"/>
      <c r="AL416" s="501"/>
      <c r="AM416" s="501"/>
      <c r="AN416" s="501"/>
      <c r="AO416" s="501"/>
      <c r="AP416" s="501"/>
      <c r="AQ416" s="501"/>
      <c r="AR416" s="501"/>
      <c r="AS416" s="501"/>
      <c r="AT416" s="501"/>
      <c r="AU416" s="501"/>
      <c r="AV416" s="501"/>
      <c r="AW416" s="501"/>
      <c r="AX416" s="501"/>
      <c r="AY416" s="501"/>
      <c r="AZ416" s="501"/>
      <c r="BA416" s="501"/>
      <c r="BB416" s="501"/>
      <c r="BC416" s="501"/>
      <c r="BD416" s="501"/>
      <c r="BE416" s="501"/>
      <c r="BF416" s="501"/>
      <c r="BG416" s="501"/>
      <c r="BH416" s="501"/>
      <c r="BI416" s="501"/>
      <c r="BJ416" s="501"/>
      <c r="BK416" s="501"/>
      <c r="BL416" s="501"/>
      <c r="BM416" s="501"/>
      <c r="BN416" s="501"/>
      <c r="BO416" s="501"/>
      <c r="BP416" s="501"/>
      <c r="BQ416" s="501"/>
      <c r="BR416" s="501"/>
      <c r="BS416" s="501"/>
      <c r="BT416" s="501"/>
      <c r="BU416" s="501"/>
      <c r="BV416" s="501"/>
      <c r="BW416" s="501"/>
      <c r="BX416" s="501"/>
      <c r="BY416" s="501"/>
      <c r="BZ416" s="501"/>
      <c r="CA416" s="501"/>
      <c r="CB416" s="501"/>
      <c r="CC416" s="501"/>
      <c r="CD416" s="501"/>
      <c r="CE416" s="501"/>
      <c r="CF416" s="501"/>
      <c r="CG416" s="501"/>
      <c r="CH416" s="501"/>
      <c r="CI416" s="501"/>
      <c r="CJ416" s="501"/>
      <c r="CK416" s="501"/>
      <c r="CL416" s="501"/>
      <c r="CM416" s="501"/>
      <c r="CN416" s="501"/>
      <c r="CO416" s="501"/>
      <c r="CP416" s="501"/>
      <c r="CQ416" s="501"/>
      <c r="CR416" s="501"/>
      <c r="CS416" s="501"/>
      <c r="CT416" s="501"/>
    </row>
    <row r="417">
      <c r="A417" s="569"/>
      <c r="B417" s="569"/>
      <c r="C417" s="569"/>
      <c r="D417" s="498"/>
      <c r="E417" s="499"/>
      <c r="F417" s="499"/>
      <c r="G417" s="766"/>
      <c r="H417" s="766"/>
      <c r="I417" s="766"/>
      <c r="J417" s="766"/>
      <c r="K417" s="683"/>
      <c r="L417" s="683"/>
      <c r="M417" s="683"/>
      <c r="N417" s="683"/>
      <c r="O417" s="683"/>
      <c r="P417" s="683"/>
      <c r="Q417" s="683"/>
      <c r="R417" s="683"/>
      <c r="S417" s="683"/>
      <c r="T417" s="501"/>
      <c r="U417" s="501"/>
      <c r="V417" s="501"/>
      <c r="W417" s="501"/>
      <c r="X417" s="501"/>
      <c r="Y417" s="501"/>
      <c r="Z417" s="501"/>
      <c r="AA417" s="501"/>
      <c r="AB417" s="501"/>
      <c r="AC417" s="501"/>
      <c r="AD417" s="501"/>
      <c r="AE417" s="501"/>
      <c r="AF417" s="501"/>
      <c r="AG417" s="501"/>
      <c r="AH417" s="501"/>
      <c r="AI417" s="501"/>
      <c r="AJ417" s="501"/>
      <c r="AK417" s="501"/>
      <c r="AL417" s="501"/>
      <c r="AM417" s="501"/>
      <c r="AN417" s="501"/>
      <c r="AO417" s="501"/>
      <c r="AP417" s="501"/>
      <c r="AQ417" s="501"/>
      <c r="AR417" s="501"/>
      <c r="AS417" s="501"/>
      <c r="AT417" s="501"/>
      <c r="AU417" s="501"/>
      <c r="AV417" s="501"/>
      <c r="AW417" s="501"/>
      <c r="AX417" s="501"/>
      <c r="AY417" s="501"/>
      <c r="AZ417" s="501"/>
      <c r="BA417" s="501"/>
      <c r="BB417" s="501"/>
      <c r="BC417" s="501"/>
      <c r="BD417" s="501"/>
      <c r="BE417" s="501"/>
      <c r="BF417" s="501"/>
      <c r="BG417" s="501"/>
      <c r="BH417" s="501"/>
      <c r="BI417" s="501"/>
      <c r="BJ417" s="501"/>
      <c r="BK417" s="501"/>
      <c r="BL417" s="501"/>
      <c r="BM417" s="501"/>
      <c r="BN417" s="501"/>
      <c r="BO417" s="501"/>
      <c r="BP417" s="501"/>
      <c r="BQ417" s="501"/>
      <c r="BR417" s="501"/>
      <c r="BS417" s="501"/>
      <c r="BT417" s="501"/>
      <c r="BU417" s="501"/>
      <c r="BV417" s="501"/>
      <c r="BW417" s="501"/>
      <c r="BX417" s="501"/>
      <c r="BY417" s="501"/>
      <c r="BZ417" s="501"/>
      <c r="CA417" s="501"/>
      <c r="CB417" s="501"/>
      <c r="CC417" s="501"/>
      <c r="CD417" s="501"/>
      <c r="CE417" s="501"/>
      <c r="CF417" s="501"/>
      <c r="CG417" s="501"/>
      <c r="CH417" s="501"/>
      <c r="CI417" s="501"/>
      <c r="CJ417" s="501"/>
      <c r="CK417" s="501"/>
      <c r="CL417" s="501"/>
      <c r="CM417" s="501"/>
      <c r="CN417" s="501"/>
      <c r="CO417" s="501"/>
      <c r="CP417" s="501"/>
      <c r="CQ417" s="501"/>
      <c r="CR417" s="501"/>
      <c r="CS417" s="501"/>
      <c r="CT417" s="501"/>
    </row>
    <row r="418">
      <c r="A418" s="569"/>
      <c r="B418" s="569"/>
      <c r="C418" s="569"/>
      <c r="D418" s="498"/>
      <c r="E418" s="499"/>
      <c r="F418" s="499"/>
      <c r="G418" s="766"/>
      <c r="H418" s="766"/>
      <c r="I418" s="766"/>
      <c r="J418" s="766"/>
      <c r="K418" s="683"/>
      <c r="L418" s="683"/>
      <c r="M418" s="683"/>
      <c r="N418" s="683"/>
      <c r="O418" s="683"/>
      <c r="P418" s="683"/>
      <c r="Q418" s="683"/>
      <c r="R418" s="683"/>
      <c r="S418" s="683"/>
      <c r="T418" s="501"/>
      <c r="U418" s="501"/>
      <c r="V418" s="501"/>
      <c r="W418" s="501"/>
      <c r="X418" s="501"/>
      <c r="Y418" s="501"/>
      <c r="Z418" s="501"/>
      <c r="AA418" s="501"/>
      <c r="AB418" s="501"/>
      <c r="AC418" s="501"/>
      <c r="AD418" s="501"/>
      <c r="AE418" s="501"/>
      <c r="AF418" s="501"/>
      <c r="AG418" s="501"/>
      <c r="AH418" s="501"/>
      <c r="AI418" s="501"/>
      <c r="AJ418" s="501"/>
      <c r="AK418" s="501"/>
      <c r="AL418" s="501"/>
      <c r="AM418" s="501"/>
      <c r="AN418" s="501"/>
      <c r="AO418" s="501"/>
      <c r="AP418" s="501"/>
      <c r="AQ418" s="501"/>
      <c r="AR418" s="501"/>
      <c r="AS418" s="501"/>
      <c r="AT418" s="501"/>
      <c r="AU418" s="501"/>
      <c r="AV418" s="501"/>
      <c r="AW418" s="501"/>
      <c r="AX418" s="501"/>
      <c r="AY418" s="501"/>
      <c r="AZ418" s="501"/>
      <c r="BA418" s="501"/>
      <c r="BB418" s="501"/>
      <c r="BC418" s="501"/>
      <c r="BD418" s="501"/>
      <c r="BE418" s="501"/>
      <c r="BF418" s="501"/>
      <c r="BG418" s="501"/>
      <c r="BH418" s="501"/>
      <c r="BI418" s="501"/>
      <c r="BJ418" s="501"/>
      <c r="BK418" s="501"/>
      <c r="BL418" s="501"/>
      <c r="BM418" s="501"/>
      <c r="BN418" s="501"/>
      <c r="BO418" s="501"/>
      <c r="BP418" s="501"/>
      <c r="BQ418" s="501"/>
      <c r="BR418" s="501"/>
      <c r="BS418" s="501"/>
      <c r="BT418" s="501"/>
      <c r="BU418" s="501"/>
      <c r="BV418" s="501"/>
      <c r="BW418" s="501"/>
      <c r="BX418" s="501"/>
      <c r="BY418" s="501"/>
      <c r="BZ418" s="501"/>
      <c r="CA418" s="501"/>
      <c r="CB418" s="501"/>
      <c r="CC418" s="501"/>
      <c r="CD418" s="501"/>
      <c r="CE418" s="501"/>
      <c r="CF418" s="501"/>
      <c r="CG418" s="501"/>
      <c r="CH418" s="501"/>
      <c r="CI418" s="501"/>
      <c r="CJ418" s="501"/>
      <c r="CK418" s="501"/>
      <c r="CL418" s="501"/>
      <c r="CM418" s="501"/>
      <c r="CN418" s="501"/>
      <c r="CO418" s="501"/>
      <c r="CP418" s="501"/>
      <c r="CQ418" s="501"/>
      <c r="CR418" s="501"/>
      <c r="CS418" s="501"/>
      <c r="CT418" s="501"/>
    </row>
    <row r="419">
      <c r="A419" s="569"/>
      <c r="B419" s="569"/>
      <c r="C419" s="569"/>
      <c r="D419" s="498"/>
      <c r="E419" s="499"/>
      <c r="F419" s="499"/>
      <c r="G419" s="766"/>
      <c r="H419" s="766"/>
      <c r="I419" s="766"/>
      <c r="J419" s="766"/>
      <c r="K419" s="683"/>
      <c r="L419" s="683"/>
      <c r="M419" s="683"/>
      <c r="N419" s="683"/>
      <c r="O419" s="683"/>
      <c r="P419" s="683"/>
      <c r="Q419" s="683"/>
      <c r="R419" s="683"/>
      <c r="S419" s="683"/>
      <c r="T419" s="501"/>
      <c r="U419" s="501"/>
      <c r="V419" s="501"/>
      <c r="W419" s="501"/>
      <c r="X419" s="501"/>
      <c r="Y419" s="501"/>
      <c r="Z419" s="501"/>
      <c r="AA419" s="501"/>
      <c r="AB419" s="501"/>
      <c r="AC419" s="501"/>
      <c r="AD419" s="501"/>
      <c r="AE419" s="501"/>
      <c r="AF419" s="501"/>
      <c r="AG419" s="501"/>
      <c r="AH419" s="501"/>
      <c r="AI419" s="501"/>
      <c r="AJ419" s="501"/>
      <c r="AK419" s="501"/>
      <c r="AL419" s="501"/>
      <c r="AM419" s="501"/>
      <c r="AN419" s="501"/>
      <c r="AO419" s="501"/>
      <c r="AP419" s="501"/>
      <c r="AQ419" s="501"/>
      <c r="AR419" s="501"/>
      <c r="AS419" s="501"/>
      <c r="AT419" s="501"/>
      <c r="AU419" s="501"/>
      <c r="AV419" s="501"/>
      <c r="AW419" s="501"/>
      <c r="AX419" s="501"/>
      <c r="AY419" s="501"/>
      <c r="AZ419" s="501"/>
      <c r="BA419" s="501"/>
      <c r="BB419" s="501"/>
      <c r="BC419" s="501"/>
      <c r="BD419" s="501"/>
      <c r="BE419" s="501"/>
      <c r="BF419" s="501"/>
      <c r="BG419" s="501"/>
      <c r="BH419" s="501"/>
      <c r="BI419" s="501"/>
      <c r="BJ419" s="501"/>
      <c r="BK419" s="501"/>
      <c r="BL419" s="501"/>
      <c r="BM419" s="501"/>
      <c r="BN419" s="501"/>
      <c r="BO419" s="501"/>
      <c r="BP419" s="501"/>
      <c r="BQ419" s="501"/>
      <c r="BR419" s="501"/>
      <c r="BS419" s="501"/>
      <c r="BT419" s="501"/>
      <c r="BU419" s="501"/>
      <c r="BV419" s="501"/>
      <c r="BW419" s="501"/>
      <c r="BX419" s="501"/>
      <c r="BY419" s="501"/>
      <c r="BZ419" s="501"/>
      <c r="CA419" s="501"/>
      <c r="CB419" s="501"/>
      <c r="CC419" s="501"/>
      <c r="CD419" s="501"/>
      <c r="CE419" s="501"/>
      <c r="CF419" s="501"/>
      <c r="CG419" s="501"/>
      <c r="CH419" s="501"/>
      <c r="CI419" s="501"/>
      <c r="CJ419" s="501"/>
      <c r="CK419" s="501"/>
      <c r="CL419" s="501"/>
      <c r="CM419" s="501"/>
      <c r="CN419" s="501"/>
      <c r="CO419" s="501"/>
      <c r="CP419" s="501"/>
      <c r="CQ419" s="501"/>
      <c r="CR419" s="501"/>
      <c r="CS419" s="501"/>
      <c r="CT419" s="501"/>
    </row>
    <row r="420">
      <c r="A420" s="569"/>
      <c r="B420" s="569"/>
      <c r="C420" s="569"/>
      <c r="D420" s="498"/>
      <c r="E420" s="499"/>
      <c r="F420" s="499"/>
      <c r="G420" s="766"/>
      <c r="H420" s="766"/>
      <c r="I420" s="766"/>
      <c r="J420" s="766"/>
      <c r="K420" s="683"/>
      <c r="L420" s="683"/>
      <c r="M420" s="683"/>
      <c r="N420" s="683"/>
      <c r="O420" s="683"/>
      <c r="P420" s="683"/>
      <c r="Q420" s="683"/>
      <c r="R420" s="683"/>
      <c r="S420" s="683"/>
      <c r="T420" s="501"/>
      <c r="U420" s="501"/>
      <c r="V420" s="501"/>
      <c r="W420" s="501"/>
      <c r="X420" s="501"/>
      <c r="Y420" s="501"/>
      <c r="Z420" s="501"/>
      <c r="AA420" s="501"/>
      <c r="AB420" s="501"/>
      <c r="AC420" s="501"/>
      <c r="AD420" s="501"/>
      <c r="AE420" s="501"/>
      <c r="AF420" s="501"/>
      <c r="AG420" s="501"/>
      <c r="AH420" s="501"/>
      <c r="AI420" s="501"/>
      <c r="AJ420" s="501"/>
      <c r="AK420" s="501"/>
      <c r="AL420" s="501"/>
      <c r="AM420" s="501"/>
      <c r="AN420" s="501"/>
      <c r="AO420" s="501"/>
      <c r="AP420" s="501"/>
      <c r="AQ420" s="501"/>
      <c r="AR420" s="501"/>
      <c r="AS420" s="501"/>
      <c r="AT420" s="501"/>
      <c r="AU420" s="501"/>
      <c r="AV420" s="501"/>
      <c r="AW420" s="501"/>
      <c r="AX420" s="501"/>
      <c r="AY420" s="501"/>
      <c r="AZ420" s="501"/>
      <c r="BA420" s="501"/>
      <c r="BB420" s="501"/>
      <c r="BC420" s="501"/>
      <c r="BD420" s="501"/>
      <c r="BE420" s="501"/>
      <c r="BF420" s="501"/>
      <c r="BG420" s="501"/>
      <c r="BH420" s="501"/>
      <c r="BI420" s="501"/>
      <c r="BJ420" s="501"/>
      <c r="BK420" s="501"/>
      <c r="BL420" s="501"/>
      <c r="BM420" s="501"/>
      <c r="BN420" s="501"/>
      <c r="BO420" s="501"/>
      <c r="BP420" s="501"/>
      <c r="BQ420" s="501"/>
      <c r="BR420" s="501"/>
      <c r="BS420" s="501"/>
      <c r="BT420" s="501"/>
      <c r="BU420" s="501"/>
      <c r="BV420" s="501"/>
      <c r="BW420" s="501"/>
      <c r="BX420" s="501"/>
      <c r="BY420" s="501"/>
      <c r="BZ420" s="501"/>
      <c r="CA420" s="501"/>
      <c r="CB420" s="501"/>
      <c r="CC420" s="501"/>
      <c r="CD420" s="501"/>
      <c r="CE420" s="501"/>
      <c r="CF420" s="501"/>
      <c r="CG420" s="501"/>
      <c r="CH420" s="501"/>
      <c r="CI420" s="501"/>
      <c r="CJ420" s="501"/>
      <c r="CK420" s="501"/>
      <c r="CL420" s="501"/>
      <c r="CM420" s="501"/>
      <c r="CN420" s="501"/>
      <c r="CO420" s="501"/>
      <c r="CP420" s="501"/>
      <c r="CQ420" s="501"/>
      <c r="CR420" s="501"/>
      <c r="CS420" s="501"/>
      <c r="CT420" s="501"/>
    </row>
    <row r="421">
      <c r="A421" s="569"/>
      <c r="B421" s="569"/>
      <c r="C421" s="569"/>
      <c r="D421" s="498"/>
      <c r="E421" s="499"/>
      <c r="F421" s="499"/>
      <c r="G421" s="766"/>
      <c r="H421" s="766"/>
      <c r="I421" s="766"/>
      <c r="J421" s="766"/>
      <c r="K421" s="683"/>
      <c r="L421" s="683"/>
      <c r="M421" s="683"/>
      <c r="N421" s="683"/>
      <c r="O421" s="683"/>
      <c r="P421" s="683"/>
      <c r="Q421" s="683"/>
      <c r="R421" s="683"/>
      <c r="S421" s="683"/>
      <c r="T421" s="501"/>
      <c r="U421" s="501"/>
      <c r="V421" s="501"/>
      <c r="W421" s="501"/>
      <c r="X421" s="501"/>
      <c r="Y421" s="501"/>
      <c r="Z421" s="501"/>
      <c r="AA421" s="501"/>
      <c r="AB421" s="501"/>
      <c r="AC421" s="501"/>
      <c r="AD421" s="501"/>
      <c r="AE421" s="501"/>
      <c r="AF421" s="501"/>
      <c r="AG421" s="501"/>
      <c r="AH421" s="501"/>
      <c r="AI421" s="501"/>
      <c r="AJ421" s="501"/>
      <c r="AK421" s="501"/>
      <c r="AL421" s="501"/>
      <c r="AM421" s="501"/>
      <c r="AN421" s="501"/>
      <c r="AO421" s="501"/>
      <c r="AP421" s="501"/>
      <c r="AQ421" s="501"/>
      <c r="AR421" s="501"/>
      <c r="AS421" s="501"/>
      <c r="AT421" s="501"/>
      <c r="AU421" s="501"/>
      <c r="AV421" s="501"/>
      <c r="AW421" s="501"/>
      <c r="AX421" s="501"/>
      <c r="AY421" s="501"/>
      <c r="AZ421" s="501"/>
      <c r="BA421" s="501"/>
      <c r="BB421" s="501"/>
      <c r="BC421" s="501"/>
      <c r="BD421" s="501"/>
      <c r="BE421" s="501"/>
      <c r="BF421" s="501"/>
      <c r="BG421" s="501"/>
      <c r="BH421" s="501"/>
      <c r="BI421" s="501"/>
      <c r="BJ421" s="501"/>
      <c r="BK421" s="501"/>
      <c r="BL421" s="501"/>
      <c r="BM421" s="501"/>
      <c r="BN421" s="501"/>
      <c r="BO421" s="501"/>
      <c r="BP421" s="501"/>
      <c r="BQ421" s="501"/>
      <c r="BR421" s="501"/>
      <c r="BS421" s="501"/>
      <c r="BT421" s="501"/>
      <c r="BU421" s="501"/>
      <c r="BV421" s="501"/>
      <c r="BW421" s="501"/>
      <c r="BX421" s="501"/>
      <c r="BY421" s="501"/>
      <c r="BZ421" s="501"/>
      <c r="CA421" s="501"/>
      <c r="CB421" s="501"/>
      <c r="CC421" s="501"/>
      <c r="CD421" s="501"/>
      <c r="CE421" s="501"/>
      <c r="CF421" s="501"/>
      <c r="CG421" s="501"/>
      <c r="CH421" s="501"/>
      <c r="CI421" s="501"/>
      <c r="CJ421" s="501"/>
      <c r="CK421" s="501"/>
      <c r="CL421" s="501"/>
      <c r="CM421" s="501"/>
      <c r="CN421" s="501"/>
      <c r="CO421" s="501"/>
      <c r="CP421" s="501"/>
      <c r="CQ421" s="501"/>
      <c r="CR421" s="501"/>
      <c r="CS421" s="501"/>
      <c r="CT421" s="501"/>
    </row>
    <row r="422">
      <c r="A422" s="569"/>
      <c r="B422" s="569"/>
      <c r="C422" s="569"/>
      <c r="D422" s="498"/>
      <c r="E422" s="499"/>
      <c r="F422" s="499"/>
      <c r="G422" s="766"/>
      <c r="H422" s="766"/>
      <c r="I422" s="766"/>
      <c r="J422" s="766"/>
      <c r="K422" s="683"/>
      <c r="L422" s="683"/>
      <c r="M422" s="683"/>
      <c r="N422" s="683"/>
      <c r="O422" s="683"/>
      <c r="P422" s="683"/>
      <c r="Q422" s="683"/>
      <c r="R422" s="683"/>
      <c r="S422" s="683"/>
      <c r="T422" s="501"/>
      <c r="U422" s="501"/>
      <c r="V422" s="501"/>
      <c r="W422" s="501"/>
      <c r="X422" s="501"/>
      <c r="Y422" s="501"/>
      <c r="Z422" s="501"/>
      <c r="AA422" s="501"/>
      <c r="AB422" s="501"/>
      <c r="AC422" s="501"/>
      <c r="AD422" s="501"/>
      <c r="AE422" s="501"/>
      <c r="AF422" s="501"/>
      <c r="AG422" s="501"/>
      <c r="AH422" s="501"/>
      <c r="AI422" s="501"/>
      <c r="AJ422" s="501"/>
      <c r="AK422" s="501"/>
      <c r="AL422" s="501"/>
      <c r="AM422" s="501"/>
      <c r="AN422" s="501"/>
      <c r="AO422" s="501"/>
      <c r="AP422" s="501"/>
      <c r="AQ422" s="501"/>
      <c r="AR422" s="501"/>
      <c r="AS422" s="501"/>
      <c r="AT422" s="501"/>
      <c r="AU422" s="501"/>
      <c r="AV422" s="501"/>
      <c r="AW422" s="501"/>
      <c r="AX422" s="501"/>
      <c r="AY422" s="501"/>
      <c r="AZ422" s="501"/>
      <c r="BA422" s="501"/>
      <c r="BB422" s="501"/>
      <c r="BC422" s="501"/>
      <c r="BD422" s="501"/>
      <c r="BE422" s="501"/>
      <c r="BF422" s="501"/>
      <c r="BG422" s="501"/>
      <c r="BH422" s="501"/>
      <c r="BI422" s="501"/>
      <c r="BJ422" s="501"/>
      <c r="BK422" s="501"/>
      <c r="BL422" s="501"/>
      <c r="BM422" s="501"/>
      <c r="BN422" s="501"/>
      <c r="BO422" s="501"/>
      <c r="BP422" s="501"/>
      <c r="BQ422" s="501"/>
      <c r="BR422" s="501"/>
      <c r="BS422" s="501"/>
      <c r="BT422" s="501"/>
      <c r="BU422" s="501"/>
      <c r="BV422" s="501"/>
      <c r="BW422" s="501"/>
      <c r="BX422" s="501"/>
      <c r="BY422" s="501"/>
      <c r="BZ422" s="501"/>
      <c r="CA422" s="501"/>
      <c r="CB422" s="501"/>
      <c r="CC422" s="501"/>
      <c r="CD422" s="501"/>
      <c r="CE422" s="501"/>
      <c r="CF422" s="501"/>
      <c r="CG422" s="501"/>
      <c r="CH422" s="501"/>
      <c r="CI422" s="501"/>
      <c r="CJ422" s="501"/>
      <c r="CK422" s="501"/>
      <c r="CL422" s="501"/>
      <c r="CM422" s="501"/>
      <c r="CN422" s="501"/>
      <c r="CO422" s="501"/>
      <c r="CP422" s="501"/>
      <c r="CQ422" s="501"/>
      <c r="CR422" s="501"/>
      <c r="CS422" s="501"/>
      <c r="CT422" s="501"/>
    </row>
    <row r="423">
      <c r="A423" s="569"/>
      <c r="B423" s="569"/>
      <c r="C423" s="569"/>
      <c r="D423" s="498"/>
      <c r="E423" s="499"/>
      <c r="F423" s="499"/>
      <c r="G423" s="766"/>
      <c r="H423" s="766"/>
      <c r="I423" s="766"/>
      <c r="J423" s="766"/>
      <c r="K423" s="683"/>
      <c r="L423" s="683"/>
      <c r="M423" s="683"/>
      <c r="N423" s="683"/>
      <c r="O423" s="683"/>
      <c r="P423" s="683"/>
      <c r="Q423" s="683"/>
      <c r="R423" s="683"/>
      <c r="S423" s="683"/>
      <c r="T423" s="501"/>
      <c r="U423" s="501"/>
      <c r="V423" s="501"/>
      <c r="W423" s="501"/>
      <c r="X423" s="501"/>
      <c r="Y423" s="501"/>
      <c r="Z423" s="501"/>
      <c r="AA423" s="501"/>
      <c r="AB423" s="501"/>
      <c r="AC423" s="501"/>
      <c r="AD423" s="501"/>
      <c r="AE423" s="501"/>
      <c r="AF423" s="501"/>
      <c r="AG423" s="501"/>
      <c r="AH423" s="501"/>
      <c r="AI423" s="501"/>
      <c r="AJ423" s="501"/>
      <c r="AK423" s="501"/>
      <c r="AL423" s="501"/>
      <c r="AM423" s="501"/>
      <c r="AN423" s="501"/>
      <c r="AO423" s="501"/>
      <c r="AP423" s="501"/>
      <c r="AQ423" s="501"/>
      <c r="AR423" s="501"/>
      <c r="AS423" s="501"/>
      <c r="AT423" s="501"/>
      <c r="AU423" s="501"/>
      <c r="AV423" s="501"/>
      <c r="AW423" s="501"/>
      <c r="AX423" s="501"/>
      <c r="AY423" s="501"/>
      <c r="AZ423" s="501"/>
      <c r="BA423" s="501"/>
      <c r="BB423" s="501"/>
      <c r="BC423" s="501"/>
      <c r="BD423" s="501"/>
      <c r="BE423" s="501"/>
      <c r="BF423" s="501"/>
      <c r="BG423" s="501"/>
      <c r="BH423" s="501"/>
      <c r="BI423" s="501"/>
      <c r="BJ423" s="501"/>
      <c r="BK423" s="501"/>
      <c r="BL423" s="501"/>
      <c r="BM423" s="501"/>
      <c r="BN423" s="501"/>
      <c r="BO423" s="501"/>
      <c r="BP423" s="501"/>
      <c r="BQ423" s="501"/>
      <c r="BR423" s="501"/>
      <c r="BS423" s="501"/>
      <c r="BT423" s="501"/>
      <c r="BU423" s="501"/>
      <c r="BV423" s="501"/>
      <c r="BW423" s="501"/>
      <c r="BX423" s="501"/>
      <c r="BY423" s="501"/>
      <c r="BZ423" s="501"/>
      <c r="CA423" s="501"/>
      <c r="CB423" s="501"/>
      <c r="CC423" s="501"/>
      <c r="CD423" s="501"/>
      <c r="CE423" s="501"/>
      <c r="CF423" s="501"/>
      <c r="CG423" s="501"/>
      <c r="CH423" s="501"/>
      <c r="CI423" s="501"/>
      <c r="CJ423" s="501"/>
      <c r="CK423" s="501"/>
      <c r="CL423" s="501"/>
      <c r="CM423" s="501"/>
      <c r="CN423" s="501"/>
      <c r="CO423" s="501"/>
      <c r="CP423" s="501"/>
      <c r="CQ423" s="501"/>
      <c r="CR423" s="501"/>
      <c r="CS423" s="501"/>
      <c r="CT423" s="501"/>
    </row>
    <row r="424">
      <c r="A424" s="569"/>
      <c r="B424" s="569"/>
      <c r="C424" s="569"/>
      <c r="D424" s="498"/>
      <c r="E424" s="499"/>
      <c r="F424" s="499"/>
      <c r="G424" s="766"/>
      <c r="H424" s="766"/>
      <c r="I424" s="766"/>
      <c r="J424" s="766"/>
      <c r="K424" s="683"/>
      <c r="L424" s="683"/>
      <c r="M424" s="683"/>
      <c r="N424" s="683"/>
      <c r="O424" s="683"/>
      <c r="P424" s="683"/>
      <c r="Q424" s="683"/>
      <c r="R424" s="683"/>
      <c r="S424" s="683"/>
      <c r="T424" s="501"/>
      <c r="U424" s="501"/>
      <c r="V424" s="501"/>
      <c r="W424" s="501"/>
      <c r="X424" s="501"/>
      <c r="Y424" s="501"/>
      <c r="Z424" s="501"/>
      <c r="AA424" s="501"/>
      <c r="AB424" s="501"/>
      <c r="AC424" s="501"/>
      <c r="AD424" s="501"/>
      <c r="AE424" s="501"/>
      <c r="AF424" s="501"/>
      <c r="AG424" s="501"/>
      <c r="AH424" s="501"/>
      <c r="AI424" s="501"/>
      <c r="AJ424" s="501"/>
      <c r="AK424" s="501"/>
      <c r="AL424" s="501"/>
      <c r="AM424" s="501"/>
      <c r="AN424" s="501"/>
      <c r="AO424" s="501"/>
      <c r="AP424" s="501"/>
      <c r="AQ424" s="501"/>
      <c r="AR424" s="501"/>
      <c r="AS424" s="501"/>
      <c r="AT424" s="501"/>
      <c r="AU424" s="501"/>
      <c r="AV424" s="501"/>
      <c r="AW424" s="501"/>
      <c r="AX424" s="501"/>
      <c r="AY424" s="501"/>
      <c r="AZ424" s="501"/>
      <c r="BA424" s="501"/>
      <c r="BB424" s="501"/>
      <c r="BC424" s="501"/>
      <c r="BD424" s="501"/>
      <c r="BE424" s="501"/>
      <c r="BF424" s="501"/>
      <c r="BG424" s="501"/>
      <c r="BH424" s="501"/>
      <c r="BI424" s="501"/>
      <c r="BJ424" s="501"/>
      <c r="BK424" s="501"/>
      <c r="BL424" s="501"/>
      <c r="BM424" s="501"/>
      <c r="BN424" s="501"/>
      <c r="BO424" s="501"/>
      <c r="BP424" s="501"/>
      <c r="BQ424" s="501"/>
      <c r="BR424" s="501"/>
      <c r="BS424" s="501"/>
      <c r="BT424" s="501"/>
      <c r="BU424" s="501"/>
      <c r="BV424" s="501"/>
      <c r="BW424" s="501"/>
      <c r="BX424" s="501"/>
      <c r="BY424" s="501"/>
      <c r="BZ424" s="501"/>
      <c r="CA424" s="501"/>
      <c r="CB424" s="501"/>
      <c r="CC424" s="501"/>
      <c r="CD424" s="501"/>
      <c r="CE424" s="501"/>
      <c r="CF424" s="501"/>
      <c r="CG424" s="501"/>
      <c r="CH424" s="501"/>
      <c r="CI424" s="501"/>
      <c r="CJ424" s="501"/>
      <c r="CK424" s="501"/>
      <c r="CL424" s="501"/>
      <c r="CM424" s="501"/>
      <c r="CN424" s="501"/>
      <c r="CO424" s="501"/>
      <c r="CP424" s="501"/>
      <c r="CQ424" s="501"/>
      <c r="CR424" s="501"/>
      <c r="CS424" s="501"/>
      <c r="CT424" s="501"/>
    </row>
    <row r="425">
      <c r="A425" s="569"/>
      <c r="B425" s="569"/>
      <c r="C425" s="569"/>
      <c r="D425" s="498"/>
      <c r="E425" s="499"/>
      <c r="F425" s="499"/>
      <c r="G425" s="766"/>
      <c r="H425" s="766"/>
      <c r="I425" s="766"/>
      <c r="J425" s="766"/>
      <c r="K425" s="683"/>
      <c r="L425" s="683"/>
      <c r="M425" s="683"/>
      <c r="N425" s="683"/>
      <c r="O425" s="683"/>
      <c r="P425" s="683"/>
      <c r="Q425" s="683"/>
      <c r="R425" s="683"/>
      <c r="S425" s="683"/>
      <c r="T425" s="501"/>
      <c r="U425" s="501"/>
      <c r="V425" s="501"/>
      <c r="W425" s="501"/>
      <c r="X425" s="501"/>
      <c r="Y425" s="501"/>
      <c r="Z425" s="501"/>
      <c r="AA425" s="501"/>
      <c r="AB425" s="501"/>
      <c r="AC425" s="501"/>
      <c r="AD425" s="501"/>
      <c r="AE425" s="501"/>
      <c r="AF425" s="501"/>
      <c r="AG425" s="501"/>
      <c r="AH425" s="501"/>
      <c r="AI425" s="501"/>
      <c r="AJ425" s="501"/>
      <c r="AK425" s="501"/>
      <c r="AL425" s="501"/>
      <c r="AM425" s="501"/>
      <c r="AN425" s="501"/>
      <c r="AO425" s="501"/>
      <c r="AP425" s="501"/>
      <c r="AQ425" s="501"/>
      <c r="AR425" s="501"/>
      <c r="AS425" s="501"/>
      <c r="AT425" s="501"/>
      <c r="AU425" s="501"/>
      <c r="AV425" s="501"/>
      <c r="AW425" s="501"/>
      <c r="AX425" s="501"/>
      <c r="AY425" s="501"/>
      <c r="AZ425" s="501"/>
      <c r="BA425" s="501"/>
      <c r="BB425" s="501"/>
      <c r="BC425" s="501"/>
      <c r="BD425" s="501"/>
      <c r="BE425" s="501"/>
      <c r="BF425" s="501"/>
      <c r="BG425" s="501"/>
      <c r="BH425" s="501"/>
      <c r="BI425" s="501"/>
      <c r="BJ425" s="501"/>
      <c r="BK425" s="501"/>
      <c r="BL425" s="501"/>
      <c r="BM425" s="501"/>
      <c r="BN425" s="501"/>
      <c r="BO425" s="501"/>
      <c r="BP425" s="501"/>
      <c r="BQ425" s="501"/>
      <c r="BR425" s="501"/>
      <c r="BS425" s="501"/>
      <c r="BT425" s="501"/>
      <c r="BU425" s="501"/>
      <c r="BV425" s="501"/>
      <c r="BW425" s="501"/>
      <c r="BX425" s="501"/>
      <c r="BY425" s="501"/>
      <c r="BZ425" s="501"/>
      <c r="CA425" s="501"/>
      <c r="CB425" s="501"/>
      <c r="CC425" s="501"/>
      <c r="CD425" s="501"/>
      <c r="CE425" s="501"/>
      <c r="CF425" s="501"/>
      <c r="CG425" s="501"/>
      <c r="CH425" s="501"/>
      <c r="CI425" s="501"/>
      <c r="CJ425" s="501"/>
      <c r="CK425" s="501"/>
      <c r="CL425" s="501"/>
      <c r="CM425" s="501"/>
      <c r="CN425" s="501"/>
      <c r="CO425" s="501"/>
      <c r="CP425" s="501"/>
      <c r="CQ425" s="501"/>
      <c r="CR425" s="501"/>
      <c r="CS425" s="501"/>
      <c r="CT425" s="501"/>
    </row>
    <row r="426">
      <c r="A426" s="569"/>
      <c r="B426" s="569"/>
      <c r="C426" s="569"/>
      <c r="D426" s="498"/>
      <c r="E426" s="499"/>
      <c r="F426" s="499"/>
      <c r="G426" s="766"/>
      <c r="H426" s="766"/>
      <c r="I426" s="766"/>
      <c r="J426" s="766"/>
      <c r="K426" s="683"/>
      <c r="L426" s="683"/>
      <c r="M426" s="683"/>
      <c r="N426" s="683"/>
      <c r="O426" s="683"/>
      <c r="P426" s="683"/>
      <c r="Q426" s="683"/>
      <c r="R426" s="683"/>
      <c r="S426" s="683"/>
      <c r="T426" s="501"/>
      <c r="U426" s="501"/>
      <c r="V426" s="501"/>
      <c r="W426" s="501"/>
      <c r="X426" s="501"/>
      <c r="Y426" s="501"/>
      <c r="Z426" s="501"/>
      <c r="AA426" s="501"/>
      <c r="AB426" s="501"/>
      <c r="AC426" s="501"/>
      <c r="AD426" s="501"/>
      <c r="AE426" s="501"/>
      <c r="AF426" s="501"/>
      <c r="AG426" s="501"/>
      <c r="AH426" s="501"/>
      <c r="AI426" s="501"/>
      <c r="AJ426" s="501"/>
      <c r="AK426" s="501"/>
      <c r="AL426" s="501"/>
      <c r="AM426" s="501"/>
      <c r="AN426" s="501"/>
      <c r="AO426" s="501"/>
      <c r="AP426" s="501"/>
      <c r="AQ426" s="501"/>
      <c r="AR426" s="501"/>
      <c r="AS426" s="501"/>
      <c r="AT426" s="501"/>
      <c r="AU426" s="501"/>
      <c r="AV426" s="501"/>
      <c r="AW426" s="501"/>
      <c r="AX426" s="501"/>
      <c r="AY426" s="501"/>
      <c r="AZ426" s="501"/>
      <c r="BA426" s="501"/>
      <c r="BB426" s="501"/>
      <c r="BC426" s="501"/>
      <c r="BD426" s="501"/>
      <c r="BE426" s="501"/>
      <c r="BF426" s="501"/>
      <c r="BG426" s="501"/>
      <c r="BH426" s="501"/>
      <c r="BI426" s="501"/>
      <c r="BJ426" s="501"/>
      <c r="BK426" s="501"/>
      <c r="BL426" s="501"/>
      <c r="BM426" s="501"/>
      <c r="BN426" s="501"/>
      <c r="BO426" s="501"/>
      <c r="BP426" s="501"/>
      <c r="BQ426" s="501"/>
      <c r="BR426" s="501"/>
      <c r="BS426" s="501"/>
      <c r="BT426" s="501"/>
      <c r="BU426" s="501"/>
      <c r="BV426" s="501"/>
      <c r="BW426" s="501"/>
      <c r="BX426" s="501"/>
      <c r="BY426" s="501"/>
      <c r="BZ426" s="501"/>
      <c r="CA426" s="501"/>
      <c r="CB426" s="501"/>
      <c r="CC426" s="501"/>
      <c r="CD426" s="501"/>
      <c r="CE426" s="501"/>
      <c r="CF426" s="501"/>
      <c r="CG426" s="501"/>
      <c r="CH426" s="501"/>
      <c r="CI426" s="501"/>
      <c r="CJ426" s="501"/>
      <c r="CK426" s="501"/>
      <c r="CL426" s="501"/>
      <c r="CM426" s="501"/>
      <c r="CN426" s="501"/>
      <c r="CO426" s="501"/>
      <c r="CP426" s="501"/>
      <c r="CQ426" s="501"/>
      <c r="CR426" s="501"/>
      <c r="CS426" s="501"/>
      <c r="CT426" s="501"/>
    </row>
    <row r="427">
      <c r="A427" s="569"/>
      <c r="B427" s="569"/>
      <c r="C427" s="569"/>
      <c r="D427" s="498"/>
      <c r="E427" s="499"/>
      <c r="F427" s="499"/>
      <c r="G427" s="766"/>
      <c r="H427" s="766"/>
      <c r="I427" s="766"/>
      <c r="J427" s="766"/>
      <c r="K427" s="683"/>
      <c r="L427" s="683"/>
      <c r="M427" s="683"/>
      <c r="N427" s="683"/>
      <c r="O427" s="683"/>
      <c r="P427" s="683"/>
      <c r="Q427" s="683"/>
      <c r="R427" s="683"/>
      <c r="S427" s="683"/>
      <c r="T427" s="501"/>
      <c r="U427" s="501"/>
      <c r="V427" s="501"/>
      <c r="W427" s="501"/>
      <c r="X427" s="501"/>
      <c r="Y427" s="501"/>
      <c r="Z427" s="501"/>
      <c r="AA427" s="501"/>
      <c r="AB427" s="501"/>
      <c r="AC427" s="501"/>
      <c r="AD427" s="501"/>
      <c r="AE427" s="501"/>
      <c r="AF427" s="501"/>
      <c r="AG427" s="501"/>
      <c r="AH427" s="501"/>
      <c r="AI427" s="501"/>
      <c r="AJ427" s="501"/>
      <c r="AK427" s="501"/>
      <c r="AL427" s="501"/>
      <c r="AM427" s="501"/>
      <c r="AN427" s="501"/>
      <c r="AO427" s="501"/>
      <c r="AP427" s="501"/>
      <c r="AQ427" s="501"/>
      <c r="AR427" s="501"/>
      <c r="AS427" s="501"/>
      <c r="AT427" s="501"/>
      <c r="AU427" s="501"/>
      <c r="AV427" s="501"/>
      <c r="AW427" s="501"/>
      <c r="AX427" s="501"/>
      <c r="AY427" s="501"/>
      <c r="AZ427" s="501"/>
      <c r="BA427" s="501"/>
      <c r="BB427" s="501"/>
      <c r="BC427" s="501"/>
      <c r="BD427" s="501"/>
      <c r="BE427" s="501"/>
      <c r="BF427" s="501"/>
      <c r="BG427" s="501"/>
      <c r="BH427" s="501"/>
      <c r="BI427" s="501"/>
      <c r="BJ427" s="501"/>
      <c r="BK427" s="501"/>
      <c r="BL427" s="501"/>
      <c r="BM427" s="501"/>
      <c r="BN427" s="501"/>
      <c r="BO427" s="501"/>
      <c r="BP427" s="501"/>
      <c r="BQ427" s="501"/>
      <c r="BR427" s="501"/>
      <c r="BS427" s="501"/>
      <c r="BT427" s="501"/>
      <c r="BU427" s="501"/>
      <c r="BV427" s="501"/>
      <c r="BW427" s="501"/>
      <c r="BX427" s="501"/>
      <c r="BY427" s="501"/>
      <c r="BZ427" s="501"/>
      <c r="CA427" s="501"/>
      <c r="CB427" s="501"/>
      <c r="CC427" s="501"/>
      <c r="CD427" s="501"/>
      <c r="CE427" s="501"/>
      <c r="CF427" s="501"/>
      <c r="CG427" s="501"/>
      <c r="CH427" s="501"/>
      <c r="CI427" s="501"/>
      <c r="CJ427" s="501"/>
      <c r="CK427" s="501"/>
      <c r="CL427" s="501"/>
      <c r="CM427" s="501"/>
      <c r="CN427" s="501"/>
      <c r="CO427" s="501"/>
      <c r="CP427" s="501"/>
      <c r="CQ427" s="501"/>
      <c r="CR427" s="501"/>
      <c r="CS427" s="501"/>
      <c r="CT427" s="501"/>
    </row>
    <row r="428">
      <c r="A428" s="569"/>
      <c r="B428" s="569"/>
      <c r="C428" s="569"/>
      <c r="D428" s="498"/>
      <c r="E428" s="499"/>
      <c r="F428" s="499"/>
      <c r="G428" s="766"/>
      <c r="H428" s="766"/>
      <c r="I428" s="766"/>
      <c r="J428" s="766"/>
      <c r="K428" s="683"/>
      <c r="L428" s="683"/>
      <c r="M428" s="683"/>
      <c r="N428" s="683"/>
      <c r="O428" s="683"/>
      <c r="P428" s="683"/>
      <c r="Q428" s="683"/>
      <c r="R428" s="683"/>
      <c r="S428" s="683"/>
      <c r="T428" s="501"/>
      <c r="U428" s="501"/>
      <c r="V428" s="501"/>
      <c r="W428" s="501"/>
      <c r="X428" s="501"/>
      <c r="Y428" s="501"/>
      <c r="Z428" s="501"/>
      <c r="AA428" s="501"/>
      <c r="AB428" s="501"/>
      <c r="AC428" s="501"/>
      <c r="AD428" s="501"/>
      <c r="AE428" s="501"/>
      <c r="AF428" s="501"/>
      <c r="AG428" s="501"/>
      <c r="AH428" s="501"/>
      <c r="AI428" s="501"/>
      <c r="AJ428" s="501"/>
      <c r="AK428" s="501"/>
      <c r="AL428" s="501"/>
      <c r="AM428" s="501"/>
      <c r="AN428" s="501"/>
      <c r="AO428" s="501"/>
      <c r="AP428" s="501"/>
      <c r="AQ428" s="501"/>
      <c r="AR428" s="501"/>
      <c r="AS428" s="501"/>
      <c r="AT428" s="501"/>
      <c r="AU428" s="501"/>
      <c r="AV428" s="501"/>
      <c r="AW428" s="501"/>
      <c r="AX428" s="501"/>
      <c r="AY428" s="501"/>
      <c r="AZ428" s="501"/>
      <c r="BA428" s="501"/>
      <c r="BB428" s="501"/>
      <c r="BC428" s="501"/>
      <c r="BD428" s="501"/>
      <c r="BE428" s="501"/>
      <c r="BF428" s="501"/>
      <c r="BG428" s="501"/>
      <c r="BH428" s="501"/>
      <c r="BI428" s="501"/>
      <c r="BJ428" s="501"/>
      <c r="BK428" s="501"/>
      <c r="BL428" s="501"/>
      <c r="BM428" s="501"/>
      <c r="BN428" s="501"/>
      <c r="BO428" s="501"/>
      <c r="BP428" s="501"/>
      <c r="BQ428" s="501"/>
      <c r="BR428" s="501"/>
      <c r="BS428" s="501"/>
      <c r="BT428" s="501"/>
      <c r="BU428" s="501"/>
      <c r="BV428" s="501"/>
      <c r="BW428" s="501"/>
      <c r="BX428" s="501"/>
      <c r="BY428" s="501"/>
      <c r="BZ428" s="501"/>
      <c r="CA428" s="501"/>
      <c r="CB428" s="501"/>
      <c r="CC428" s="501"/>
      <c r="CD428" s="501"/>
      <c r="CE428" s="501"/>
      <c r="CF428" s="501"/>
      <c r="CG428" s="501"/>
      <c r="CH428" s="501"/>
      <c r="CI428" s="501"/>
      <c r="CJ428" s="501"/>
      <c r="CK428" s="501"/>
      <c r="CL428" s="501"/>
      <c r="CM428" s="501"/>
      <c r="CN428" s="501"/>
      <c r="CO428" s="501"/>
      <c r="CP428" s="501"/>
      <c r="CQ428" s="501"/>
      <c r="CR428" s="501"/>
      <c r="CS428" s="501"/>
      <c r="CT428" s="501"/>
    </row>
    <row r="429">
      <c r="A429" s="569"/>
      <c r="B429" s="569"/>
      <c r="C429" s="569"/>
      <c r="D429" s="498"/>
      <c r="E429" s="499"/>
      <c r="F429" s="499"/>
      <c r="G429" s="766"/>
      <c r="H429" s="766"/>
      <c r="I429" s="766"/>
      <c r="J429" s="766"/>
      <c r="K429" s="683"/>
      <c r="L429" s="683"/>
      <c r="M429" s="683"/>
      <c r="N429" s="683"/>
      <c r="O429" s="683"/>
      <c r="P429" s="683"/>
      <c r="Q429" s="683"/>
      <c r="R429" s="683"/>
      <c r="S429" s="683"/>
      <c r="T429" s="501"/>
      <c r="U429" s="501"/>
      <c r="V429" s="501"/>
      <c r="W429" s="501"/>
      <c r="X429" s="501"/>
      <c r="Y429" s="501"/>
      <c r="Z429" s="501"/>
      <c r="AA429" s="501"/>
      <c r="AB429" s="501"/>
      <c r="AC429" s="501"/>
      <c r="AD429" s="501"/>
      <c r="AE429" s="501"/>
      <c r="AF429" s="501"/>
      <c r="AG429" s="501"/>
      <c r="AH429" s="501"/>
      <c r="AI429" s="501"/>
      <c r="AJ429" s="501"/>
      <c r="AK429" s="501"/>
      <c r="AL429" s="501"/>
      <c r="AM429" s="501"/>
      <c r="AN429" s="501"/>
      <c r="AO429" s="501"/>
      <c r="AP429" s="501"/>
      <c r="AQ429" s="501"/>
      <c r="AR429" s="501"/>
      <c r="AS429" s="501"/>
      <c r="AT429" s="501"/>
      <c r="AU429" s="501"/>
      <c r="AV429" s="501"/>
      <c r="AW429" s="501"/>
      <c r="AX429" s="501"/>
      <c r="AY429" s="501"/>
      <c r="AZ429" s="501"/>
      <c r="BA429" s="501"/>
      <c r="BB429" s="501"/>
      <c r="BC429" s="501"/>
      <c r="BD429" s="501"/>
      <c r="BE429" s="501"/>
      <c r="BF429" s="501"/>
      <c r="BG429" s="501"/>
      <c r="BH429" s="501"/>
      <c r="BI429" s="501"/>
      <c r="BJ429" s="501"/>
      <c r="BK429" s="501"/>
      <c r="BL429" s="501"/>
      <c r="BM429" s="501"/>
      <c r="BN429" s="501"/>
      <c r="BO429" s="501"/>
      <c r="BP429" s="501"/>
      <c r="BQ429" s="501"/>
      <c r="BR429" s="501"/>
      <c r="BS429" s="501"/>
      <c r="BT429" s="501"/>
      <c r="BU429" s="501"/>
      <c r="BV429" s="501"/>
      <c r="BW429" s="501"/>
      <c r="BX429" s="501"/>
      <c r="BY429" s="501"/>
      <c r="BZ429" s="501"/>
      <c r="CA429" s="501"/>
      <c r="CB429" s="501"/>
      <c r="CC429" s="501"/>
      <c r="CD429" s="501"/>
      <c r="CE429" s="501"/>
      <c r="CF429" s="501"/>
      <c r="CG429" s="501"/>
      <c r="CH429" s="501"/>
      <c r="CI429" s="501"/>
      <c r="CJ429" s="501"/>
      <c r="CK429" s="501"/>
      <c r="CL429" s="501"/>
      <c r="CM429" s="501"/>
      <c r="CN429" s="501"/>
      <c r="CO429" s="501"/>
      <c r="CP429" s="501"/>
      <c r="CQ429" s="501"/>
      <c r="CR429" s="501"/>
      <c r="CS429" s="501"/>
      <c r="CT429" s="501"/>
    </row>
    <row r="430">
      <c r="A430" s="569"/>
      <c r="B430" s="569"/>
      <c r="C430" s="569"/>
      <c r="D430" s="498"/>
      <c r="E430" s="499"/>
      <c r="F430" s="499"/>
      <c r="G430" s="766"/>
      <c r="H430" s="766"/>
      <c r="I430" s="766"/>
      <c r="J430" s="766"/>
      <c r="K430" s="683"/>
      <c r="L430" s="683"/>
      <c r="M430" s="683"/>
      <c r="N430" s="683"/>
      <c r="O430" s="683"/>
      <c r="P430" s="683"/>
      <c r="Q430" s="683"/>
      <c r="R430" s="683"/>
      <c r="S430" s="683"/>
      <c r="T430" s="501"/>
      <c r="U430" s="501"/>
      <c r="V430" s="501"/>
      <c r="W430" s="501"/>
      <c r="X430" s="501"/>
      <c r="Y430" s="501"/>
      <c r="Z430" s="501"/>
      <c r="AA430" s="501"/>
      <c r="AB430" s="501"/>
      <c r="AC430" s="501"/>
      <c r="AD430" s="501"/>
      <c r="AE430" s="501"/>
      <c r="AF430" s="501"/>
      <c r="AG430" s="501"/>
      <c r="AH430" s="501"/>
      <c r="AI430" s="501"/>
      <c r="AJ430" s="501"/>
      <c r="AK430" s="501"/>
      <c r="AL430" s="501"/>
      <c r="AM430" s="501"/>
      <c r="AN430" s="501"/>
      <c r="AO430" s="501"/>
      <c r="AP430" s="501"/>
      <c r="AQ430" s="501"/>
      <c r="AR430" s="501"/>
      <c r="AS430" s="501"/>
      <c r="AT430" s="501"/>
      <c r="AU430" s="501"/>
      <c r="AV430" s="501"/>
      <c r="AW430" s="501"/>
      <c r="AX430" s="501"/>
      <c r="AY430" s="501"/>
      <c r="AZ430" s="501"/>
      <c r="BA430" s="501"/>
      <c r="BB430" s="501"/>
      <c r="BC430" s="501"/>
      <c r="BD430" s="501"/>
      <c r="BE430" s="501"/>
      <c r="BF430" s="501"/>
      <c r="BG430" s="501"/>
      <c r="BH430" s="501"/>
      <c r="BI430" s="501"/>
      <c r="BJ430" s="501"/>
      <c r="BK430" s="501"/>
      <c r="BL430" s="501"/>
      <c r="BM430" s="501"/>
      <c r="BN430" s="501"/>
      <c r="BO430" s="501"/>
      <c r="BP430" s="501"/>
      <c r="BQ430" s="501"/>
      <c r="BR430" s="501"/>
      <c r="BS430" s="501"/>
      <c r="BT430" s="501"/>
      <c r="BU430" s="501"/>
      <c r="BV430" s="501"/>
      <c r="BW430" s="501"/>
      <c r="BX430" s="501"/>
      <c r="BY430" s="501"/>
      <c r="BZ430" s="501"/>
      <c r="CA430" s="501"/>
      <c r="CB430" s="501"/>
      <c r="CC430" s="501"/>
      <c r="CD430" s="501"/>
      <c r="CE430" s="501"/>
      <c r="CF430" s="501"/>
      <c r="CG430" s="501"/>
      <c r="CH430" s="501"/>
      <c r="CI430" s="501"/>
      <c r="CJ430" s="501"/>
      <c r="CK430" s="501"/>
      <c r="CL430" s="501"/>
      <c r="CM430" s="501"/>
      <c r="CN430" s="501"/>
      <c r="CO430" s="501"/>
      <c r="CP430" s="501"/>
      <c r="CQ430" s="501"/>
      <c r="CR430" s="501"/>
      <c r="CS430" s="501"/>
      <c r="CT430" s="501"/>
    </row>
    <row r="431">
      <c r="A431" s="569"/>
      <c r="B431" s="569"/>
      <c r="C431" s="569"/>
      <c r="D431" s="498"/>
      <c r="E431" s="499"/>
      <c r="F431" s="499"/>
      <c r="G431" s="766"/>
      <c r="H431" s="766"/>
      <c r="I431" s="766"/>
      <c r="J431" s="766"/>
      <c r="K431" s="683"/>
      <c r="L431" s="683"/>
      <c r="M431" s="683"/>
      <c r="N431" s="683"/>
      <c r="O431" s="683"/>
      <c r="P431" s="683"/>
      <c r="Q431" s="683"/>
      <c r="R431" s="683"/>
      <c r="S431" s="683"/>
      <c r="T431" s="501"/>
      <c r="U431" s="501"/>
      <c r="V431" s="501"/>
      <c r="W431" s="501"/>
      <c r="X431" s="501"/>
      <c r="Y431" s="501"/>
      <c r="Z431" s="501"/>
      <c r="AA431" s="501"/>
      <c r="AB431" s="501"/>
      <c r="AC431" s="501"/>
      <c r="AD431" s="501"/>
      <c r="AE431" s="501"/>
      <c r="AF431" s="501"/>
      <c r="AG431" s="501"/>
      <c r="AH431" s="501"/>
      <c r="AI431" s="501"/>
      <c r="AJ431" s="501"/>
      <c r="AK431" s="501"/>
      <c r="AL431" s="501"/>
      <c r="AM431" s="501"/>
      <c r="AN431" s="501"/>
      <c r="AO431" s="501"/>
      <c r="AP431" s="501"/>
      <c r="AQ431" s="501"/>
      <c r="AR431" s="501"/>
      <c r="AS431" s="501"/>
      <c r="AT431" s="501"/>
      <c r="AU431" s="501"/>
      <c r="AV431" s="501"/>
      <c r="AW431" s="501"/>
      <c r="AX431" s="501"/>
      <c r="AY431" s="501"/>
      <c r="AZ431" s="501"/>
      <c r="BA431" s="501"/>
      <c r="BB431" s="501"/>
      <c r="BC431" s="501"/>
      <c r="BD431" s="501"/>
      <c r="BE431" s="501"/>
      <c r="BF431" s="501"/>
      <c r="BG431" s="501"/>
      <c r="BH431" s="501"/>
      <c r="BI431" s="501"/>
      <c r="BJ431" s="501"/>
      <c r="BK431" s="501"/>
      <c r="BL431" s="501"/>
      <c r="BM431" s="501"/>
      <c r="BN431" s="501"/>
      <c r="BO431" s="501"/>
      <c r="BP431" s="501"/>
      <c r="BQ431" s="501"/>
      <c r="BR431" s="501"/>
      <c r="BS431" s="501"/>
      <c r="BT431" s="501"/>
      <c r="BU431" s="501"/>
      <c r="BV431" s="501"/>
      <c r="BW431" s="501"/>
      <c r="BX431" s="501"/>
      <c r="BY431" s="501"/>
      <c r="BZ431" s="501"/>
      <c r="CA431" s="501"/>
      <c r="CB431" s="501"/>
      <c r="CC431" s="501"/>
      <c r="CD431" s="501"/>
      <c r="CE431" s="501"/>
      <c r="CF431" s="501"/>
      <c r="CG431" s="501"/>
      <c r="CH431" s="501"/>
      <c r="CI431" s="501"/>
      <c r="CJ431" s="501"/>
      <c r="CK431" s="501"/>
      <c r="CL431" s="501"/>
      <c r="CM431" s="501"/>
      <c r="CN431" s="501"/>
      <c r="CO431" s="501"/>
      <c r="CP431" s="501"/>
      <c r="CQ431" s="501"/>
      <c r="CR431" s="501"/>
      <c r="CS431" s="501"/>
      <c r="CT431" s="501"/>
    </row>
    <row r="432">
      <c r="A432" s="569"/>
      <c r="B432" s="569"/>
      <c r="C432" s="569"/>
      <c r="D432" s="498"/>
      <c r="E432" s="499"/>
      <c r="F432" s="499"/>
      <c r="G432" s="766"/>
      <c r="H432" s="766"/>
      <c r="I432" s="766"/>
      <c r="J432" s="766"/>
      <c r="K432" s="683"/>
      <c r="L432" s="683"/>
      <c r="M432" s="683"/>
      <c r="N432" s="683"/>
      <c r="O432" s="683"/>
      <c r="P432" s="683"/>
      <c r="Q432" s="683"/>
      <c r="R432" s="683"/>
      <c r="S432" s="683"/>
      <c r="T432" s="501"/>
      <c r="U432" s="501"/>
      <c r="V432" s="501"/>
      <c r="W432" s="501"/>
      <c r="X432" s="501"/>
      <c r="Y432" s="501"/>
      <c r="Z432" s="501"/>
      <c r="AA432" s="501"/>
      <c r="AB432" s="501"/>
      <c r="AC432" s="501"/>
      <c r="AD432" s="501"/>
      <c r="AE432" s="501"/>
      <c r="AF432" s="501"/>
      <c r="AG432" s="501"/>
      <c r="AH432" s="501"/>
      <c r="AI432" s="501"/>
      <c r="AJ432" s="501"/>
      <c r="AK432" s="501"/>
      <c r="AL432" s="501"/>
      <c r="AM432" s="501"/>
      <c r="AN432" s="501"/>
      <c r="AO432" s="501"/>
      <c r="AP432" s="501"/>
      <c r="AQ432" s="501"/>
      <c r="AR432" s="501"/>
      <c r="AS432" s="501"/>
      <c r="AT432" s="501"/>
      <c r="AU432" s="501"/>
      <c r="AV432" s="501"/>
      <c r="AW432" s="501"/>
      <c r="AX432" s="501"/>
      <c r="AY432" s="501"/>
      <c r="AZ432" s="501"/>
      <c r="BA432" s="501"/>
      <c r="BB432" s="501"/>
      <c r="BC432" s="501"/>
      <c r="BD432" s="501"/>
      <c r="BE432" s="501"/>
      <c r="BF432" s="501"/>
      <c r="BG432" s="501"/>
      <c r="BH432" s="501"/>
      <c r="BI432" s="501"/>
      <c r="BJ432" s="501"/>
      <c r="BK432" s="501"/>
      <c r="BL432" s="501"/>
      <c r="BM432" s="501"/>
      <c r="BN432" s="501"/>
      <c r="BO432" s="501"/>
      <c r="BP432" s="501"/>
      <c r="BQ432" s="501"/>
      <c r="BR432" s="501"/>
      <c r="BS432" s="501"/>
      <c r="BT432" s="501"/>
      <c r="BU432" s="501"/>
      <c r="BV432" s="501"/>
      <c r="BW432" s="501"/>
      <c r="BX432" s="501"/>
      <c r="BY432" s="501"/>
      <c r="BZ432" s="501"/>
      <c r="CA432" s="501"/>
      <c r="CB432" s="501"/>
      <c r="CC432" s="501"/>
      <c r="CD432" s="501"/>
      <c r="CE432" s="501"/>
      <c r="CF432" s="501"/>
      <c r="CG432" s="501"/>
      <c r="CH432" s="501"/>
      <c r="CI432" s="501"/>
      <c r="CJ432" s="501"/>
      <c r="CK432" s="501"/>
      <c r="CL432" s="501"/>
      <c r="CM432" s="501"/>
      <c r="CN432" s="501"/>
      <c r="CO432" s="501"/>
      <c r="CP432" s="501"/>
      <c r="CQ432" s="501"/>
      <c r="CR432" s="501"/>
      <c r="CS432" s="501"/>
      <c r="CT432" s="501"/>
    </row>
    <row r="433">
      <c r="A433" s="569"/>
      <c r="B433" s="569"/>
      <c r="C433" s="569"/>
      <c r="D433" s="498"/>
      <c r="E433" s="499"/>
      <c r="F433" s="499"/>
      <c r="G433" s="766"/>
      <c r="H433" s="766"/>
      <c r="I433" s="766"/>
      <c r="J433" s="766"/>
      <c r="K433" s="683"/>
      <c r="L433" s="683"/>
      <c r="M433" s="683"/>
      <c r="N433" s="683"/>
      <c r="O433" s="683"/>
      <c r="P433" s="683"/>
      <c r="Q433" s="683"/>
      <c r="R433" s="683"/>
      <c r="S433" s="683"/>
      <c r="T433" s="501"/>
      <c r="U433" s="501"/>
      <c r="V433" s="501"/>
      <c r="W433" s="501"/>
      <c r="X433" s="501"/>
      <c r="Y433" s="501"/>
      <c r="Z433" s="501"/>
      <c r="AA433" s="501"/>
      <c r="AB433" s="501"/>
      <c r="AC433" s="501"/>
      <c r="AD433" s="501"/>
      <c r="AE433" s="501"/>
      <c r="AF433" s="501"/>
      <c r="AG433" s="501"/>
      <c r="AH433" s="501"/>
      <c r="AI433" s="501"/>
      <c r="AJ433" s="501"/>
      <c r="AK433" s="501"/>
      <c r="AL433" s="501"/>
      <c r="AM433" s="501"/>
      <c r="AN433" s="501"/>
      <c r="AO433" s="501"/>
      <c r="AP433" s="501"/>
      <c r="AQ433" s="501"/>
      <c r="AR433" s="501"/>
      <c r="AS433" s="501"/>
      <c r="AT433" s="501"/>
      <c r="AU433" s="501"/>
      <c r="AV433" s="501"/>
      <c r="AW433" s="501"/>
      <c r="AX433" s="501"/>
      <c r="AY433" s="501"/>
      <c r="AZ433" s="501"/>
      <c r="BA433" s="501"/>
      <c r="BB433" s="501"/>
      <c r="BC433" s="501"/>
      <c r="BD433" s="501"/>
      <c r="BE433" s="501"/>
      <c r="BF433" s="501"/>
      <c r="BG433" s="501"/>
      <c r="BH433" s="501"/>
      <c r="BI433" s="501"/>
      <c r="BJ433" s="501"/>
      <c r="BK433" s="501"/>
      <c r="BL433" s="501"/>
      <c r="BM433" s="501"/>
      <c r="BN433" s="501"/>
      <c r="BO433" s="501"/>
      <c r="BP433" s="501"/>
      <c r="BQ433" s="501"/>
      <c r="BR433" s="501"/>
      <c r="BS433" s="501"/>
      <c r="BT433" s="501"/>
      <c r="BU433" s="501"/>
      <c r="BV433" s="501"/>
      <c r="BW433" s="501"/>
      <c r="BX433" s="501"/>
      <c r="BY433" s="501"/>
      <c r="BZ433" s="501"/>
      <c r="CA433" s="501"/>
      <c r="CB433" s="501"/>
      <c r="CC433" s="501"/>
      <c r="CD433" s="501"/>
      <c r="CE433" s="501"/>
      <c r="CF433" s="501"/>
      <c r="CG433" s="501"/>
      <c r="CH433" s="501"/>
      <c r="CI433" s="501"/>
      <c r="CJ433" s="501"/>
      <c r="CK433" s="501"/>
      <c r="CL433" s="501"/>
      <c r="CM433" s="501"/>
      <c r="CN433" s="501"/>
      <c r="CO433" s="501"/>
      <c r="CP433" s="501"/>
      <c r="CQ433" s="501"/>
      <c r="CR433" s="501"/>
      <c r="CS433" s="501"/>
      <c r="CT433" s="501"/>
    </row>
    <row r="434">
      <c r="A434" s="569"/>
      <c r="B434" s="569"/>
      <c r="C434" s="569"/>
      <c r="D434" s="498"/>
      <c r="E434" s="499"/>
      <c r="F434" s="499"/>
      <c r="G434" s="766"/>
      <c r="H434" s="766"/>
      <c r="I434" s="766"/>
      <c r="J434" s="766"/>
      <c r="K434" s="683"/>
      <c r="L434" s="683"/>
      <c r="M434" s="683"/>
      <c r="N434" s="683"/>
      <c r="O434" s="683"/>
      <c r="P434" s="683"/>
      <c r="Q434" s="683"/>
      <c r="R434" s="683"/>
      <c r="S434" s="683"/>
      <c r="T434" s="501"/>
      <c r="U434" s="501"/>
      <c r="V434" s="501"/>
      <c r="W434" s="501"/>
      <c r="X434" s="501"/>
      <c r="Y434" s="501"/>
      <c r="Z434" s="501"/>
      <c r="AA434" s="501"/>
      <c r="AB434" s="501"/>
      <c r="AC434" s="501"/>
      <c r="AD434" s="501"/>
      <c r="AE434" s="501"/>
      <c r="AF434" s="501"/>
      <c r="AG434" s="501"/>
      <c r="AH434" s="501"/>
      <c r="AI434" s="501"/>
      <c r="AJ434" s="501"/>
      <c r="AK434" s="501"/>
      <c r="AL434" s="501"/>
      <c r="AM434" s="501"/>
      <c r="AN434" s="501"/>
      <c r="AO434" s="501"/>
      <c r="AP434" s="501"/>
      <c r="AQ434" s="501"/>
      <c r="AR434" s="501"/>
      <c r="AS434" s="501"/>
      <c r="AT434" s="501"/>
      <c r="AU434" s="501"/>
      <c r="AV434" s="501"/>
      <c r="AW434" s="501"/>
      <c r="AX434" s="501"/>
      <c r="AY434" s="501"/>
      <c r="AZ434" s="501"/>
      <c r="BA434" s="501"/>
      <c r="BB434" s="501"/>
      <c r="BC434" s="501"/>
      <c r="BD434" s="501"/>
      <c r="BE434" s="501"/>
      <c r="BF434" s="501"/>
      <c r="BG434" s="501"/>
      <c r="BH434" s="501"/>
      <c r="BI434" s="501"/>
      <c r="BJ434" s="501"/>
      <c r="BK434" s="501"/>
      <c r="BL434" s="501"/>
      <c r="BM434" s="501"/>
      <c r="BN434" s="501"/>
      <c r="BO434" s="501"/>
      <c r="BP434" s="501"/>
      <c r="BQ434" s="501"/>
      <c r="BR434" s="501"/>
      <c r="BS434" s="501"/>
      <c r="BT434" s="501"/>
      <c r="BU434" s="501"/>
      <c r="BV434" s="501"/>
      <c r="BW434" s="501"/>
      <c r="BX434" s="501"/>
      <c r="BY434" s="501"/>
      <c r="BZ434" s="501"/>
      <c r="CA434" s="501"/>
      <c r="CB434" s="501"/>
      <c r="CC434" s="501"/>
      <c r="CD434" s="501"/>
      <c r="CE434" s="501"/>
      <c r="CF434" s="501"/>
      <c r="CG434" s="501"/>
      <c r="CH434" s="501"/>
      <c r="CI434" s="501"/>
      <c r="CJ434" s="501"/>
      <c r="CK434" s="501"/>
      <c r="CL434" s="501"/>
      <c r="CM434" s="501"/>
      <c r="CN434" s="501"/>
      <c r="CO434" s="501"/>
      <c r="CP434" s="501"/>
      <c r="CQ434" s="501"/>
      <c r="CR434" s="501"/>
      <c r="CS434" s="501"/>
      <c r="CT434" s="501"/>
    </row>
    <row r="435">
      <c r="A435" s="569"/>
      <c r="B435" s="569"/>
      <c r="C435" s="569"/>
      <c r="D435" s="498"/>
      <c r="E435" s="499"/>
      <c r="F435" s="499"/>
      <c r="G435" s="766"/>
      <c r="H435" s="766"/>
      <c r="I435" s="766"/>
      <c r="J435" s="766"/>
      <c r="K435" s="683"/>
      <c r="L435" s="683"/>
      <c r="M435" s="683"/>
      <c r="N435" s="683"/>
      <c r="O435" s="683"/>
      <c r="P435" s="683"/>
      <c r="Q435" s="683"/>
      <c r="R435" s="683"/>
      <c r="S435" s="683"/>
      <c r="T435" s="501"/>
      <c r="U435" s="501"/>
      <c r="V435" s="501"/>
      <c r="W435" s="501"/>
      <c r="X435" s="501"/>
      <c r="Y435" s="501"/>
      <c r="Z435" s="501"/>
      <c r="AA435" s="501"/>
      <c r="AB435" s="501"/>
      <c r="AC435" s="501"/>
      <c r="AD435" s="501"/>
      <c r="AE435" s="501"/>
      <c r="AF435" s="501"/>
      <c r="AG435" s="501"/>
      <c r="AH435" s="501"/>
      <c r="AI435" s="501"/>
      <c r="AJ435" s="501"/>
      <c r="AK435" s="501"/>
      <c r="AL435" s="501"/>
      <c r="AM435" s="501"/>
      <c r="AN435" s="501"/>
      <c r="AO435" s="501"/>
      <c r="AP435" s="501"/>
      <c r="AQ435" s="501"/>
      <c r="AR435" s="501"/>
      <c r="AS435" s="501"/>
      <c r="AT435" s="501"/>
      <c r="AU435" s="501"/>
      <c r="AV435" s="501"/>
      <c r="AW435" s="501"/>
      <c r="AX435" s="501"/>
      <c r="AY435" s="501"/>
      <c r="AZ435" s="501"/>
      <c r="BA435" s="501"/>
      <c r="BB435" s="501"/>
      <c r="BC435" s="501"/>
      <c r="BD435" s="501"/>
      <c r="BE435" s="501"/>
      <c r="BF435" s="501"/>
      <c r="BG435" s="501"/>
      <c r="BH435" s="501"/>
      <c r="BI435" s="501"/>
      <c r="BJ435" s="501"/>
      <c r="BK435" s="501"/>
      <c r="BL435" s="501"/>
      <c r="BM435" s="501"/>
      <c r="BN435" s="501"/>
      <c r="BO435" s="501"/>
      <c r="BP435" s="501"/>
      <c r="BQ435" s="501"/>
      <c r="BR435" s="501"/>
      <c r="BS435" s="501"/>
      <c r="BT435" s="501"/>
      <c r="BU435" s="501"/>
      <c r="BV435" s="501"/>
      <c r="BW435" s="501"/>
      <c r="BX435" s="501"/>
      <c r="BY435" s="501"/>
      <c r="BZ435" s="501"/>
      <c r="CA435" s="501"/>
      <c r="CB435" s="501"/>
      <c r="CC435" s="501"/>
      <c r="CD435" s="501"/>
      <c r="CE435" s="501"/>
      <c r="CF435" s="501"/>
      <c r="CG435" s="501"/>
      <c r="CH435" s="501"/>
      <c r="CI435" s="501"/>
      <c r="CJ435" s="501"/>
      <c r="CK435" s="501"/>
      <c r="CL435" s="501"/>
      <c r="CM435" s="501"/>
      <c r="CN435" s="501"/>
      <c r="CO435" s="501"/>
      <c r="CP435" s="501"/>
      <c r="CQ435" s="501"/>
      <c r="CR435" s="501"/>
      <c r="CS435" s="501"/>
      <c r="CT435" s="501"/>
    </row>
    <row r="436">
      <c r="A436" s="569"/>
      <c r="B436" s="569"/>
      <c r="C436" s="569"/>
      <c r="D436" s="498"/>
      <c r="E436" s="499"/>
      <c r="F436" s="499"/>
      <c r="G436" s="766"/>
      <c r="H436" s="766"/>
      <c r="I436" s="766"/>
      <c r="J436" s="766"/>
      <c r="K436" s="683"/>
      <c r="L436" s="683"/>
      <c r="M436" s="683"/>
      <c r="N436" s="683"/>
      <c r="O436" s="683"/>
      <c r="P436" s="683"/>
      <c r="Q436" s="683"/>
      <c r="R436" s="683"/>
      <c r="S436" s="683"/>
      <c r="T436" s="501"/>
      <c r="U436" s="501"/>
      <c r="V436" s="501"/>
      <c r="W436" s="501"/>
      <c r="X436" s="501"/>
      <c r="Y436" s="501"/>
      <c r="Z436" s="501"/>
      <c r="AA436" s="501"/>
      <c r="AB436" s="501"/>
      <c r="AC436" s="501"/>
      <c r="AD436" s="501"/>
      <c r="AE436" s="501"/>
      <c r="AF436" s="501"/>
      <c r="AG436" s="501"/>
      <c r="AH436" s="501"/>
      <c r="AI436" s="501"/>
      <c r="AJ436" s="501"/>
      <c r="AK436" s="501"/>
      <c r="AL436" s="501"/>
      <c r="AM436" s="501"/>
      <c r="AN436" s="501"/>
      <c r="AO436" s="501"/>
      <c r="AP436" s="501"/>
      <c r="AQ436" s="501"/>
      <c r="AR436" s="501"/>
      <c r="AS436" s="501"/>
      <c r="AT436" s="501"/>
      <c r="AU436" s="501"/>
      <c r="AV436" s="501"/>
      <c r="AW436" s="501"/>
      <c r="AX436" s="501"/>
      <c r="AY436" s="501"/>
      <c r="AZ436" s="501"/>
      <c r="BA436" s="501"/>
      <c r="BB436" s="501"/>
      <c r="BC436" s="501"/>
      <c r="BD436" s="501"/>
      <c r="BE436" s="501"/>
      <c r="BF436" s="501"/>
      <c r="BG436" s="501"/>
      <c r="BH436" s="501"/>
      <c r="BI436" s="501"/>
      <c r="BJ436" s="501"/>
      <c r="BK436" s="501"/>
      <c r="BL436" s="501"/>
      <c r="BM436" s="501"/>
      <c r="BN436" s="501"/>
      <c r="BO436" s="501"/>
      <c r="BP436" s="501"/>
      <c r="BQ436" s="501"/>
      <c r="BR436" s="501"/>
      <c r="BS436" s="501"/>
      <c r="BT436" s="501"/>
      <c r="BU436" s="501"/>
      <c r="BV436" s="501"/>
      <c r="BW436" s="501"/>
      <c r="BX436" s="501"/>
      <c r="BY436" s="501"/>
      <c r="BZ436" s="501"/>
      <c r="CA436" s="501"/>
      <c r="CB436" s="501"/>
      <c r="CC436" s="501"/>
      <c r="CD436" s="501"/>
      <c r="CE436" s="501"/>
      <c r="CF436" s="501"/>
      <c r="CG436" s="501"/>
      <c r="CH436" s="501"/>
      <c r="CI436" s="501"/>
      <c r="CJ436" s="501"/>
      <c r="CK436" s="501"/>
      <c r="CL436" s="501"/>
      <c r="CM436" s="501"/>
      <c r="CN436" s="501"/>
      <c r="CO436" s="501"/>
      <c r="CP436" s="501"/>
      <c r="CQ436" s="501"/>
      <c r="CR436" s="501"/>
      <c r="CS436" s="501"/>
      <c r="CT436" s="501"/>
    </row>
    <row r="437">
      <c r="A437" s="569"/>
      <c r="B437" s="569"/>
      <c r="C437" s="569"/>
      <c r="D437" s="498"/>
      <c r="E437" s="499"/>
      <c r="F437" s="499"/>
      <c r="G437" s="766"/>
      <c r="H437" s="766"/>
      <c r="I437" s="766"/>
      <c r="J437" s="766"/>
      <c r="K437" s="683"/>
      <c r="L437" s="683"/>
      <c r="M437" s="683"/>
      <c r="N437" s="683"/>
      <c r="O437" s="683"/>
      <c r="P437" s="683"/>
      <c r="Q437" s="683"/>
      <c r="R437" s="683"/>
      <c r="S437" s="683"/>
      <c r="T437" s="501"/>
      <c r="U437" s="501"/>
      <c r="V437" s="501"/>
      <c r="W437" s="501"/>
      <c r="X437" s="501"/>
      <c r="Y437" s="501"/>
      <c r="Z437" s="501"/>
      <c r="AA437" s="501"/>
      <c r="AB437" s="501"/>
      <c r="AC437" s="501"/>
      <c r="AD437" s="501"/>
      <c r="AE437" s="501"/>
      <c r="AF437" s="501"/>
      <c r="AG437" s="501"/>
      <c r="AH437" s="501"/>
      <c r="AI437" s="501"/>
      <c r="AJ437" s="501"/>
      <c r="AK437" s="501"/>
      <c r="AL437" s="501"/>
      <c r="AM437" s="501"/>
      <c r="AN437" s="501"/>
      <c r="AO437" s="501"/>
      <c r="AP437" s="501"/>
      <c r="AQ437" s="501"/>
      <c r="AR437" s="501"/>
      <c r="AS437" s="501"/>
      <c r="AT437" s="501"/>
      <c r="AU437" s="501"/>
      <c r="AV437" s="501"/>
      <c r="AW437" s="501"/>
      <c r="AX437" s="501"/>
      <c r="AY437" s="501"/>
      <c r="AZ437" s="501"/>
      <c r="BA437" s="501"/>
      <c r="BB437" s="501"/>
      <c r="BC437" s="501"/>
      <c r="BD437" s="501"/>
      <c r="BE437" s="501"/>
      <c r="BF437" s="501"/>
      <c r="BG437" s="501"/>
      <c r="BH437" s="501"/>
      <c r="BI437" s="501"/>
      <c r="BJ437" s="501"/>
      <c r="BK437" s="501"/>
      <c r="BL437" s="501"/>
      <c r="BM437" s="501"/>
      <c r="BN437" s="501"/>
      <c r="BO437" s="501"/>
      <c r="BP437" s="501"/>
      <c r="BQ437" s="501"/>
      <c r="BR437" s="501"/>
      <c r="BS437" s="501"/>
      <c r="BT437" s="501"/>
      <c r="BU437" s="501"/>
      <c r="BV437" s="501"/>
      <c r="BW437" s="501"/>
      <c r="BX437" s="501"/>
      <c r="BY437" s="501"/>
      <c r="BZ437" s="501"/>
      <c r="CA437" s="501"/>
      <c r="CB437" s="501"/>
      <c r="CC437" s="501"/>
      <c r="CD437" s="501"/>
      <c r="CE437" s="501"/>
      <c r="CF437" s="501"/>
      <c r="CG437" s="501"/>
      <c r="CH437" s="501"/>
      <c r="CI437" s="501"/>
      <c r="CJ437" s="501"/>
      <c r="CK437" s="501"/>
      <c r="CL437" s="501"/>
      <c r="CM437" s="501"/>
      <c r="CN437" s="501"/>
      <c r="CO437" s="501"/>
      <c r="CP437" s="501"/>
      <c r="CQ437" s="501"/>
      <c r="CR437" s="501"/>
      <c r="CS437" s="501"/>
      <c r="CT437" s="501"/>
    </row>
    <row r="438">
      <c r="A438" s="569"/>
      <c r="B438" s="569"/>
      <c r="C438" s="569"/>
      <c r="D438" s="498"/>
      <c r="E438" s="499"/>
      <c r="F438" s="499"/>
      <c r="G438" s="766"/>
      <c r="H438" s="766"/>
      <c r="I438" s="766"/>
      <c r="J438" s="766"/>
      <c r="K438" s="683"/>
      <c r="L438" s="683"/>
      <c r="M438" s="683"/>
      <c r="N438" s="683"/>
      <c r="O438" s="683"/>
      <c r="P438" s="683"/>
      <c r="Q438" s="683"/>
      <c r="R438" s="683"/>
      <c r="S438" s="683"/>
      <c r="T438" s="501"/>
      <c r="U438" s="501"/>
      <c r="V438" s="501"/>
      <c r="W438" s="501"/>
      <c r="X438" s="501"/>
      <c r="Y438" s="501"/>
      <c r="Z438" s="501"/>
      <c r="AA438" s="501"/>
      <c r="AB438" s="501"/>
      <c r="AC438" s="501"/>
      <c r="AD438" s="501"/>
      <c r="AE438" s="501"/>
      <c r="AF438" s="501"/>
      <c r="AG438" s="501"/>
      <c r="AH438" s="501"/>
      <c r="AI438" s="501"/>
      <c r="AJ438" s="501"/>
      <c r="AK438" s="501"/>
      <c r="AL438" s="501"/>
      <c r="AM438" s="501"/>
      <c r="AN438" s="501"/>
      <c r="AO438" s="501"/>
      <c r="AP438" s="501"/>
      <c r="AQ438" s="501"/>
      <c r="AR438" s="501"/>
      <c r="AS438" s="501"/>
      <c r="AT438" s="501"/>
      <c r="AU438" s="501"/>
      <c r="AV438" s="501"/>
      <c r="AW438" s="501"/>
      <c r="AX438" s="501"/>
      <c r="AY438" s="501"/>
      <c r="AZ438" s="501"/>
      <c r="BA438" s="501"/>
      <c r="BB438" s="501"/>
      <c r="BC438" s="501"/>
      <c r="BD438" s="501"/>
      <c r="BE438" s="501"/>
      <c r="BF438" s="501"/>
      <c r="BG438" s="501"/>
      <c r="BH438" s="501"/>
      <c r="BI438" s="501"/>
      <c r="BJ438" s="501"/>
      <c r="BK438" s="501"/>
      <c r="BL438" s="501"/>
      <c r="BM438" s="501"/>
      <c r="BN438" s="501"/>
      <c r="BO438" s="501"/>
      <c r="BP438" s="501"/>
      <c r="BQ438" s="501"/>
      <c r="BR438" s="501"/>
      <c r="BS438" s="501"/>
      <c r="BT438" s="501"/>
      <c r="BU438" s="501"/>
      <c r="BV438" s="501"/>
      <c r="BW438" s="501"/>
      <c r="BX438" s="501"/>
      <c r="BY438" s="501"/>
      <c r="BZ438" s="501"/>
      <c r="CA438" s="501"/>
      <c r="CB438" s="501"/>
      <c r="CC438" s="501"/>
      <c r="CD438" s="501"/>
      <c r="CE438" s="501"/>
      <c r="CF438" s="501"/>
      <c r="CG438" s="501"/>
      <c r="CH438" s="501"/>
      <c r="CI438" s="501"/>
      <c r="CJ438" s="501"/>
      <c r="CK438" s="501"/>
      <c r="CL438" s="501"/>
      <c r="CM438" s="501"/>
      <c r="CN438" s="501"/>
      <c r="CO438" s="501"/>
      <c r="CP438" s="501"/>
      <c r="CQ438" s="501"/>
      <c r="CR438" s="501"/>
      <c r="CS438" s="501"/>
      <c r="CT438" s="501"/>
    </row>
    <row r="439">
      <c r="A439" s="569"/>
      <c r="B439" s="569"/>
      <c r="C439" s="569"/>
      <c r="D439" s="498"/>
      <c r="E439" s="499"/>
      <c r="F439" s="499"/>
      <c r="G439" s="766"/>
      <c r="H439" s="766"/>
      <c r="I439" s="766"/>
      <c r="J439" s="766"/>
      <c r="K439" s="683"/>
      <c r="L439" s="683"/>
      <c r="M439" s="683"/>
      <c r="N439" s="683"/>
      <c r="O439" s="683"/>
      <c r="P439" s="683"/>
      <c r="Q439" s="683"/>
      <c r="R439" s="683"/>
      <c r="S439" s="683"/>
      <c r="T439" s="501"/>
      <c r="U439" s="501"/>
      <c r="V439" s="501"/>
      <c r="W439" s="501"/>
      <c r="X439" s="501"/>
      <c r="Y439" s="501"/>
      <c r="Z439" s="501"/>
      <c r="AA439" s="501"/>
      <c r="AB439" s="501"/>
      <c r="AC439" s="501"/>
      <c r="AD439" s="501"/>
      <c r="AE439" s="501"/>
      <c r="AF439" s="501"/>
      <c r="AG439" s="501"/>
      <c r="AH439" s="501"/>
      <c r="AI439" s="501"/>
      <c r="AJ439" s="501"/>
      <c r="AK439" s="501"/>
      <c r="AL439" s="501"/>
      <c r="AM439" s="501"/>
      <c r="AN439" s="501"/>
      <c r="AO439" s="501"/>
      <c r="AP439" s="501"/>
      <c r="AQ439" s="501"/>
      <c r="AR439" s="501"/>
      <c r="AS439" s="501"/>
      <c r="AT439" s="501"/>
      <c r="AU439" s="501"/>
      <c r="AV439" s="501"/>
      <c r="AW439" s="501"/>
      <c r="AX439" s="501"/>
      <c r="AY439" s="501"/>
      <c r="AZ439" s="501"/>
      <c r="BA439" s="501"/>
      <c r="BB439" s="501"/>
      <c r="BC439" s="501"/>
      <c r="BD439" s="501"/>
      <c r="BE439" s="501"/>
      <c r="BF439" s="501"/>
      <c r="BG439" s="501"/>
      <c r="BH439" s="501"/>
      <c r="BI439" s="501"/>
      <c r="BJ439" s="501"/>
      <c r="BK439" s="501"/>
      <c r="BL439" s="501"/>
      <c r="BM439" s="501"/>
      <c r="BN439" s="501"/>
      <c r="BO439" s="501"/>
      <c r="BP439" s="501"/>
      <c r="BQ439" s="501"/>
      <c r="BR439" s="501"/>
      <c r="BS439" s="501"/>
      <c r="BT439" s="501"/>
      <c r="BU439" s="501"/>
      <c r="BV439" s="501"/>
      <c r="BW439" s="501"/>
      <c r="BX439" s="501"/>
      <c r="BY439" s="501"/>
      <c r="BZ439" s="501"/>
      <c r="CA439" s="501"/>
      <c r="CB439" s="501"/>
      <c r="CC439" s="501"/>
      <c r="CD439" s="501"/>
      <c r="CE439" s="501"/>
      <c r="CF439" s="501"/>
      <c r="CG439" s="501"/>
      <c r="CH439" s="501"/>
      <c r="CI439" s="501"/>
      <c r="CJ439" s="501"/>
      <c r="CK439" s="501"/>
      <c r="CL439" s="501"/>
      <c r="CM439" s="501"/>
      <c r="CN439" s="501"/>
      <c r="CO439" s="501"/>
      <c r="CP439" s="501"/>
      <c r="CQ439" s="501"/>
      <c r="CR439" s="501"/>
      <c r="CS439" s="501"/>
      <c r="CT439" s="501"/>
    </row>
    <row r="440">
      <c r="A440" s="569"/>
      <c r="B440" s="569"/>
      <c r="C440" s="569"/>
      <c r="D440" s="498"/>
      <c r="E440" s="499"/>
      <c r="F440" s="499"/>
      <c r="G440" s="766"/>
      <c r="H440" s="766"/>
      <c r="I440" s="766"/>
      <c r="J440" s="766"/>
      <c r="K440" s="683"/>
      <c r="L440" s="683"/>
      <c r="M440" s="683"/>
      <c r="N440" s="683"/>
      <c r="O440" s="683"/>
      <c r="P440" s="683"/>
      <c r="Q440" s="683"/>
      <c r="R440" s="683"/>
      <c r="S440" s="683"/>
      <c r="T440" s="501"/>
      <c r="U440" s="501"/>
      <c r="V440" s="501"/>
      <c r="W440" s="501"/>
      <c r="X440" s="501"/>
      <c r="Y440" s="501"/>
      <c r="Z440" s="501"/>
      <c r="AA440" s="501"/>
      <c r="AB440" s="501"/>
      <c r="AC440" s="501"/>
      <c r="AD440" s="501"/>
      <c r="AE440" s="501"/>
      <c r="AF440" s="501"/>
      <c r="AG440" s="501"/>
      <c r="AH440" s="501"/>
      <c r="AI440" s="501"/>
      <c r="AJ440" s="501"/>
      <c r="AK440" s="501"/>
      <c r="AL440" s="501"/>
      <c r="AM440" s="501"/>
      <c r="AN440" s="501"/>
      <c r="AO440" s="501"/>
      <c r="AP440" s="501"/>
      <c r="AQ440" s="501"/>
      <c r="AR440" s="501"/>
      <c r="AS440" s="501"/>
      <c r="AT440" s="501"/>
      <c r="AU440" s="501"/>
      <c r="AV440" s="501"/>
      <c r="AW440" s="501"/>
      <c r="AX440" s="501"/>
      <c r="AY440" s="501"/>
      <c r="AZ440" s="501"/>
      <c r="BA440" s="501"/>
      <c r="BB440" s="501"/>
      <c r="BC440" s="501"/>
      <c r="BD440" s="501"/>
      <c r="BE440" s="501"/>
      <c r="BF440" s="501"/>
      <c r="BG440" s="501"/>
      <c r="BH440" s="501"/>
      <c r="BI440" s="501"/>
      <c r="BJ440" s="501"/>
      <c r="BK440" s="501"/>
      <c r="BL440" s="501"/>
      <c r="BM440" s="501"/>
      <c r="BN440" s="501"/>
      <c r="BO440" s="501"/>
      <c r="BP440" s="501"/>
      <c r="BQ440" s="501"/>
      <c r="BR440" s="501"/>
      <c r="BS440" s="501"/>
      <c r="BT440" s="501"/>
      <c r="BU440" s="501"/>
      <c r="BV440" s="501"/>
      <c r="BW440" s="501"/>
      <c r="BX440" s="501"/>
      <c r="BY440" s="501"/>
      <c r="BZ440" s="501"/>
      <c r="CA440" s="501"/>
      <c r="CB440" s="501"/>
      <c r="CC440" s="501"/>
      <c r="CD440" s="501"/>
      <c r="CE440" s="501"/>
      <c r="CF440" s="501"/>
      <c r="CG440" s="501"/>
      <c r="CH440" s="501"/>
      <c r="CI440" s="501"/>
      <c r="CJ440" s="501"/>
      <c r="CK440" s="501"/>
      <c r="CL440" s="501"/>
      <c r="CM440" s="501"/>
      <c r="CN440" s="501"/>
      <c r="CO440" s="501"/>
      <c r="CP440" s="501"/>
      <c r="CQ440" s="501"/>
      <c r="CR440" s="501"/>
      <c r="CS440" s="501"/>
      <c r="CT440" s="501"/>
    </row>
    <row r="441">
      <c r="A441" s="569"/>
      <c r="B441" s="569"/>
      <c r="C441" s="569"/>
      <c r="D441" s="498"/>
      <c r="E441" s="499"/>
      <c r="F441" s="499"/>
      <c r="G441" s="766"/>
      <c r="H441" s="766"/>
      <c r="I441" s="766"/>
      <c r="J441" s="766"/>
      <c r="K441" s="683"/>
      <c r="L441" s="683"/>
      <c r="M441" s="683"/>
      <c r="N441" s="683"/>
      <c r="O441" s="683"/>
      <c r="P441" s="683"/>
      <c r="Q441" s="683"/>
      <c r="R441" s="683"/>
      <c r="S441" s="683"/>
      <c r="T441" s="501"/>
      <c r="U441" s="501"/>
      <c r="V441" s="501"/>
      <c r="W441" s="501"/>
      <c r="X441" s="501"/>
      <c r="Y441" s="501"/>
      <c r="Z441" s="501"/>
      <c r="AA441" s="501"/>
      <c r="AB441" s="501"/>
      <c r="AC441" s="501"/>
      <c r="AD441" s="501"/>
      <c r="AE441" s="501"/>
      <c r="AF441" s="501"/>
      <c r="AG441" s="501"/>
      <c r="AH441" s="501"/>
      <c r="AI441" s="501"/>
      <c r="AJ441" s="501"/>
      <c r="AK441" s="501"/>
      <c r="AL441" s="501"/>
      <c r="AM441" s="501"/>
      <c r="AN441" s="501"/>
      <c r="AO441" s="501"/>
      <c r="AP441" s="501"/>
      <c r="AQ441" s="501"/>
      <c r="AR441" s="501"/>
      <c r="AS441" s="501"/>
      <c r="AT441" s="501"/>
      <c r="AU441" s="501"/>
      <c r="AV441" s="501"/>
      <c r="AW441" s="501"/>
      <c r="AX441" s="501"/>
      <c r="AY441" s="501"/>
      <c r="AZ441" s="501"/>
      <c r="BA441" s="501"/>
      <c r="BB441" s="501"/>
      <c r="BC441" s="501"/>
      <c r="BD441" s="501"/>
      <c r="BE441" s="501"/>
      <c r="BF441" s="501"/>
      <c r="BG441" s="501"/>
      <c r="BH441" s="501"/>
      <c r="BI441" s="501"/>
      <c r="BJ441" s="501"/>
      <c r="BK441" s="501"/>
      <c r="BL441" s="501"/>
      <c r="BM441" s="501"/>
      <c r="BN441" s="501"/>
      <c r="BO441" s="501"/>
      <c r="BP441" s="501"/>
      <c r="BQ441" s="501"/>
      <c r="BR441" s="501"/>
      <c r="BS441" s="501"/>
      <c r="BT441" s="501"/>
      <c r="BU441" s="501"/>
      <c r="BV441" s="501"/>
      <c r="BW441" s="501"/>
      <c r="BX441" s="501"/>
      <c r="BY441" s="501"/>
      <c r="BZ441" s="501"/>
      <c r="CA441" s="501"/>
      <c r="CB441" s="501"/>
      <c r="CC441" s="501"/>
      <c r="CD441" s="501"/>
      <c r="CE441" s="501"/>
      <c r="CF441" s="501"/>
      <c r="CG441" s="501"/>
      <c r="CH441" s="501"/>
      <c r="CI441" s="501"/>
      <c r="CJ441" s="501"/>
      <c r="CK441" s="501"/>
      <c r="CL441" s="501"/>
      <c r="CM441" s="501"/>
      <c r="CN441" s="501"/>
      <c r="CO441" s="501"/>
      <c r="CP441" s="501"/>
      <c r="CQ441" s="501"/>
      <c r="CR441" s="501"/>
      <c r="CS441" s="501"/>
      <c r="CT441" s="501"/>
    </row>
    <row r="442">
      <c r="A442" s="569"/>
      <c r="B442" s="569"/>
      <c r="C442" s="569"/>
      <c r="D442" s="498"/>
      <c r="E442" s="499"/>
      <c r="F442" s="499"/>
      <c r="G442" s="766"/>
      <c r="H442" s="766"/>
      <c r="I442" s="766"/>
      <c r="J442" s="766"/>
      <c r="K442" s="683"/>
      <c r="L442" s="683"/>
      <c r="M442" s="683"/>
      <c r="N442" s="683"/>
      <c r="O442" s="683"/>
      <c r="P442" s="683"/>
      <c r="Q442" s="683"/>
      <c r="R442" s="683"/>
      <c r="S442" s="683"/>
      <c r="T442" s="501"/>
      <c r="U442" s="501"/>
      <c r="V442" s="501"/>
      <c r="W442" s="501"/>
      <c r="X442" s="501"/>
      <c r="Y442" s="501"/>
      <c r="Z442" s="501"/>
      <c r="AA442" s="501"/>
      <c r="AB442" s="501"/>
      <c r="AC442" s="501"/>
      <c r="AD442" s="501"/>
      <c r="AE442" s="501"/>
      <c r="AF442" s="501"/>
      <c r="AG442" s="501"/>
      <c r="AH442" s="501"/>
      <c r="AI442" s="501"/>
      <c r="AJ442" s="501"/>
      <c r="AK442" s="501"/>
      <c r="AL442" s="501"/>
      <c r="AM442" s="501"/>
      <c r="AN442" s="501"/>
      <c r="AO442" s="501"/>
      <c r="AP442" s="501"/>
      <c r="AQ442" s="501"/>
      <c r="AR442" s="501"/>
      <c r="AS442" s="501"/>
      <c r="AT442" s="501"/>
      <c r="AU442" s="501"/>
      <c r="AV442" s="501"/>
      <c r="AW442" s="501"/>
      <c r="AX442" s="501"/>
      <c r="AY442" s="501"/>
      <c r="AZ442" s="501"/>
      <c r="BA442" s="501"/>
      <c r="BB442" s="501"/>
      <c r="BC442" s="501"/>
      <c r="BD442" s="501"/>
      <c r="BE442" s="501"/>
      <c r="BF442" s="501"/>
      <c r="BG442" s="501"/>
      <c r="BH442" s="501"/>
      <c r="BI442" s="501"/>
      <c r="BJ442" s="501"/>
      <c r="BK442" s="501"/>
      <c r="BL442" s="501"/>
      <c r="BM442" s="501"/>
      <c r="BN442" s="501"/>
      <c r="BO442" s="501"/>
      <c r="BP442" s="501"/>
      <c r="BQ442" s="501"/>
      <c r="BR442" s="501"/>
      <c r="BS442" s="501"/>
      <c r="BT442" s="501"/>
      <c r="BU442" s="501"/>
      <c r="BV442" s="501"/>
      <c r="BW442" s="501"/>
      <c r="BX442" s="501"/>
      <c r="BY442" s="501"/>
      <c r="BZ442" s="501"/>
      <c r="CA442" s="501"/>
      <c r="CB442" s="501"/>
      <c r="CC442" s="501"/>
      <c r="CD442" s="501"/>
      <c r="CE442" s="501"/>
      <c r="CF442" s="501"/>
      <c r="CG442" s="501"/>
      <c r="CH442" s="501"/>
      <c r="CI442" s="501"/>
      <c r="CJ442" s="501"/>
      <c r="CK442" s="501"/>
      <c r="CL442" s="501"/>
      <c r="CM442" s="501"/>
      <c r="CN442" s="501"/>
      <c r="CO442" s="501"/>
      <c r="CP442" s="501"/>
      <c r="CQ442" s="501"/>
      <c r="CR442" s="501"/>
      <c r="CS442" s="501"/>
      <c r="CT442" s="501"/>
    </row>
    <row r="443">
      <c r="A443" s="569"/>
      <c r="B443" s="569"/>
      <c r="C443" s="569"/>
      <c r="D443" s="498"/>
      <c r="E443" s="499"/>
      <c r="F443" s="499"/>
      <c r="G443" s="766"/>
      <c r="H443" s="766"/>
      <c r="I443" s="766"/>
      <c r="J443" s="766"/>
      <c r="K443" s="683"/>
      <c r="L443" s="683"/>
      <c r="M443" s="683"/>
      <c r="N443" s="683"/>
      <c r="O443" s="683"/>
      <c r="P443" s="683"/>
      <c r="Q443" s="683"/>
      <c r="R443" s="683"/>
      <c r="S443" s="683"/>
      <c r="T443" s="501"/>
      <c r="U443" s="501"/>
      <c r="V443" s="501"/>
      <c r="W443" s="501"/>
      <c r="X443" s="501"/>
      <c r="Y443" s="501"/>
      <c r="Z443" s="501"/>
      <c r="AA443" s="501"/>
      <c r="AB443" s="501"/>
      <c r="AC443" s="501"/>
      <c r="AD443" s="501"/>
      <c r="AE443" s="501"/>
      <c r="AF443" s="501"/>
      <c r="AG443" s="501"/>
      <c r="AH443" s="501"/>
      <c r="AI443" s="501"/>
      <c r="AJ443" s="501"/>
      <c r="AK443" s="501"/>
      <c r="AL443" s="501"/>
      <c r="AM443" s="501"/>
      <c r="AN443" s="501"/>
      <c r="AO443" s="501"/>
      <c r="AP443" s="501"/>
      <c r="AQ443" s="501"/>
      <c r="AR443" s="501"/>
      <c r="AS443" s="501"/>
      <c r="AT443" s="501"/>
      <c r="AU443" s="501"/>
      <c r="AV443" s="501"/>
      <c r="AW443" s="501"/>
      <c r="AX443" s="501"/>
      <c r="AY443" s="501"/>
      <c r="AZ443" s="501"/>
      <c r="BA443" s="501"/>
      <c r="BB443" s="501"/>
      <c r="BC443" s="501"/>
      <c r="BD443" s="501"/>
      <c r="BE443" s="501"/>
      <c r="BF443" s="501"/>
      <c r="BG443" s="501"/>
      <c r="BH443" s="501"/>
      <c r="BI443" s="501"/>
      <c r="BJ443" s="501"/>
      <c r="BK443" s="501"/>
      <c r="BL443" s="501"/>
      <c r="BM443" s="501"/>
      <c r="BN443" s="501"/>
      <c r="BO443" s="501"/>
      <c r="BP443" s="501"/>
      <c r="BQ443" s="501"/>
      <c r="BR443" s="501"/>
      <c r="BS443" s="501"/>
      <c r="BT443" s="501"/>
      <c r="BU443" s="501"/>
      <c r="BV443" s="501"/>
      <c r="BW443" s="501"/>
      <c r="BX443" s="501"/>
      <c r="BY443" s="501"/>
      <c r="BZ443" s="501"/>
      <c r="CA443" s="501"/>
      <c r="CB443" s="501"/>
      <c r="CC443" s="501"/>
      <c r="CD443" s="501"/>
      <c r="CE443" s="501"/>
      <c r="CF443" s="501"/>
      <c r="CG443" s="501"/>
      <c r="CH443" s="501"/>
      <c r="CI443" s="501"/>
      <c r="CJ443" s="501"/>
      <c r="CK443" s="501"/>
      <c r="CL443" s="501"/>
      <c r="CM443" s="501"/>
      <c r="CN443" s="501"/>
      <c r="CO443" s="501"/>
      <c r="CP443" s="501"/>
      <c r="CQ443" s="501"/>
      <c r="CR443" s="501"/>
      <c r="CS443" s="501"/>
      <c r="CT443" s="501"/>
    </row>
    <row r="444">
      <c r="A444" s="569"/>
      <c r="B444" s="569"/>
      <c r="C444" s="569"/>
      <c r="D444" s="498"/>
      <c r="E444" s="499"/>
      <c r="F444" s="499"/>
      <c r="G444" s="766"/>
      <c r="H444" s="766"/>
      <c r="I444" s="766"/>
      <c r="J444" s="766"/>
      <c r="K444" s="683"/>
      <c r="L444" s="683"/>
      <c r="M444" s="683"/>
      <c r="N444" s="683"/>
      <c r="O444" s="683"/>
      <c r="P444" s="683"/>
      <c r="Q444" s="683"/>
      <c r="R444" s="683"/>
      <c r="S444" s="683"/>
      <c r="T444" s="501"/>
      <c r="U444" s="501"/>
      <c r="V444" s="501"/>
      <c r="W444" s="501"/>
      <c r="X444" s="501"/>
      <c r="Y444" s="501"/>
      <c r="Z444" s="501"/>
      <c r="AA444" s="501"/>
      <c r="AB444" s="501"/>
      <c r="AC444" s="501"/>
      <c r="AD444" s="501"/>
      <c r="AE444" s="501"/>
      <c r="AF444" s="501"/>
      <c r="AG444" s="501"/>
      <c r="AH444" s="501"/>
      <c r="AI444" s="501"/>
      <c r="AJ444" s="501"/>
      <c r="AK444" s="501"/>
      <c r="AL444" s="501"/>
      <c r="AM444" s="501"/>
      <c r="AN444" s="501"/>
      <c r="AO444" s="501"/>
      <c r="AP444" s="501"/>
      <c r="AQ444" s="501"/>
      <c r="AR444" s="501"/>
      <c r="AS444" s="501"/>
      <c r="AT444" s="501"/>
      <c r="AU444" s="501"/>
      <c r="AV444" s="501"/>
      <c r="AW444" s="501"/>
      <c r="AX444" s="501"/>
      <c r="AY444" s="501"/>
      <c r="AZ444" s="501"/>
      <c r="BA444" s="501"/>
      <c r="BB444" s="501"/>
      <c r="BC444" s="501"/>
      <c r="BD444" s="501"/>
      <c r="BE444" s="501"/>
      <c r="BF444" s="501"/>
      <c r="BG444" s="501"/>
      <c r="BH444" s="501"/>
      <c r="BI444" s="501"/>
      <c r="BJ444" s="501"/>
      <c r="BK444" s="501"/>
      <c r="BL444" s="501"/>
      <c r="BM444" s="501"/>
      <c r="BN444" s="501"/>
      <c r="BO444" s="501"/>
      <c r="BP444" s="501"/>
      <c r="BQ444" s="501"/>
      <c r="BR444" s="501"/>
      <c r="BS444" s="501"/>
      <c r="BT444" s="501"/>
      <c r="BU444" s="501"/>
      <c r="BV444" s="501"/>
      <c r="BW444" s="501"/>
      <c r="BX444" s="501"/>
      <c r="BY444" s="501"/>
      <c r="BZ444" s="501"/>
      <c r="CA444" s="501"/>
      <c r="CB444" s="501"/>
      <c r="CC444" s="501"/>
      <c r="CD444" s="501"/>
      <c r="CE444" s="501"/>
      <c r="CF444" s="501"/>
      <c r="CG444" s="501"/>
      <c r="CH444" s="501"/>
      <c r="CI444" s="501"/>
      <c r="CJ444" s="501"/>
      <c r="CK444" s="501"/>
      <c r="CL444" s="501"/>
      <c r="CM444" s="501"/>
      <c r="CN444" s="501"/>
      <c r="CO444" s="501"/>
      <c r="CP444" s="501"/>
      <c r="CQ444" s="501"/>
      <c r="CR444" s="501"/>
      <c r="CS444" s="501"/>
      <c r="CT444" s="501"/>
    </row>
    <row r="445">
      <c r="A445" s="569"/>
      <c r="B445" s="569"/>
      <c r="C445" s="569"/>
      <c r="D445" s="498"/>
      <c r="E445" s="499"/>
      <c r="F445" s="499"/>
      <c r="G445" s="766"/>
      <c r="H445" s="766"/>
      <c r="I445" s="766"/>
      <c r="J445" s="766"/>
      <c r="K445" s="683"/>
      <c r="L445" s="683"/>
      <c r="M445" s="683"/>
      <c r="N445" s="683"/>
      <c r="O445" s="683"/>
      <c r="P445" s="683"/>
      <c r="Q445" s="683"/>
      <c r="R445" s="683"/>
      <c r="S445" s="683"/>
      <c r="T445" s="501"/>
      <c r="U445" s="501"/>
      <c r="V445" s="501"/>
      <c r="W445" s="501"/>
      <c r="X445" s="501"/>
      <c r="Y445" s="501"/>
      <c r="Z445" s="501"/>
      <c r="AA445" s="501"/>
      <c r="AB445" s="501"/>
      <c r="AC445" s="501"/>
      <c r="AD445" s="501"/>
      <c r="AE445" s="501"/>
      <c r="AF445" s="501"/>
      <c r="AG445" s="501"/>
      <c r="AH445" s="501"/>
      <c r="AI445" s="501"/>
      <c r="AJ445" s="501"/>
      <c r="AK445" s="501"/>
      <c r="AL445" s="501"/>
      <c r="AM445" s="501"/>
      <c r="AN445" s="501"/>
      <c r="AO445" s="501"/>
      <c r="AP445" s="501"/>
      <c r="AQ445" s="501"/>
      <c r="AR445" s="501"/>
      <c r="AS445" s="501"/>
      <c r="AT445" s="501"/>
      <c r="AU445" s="501"/>
      <c r="AV445" s="501"/>
      <c r="AW445" s="501"/>
      <c r="AX445" s="501"/>
      <c r="AY445" s="501"/>
      <c r="AZ445" s="501"/>
      <c r="BA445" s="501"/>
      <c r="BB445" s="501"/>
      <c r="BC445" s="501"/>
      <c r="BD445" s="501"/>
      <c r="BE445" s="501"/>
      <c r="BF445" s="501"/>
      <c r="BG445" s="501"/>
      <c r="BH445" s="501"/>
      <c r="BI445" s="501"/>
      <c r="BJ445" s="501"/>
      <c r="BK445" s="501"/>
      <c r="BL445" s="501"/>
      <c r="BM445" s="501"/>
      <c r="BN445" s="501"/>
      <c r="BO445" s="501"/>
      <c r="BP445" s="501"/>
      <c r="BQ445" s="501"/>
      <c r="BR445" s="501"/>
      <c r="BS445" s="501"/>
      <c r="BT445" s="501"/>
      <c r="BU445" s="501"/>
      <c r="BV445" s="501"/>
      <c r="BW445" s="501"/>
      <c r="BX445" s="501"/>
      <c r="BY445" s="501"/>
      <c r="BZ445" s="501"/>
      <c r="CA445" s="501"/>
      <c r="CB445" s="501"/>
      <c r="CC445" s="501"/>
      <c r="CD445" s="501"/>
      <c r="CE445" s="501"/>
      <c r="CF445" s="501"/>
      <c r="CG445" s="501"/>
      <c r="CH445" s="501"/>
      <c r="CI445" s="501"/>
      <c r="CJ445" s="501"/>
      <c r="CK445" s="501"/>
      <c r="CL445" s="501"/>
      <c r="CM445" s="501"/>
      <c r="CN445" s="501"/>
      <c r="CO445" s="501"/>
      <c r="CP445" s="501"/>
      <c r="CQ445" s="501"/>
      <c r="CR445" s="501"/>
      <c r="CS445" s="501"/>
      <c r="CT445" s="501"/>
    </row>
    <row r="446">
      <c r="A446" s="569"/>
      <c r="B446" s="569"/>
      <c r="C446" s="569"/>
      <c r="D446" s="498"/>
      <c r="E446" s="499"/>
      <c r="F446" s="499"/>
      <c r="G446" s="766"/>
      <c r="H446" s="766"/>
      <c r="I446" s="766"/>
      <c r="J446" s="766"/>
      <c r="K446" s="683"/>
      <c r="L446" s="683"/>
      <c r="M446" s="683"/>
      <c r="N446" s="683"/>
      <c r="O446" s="683"/>
      <c r="P446" s="683"/>
      <c r="Q446" s="683"/>
      <c r="R446" s="683"/>
      <c r="S446" s="683"/>
      <c r="T446" s="501"/>
      <c r="U446" s="501"/>
      <c r="V446" s="501"/>
      <c r="W446" s="501"/>
      <c r="X446" s="501"/>
      <c r="Y446" s="501"/>
      <c r="Z446" s="501"/>
      <c r="AA446" s="501"/>
      <c r="AB446" s="501"/>
      <c r="AC446" s="501"/>
      <c r="AD446" s="501"/>
      <c r="AE446" s="501"/>
      <c r="AF446" s="501"/>
      <c r="AG446" s="501"/>
      <c r="AH446" s="501"/>
      <c r="AI446" s="501"/>
      <c r="AJ446" s="501"/>
      <c r="AK446" s="501"/>
      <c r="AL446" s="501"/>
      <c r="AM446" s="501"/>
      <c r="AN446" s="501"/>
      <c r="AO446" s="501"/>
      <c r="AP446" s="501"/>
      <c r="AQ446" s="501"/>
      <c r="AR446" s="501"/>
      <c r="AS446" s="501"/>
      <c r="AT446" s="501"/>
      <c r="AU446" s="501"/>
      <c r="AV446" s="501"/>
      <c r="AW446" s="501"/>
      <c r="AX446" s="501"/>
      <c r="AY446" s="501"/>
      <c r="AZ446" s="501"/>
      <c r="BA446" s="501"/>
      <c r="BB446" s="501"/>
      <c r="BC446" s="501"/>
      <c r="BD446" s="501"/>
      <c r="BE446" s="501"/>
      <c r="BF446" s="501"/>
      <c r="BG446" s="501"/>
      <c r="BH446" s="501"/>
      <c r="BI446" s="501"/>
      <c r="BJ446" s="501"/>
      <c r="BK446" s="501"/>
      <c r="BL446" s="501"/>
      <c r="BM446" s="501"/>
      <c r="BN446" s="501"/>
      <c r="BO446" s="501"/>
      <c r="BP446" s="501"/>
      <c r="BQ446" s="501"/>
      <c r="BR446" s="501"/>
      <c r="BS446" s="501"/>
      <c r="BT446" s="501"/>
      <c r="BU446" s="501"/>
      <c r="BV446" s="501"/>
      <c r="BW446" s="501"/>
      <c r="BX446" s="501"/>
      <c r="BY446" s="501"/>
      <c r="BZ446" s="501"/>
      <c r="CA446" s="501"/>
      <c r="CB446" s="501"/>
      <c r="CC446" s="501"/>
      <c r="CD446" s="501"/>
      <c r="CE446" s="501"/>
      <c r="CF446" s="501"/>
      <c r="CG446" s="501"/>
      <c r="CH446" s="501"/>
      <c r="CI446" s="501"/>
      <c r="CJ446" s="501"/>
      <c r="CK446" s="501"/>
      <c r="CL446" s="501"/>
      <c r="CM446" s="501"/>
      <c r="CN446" s="501"/>
      <c r="CO446" s="501"/>
      <c r="CP446" s="501"/>
      <c r="CQ446" s="501"/>
      <c r="CR446" s="501"/>
      <c r="CS446" s="501"/>
      <c r="CT446" s="501"/>
    </row>
    <row r="447">
      <c r="A447" s="569"/>
      <c r="B447" s="569"/>
      <c r="C447" s="569"/>
      <c r="D447" s="498"/>
      <c r="E447" s="499"/>
      <c r="F447" s="499"/>
      <c r="G447" s="766"/>
      <c r="H447" s="766"/>
      <c r="I447" s="766"/>
      <c r="J447" s="766"/>
      <c r="K447" s="683"/>
      <c r="L447" s="683"/>
      <c r="M447" s="683"/>
      <c r="N447" s="683"/>
      <c r="O447" s="683"/>
      <c r="P447" s="683"/>
      <c r="Q447" s="683"/>
      <c r="R447" s="683"/>
      <c r="S447" s="683"/>
      <c r="T447" s="501"/>
      <c r="U447" s="501"/>
      <c r="V447" s="501"/>
      <c r="W447" s="501"/>
      <c r="X447" s="501"/>
      <c r="Y447" s="501"/>
      <c r="Z447" s="501"/>
      <c r="AA447" s="501"/>
      <c r="AB447" s="501"/>
      <c r="AC447" s="501"/>
      <c r="AD447" s="501"/>
      <c r="AE447" s="501"/>
      <c r="AF447" s="501"/>
      <c r="AG447" s="501"/>
      <c r="AH447" s="501"/>
      <c r="AI447" s="501"/>
      <c r="AJ447" s="501"/>
      <c r="AK447" s="501"/>
      <c r="AL447" s="501"/>
      <c r="AM447" s="501"/>
      <c r="AN447" s="501"/>
      <c r="AO447" s="501"/>
      <c r="AP447" s="501"/>
      <c r="AQ447" s="501"/>
      <c r="AR447" s="501"/>
      <c r="AS447" s="501"/>
      <c r="AT447" s="501"/>
      <c r="AU447" s="501"/>
      <c r="AV447" s="501"/>
      <c r="AW447" s="501"/>
      <c r="AX447" s="501"/>
      <c r="AY447" s="501"/>
      <c r="AZ447" s="501"/>
      <c r="BA447" s="501"/>
      <c r="BB447" s="501"/>
      <c r="BC447" s="501"/>
      <c r="BD447" s="501"/>
      <c r="BE447" s="501"/>
      <c r="BF447" s="501"/>
      <c r="BG447" s="501"/>
      <c r="BH447" s="501"/>
      <c r="BI447" s="501"/>
      <c r="BJ447" s="501"/>
      <c r="BK447" s="501"/>
      <c r="BL447" s="501"/>
      <c r="BM447" s="501"/>
      <c r="BN447" s="501"/>
      <c r="BO447" s="501"/>
      <c r="BP447" s="501"/>
      <c r="BQ447" s="501"/>
      <c r="BR447" s="501"/>
      <c r="BS447" s="501"/>
      <c r="BT447" s="501"/>
      <c r="BU447" s="501"/>
      <c r="BV447" s="501"/>
      <c r="BW447" s="501"/>
      <c r="BX447" s="501"/>
      <c r="BY447" s="501"/>
      <c r="BZ447" s="501"/>
      <c r="CA447" s="501"/>
      <c r="CB447" s="501"/>
      <c r="CC447" s="501"/>
      <c r="CD447" s="501"/>
      <c r="CE447" s="501"/>
      <c r="CF447" s="501"/>
      <c r="CG447" s="501"/>
      <c r="CH447" s="501"/>
      <c r="CI447" s="501"/>
      <c r="CJ447" s="501"/>
      <c r="CK447" s="501"/>
      <c r="CL447" s="501"/>
      <c r="CM447" s="501"/>
      <c r="CN447" s="501"/>
      <c r="CO447" s="501"/>
      <c r="CP447" s="501"/>
      <c r="CQ447" s="501"/>
      <c r="CR447" s="501"/>
      <c r="CS447" s="501"/>
      <c r="CT447" s="501"/>
    </row>
    <row r="448">
      <c r="A448" s="569"/>
      <c r="B448" s="569"/>
      <c r="C448" s="569"/>
      <c r="D448" s="498"/>
      <c r="E448" s="499"/>
      <c r="F448" s="499"/>
      <c r="G448" s="766"/>
      <c r="H448" s="766"/>
      <c r="I448" s="766"/>
      <c r="J448" s="766"/>
      <c r="K448" s="683"/>
      <c r="L448" s="683"/>
      <c r="M448" s="683"/>
      <c r="N448" s="683"/>
      <c r="O448" s="683"/>
      <c r="P448" s="683"/>
      <c r="Q448" s="683"/>
      <c r="R448" s="683"/>
      <c r="S448" s="683"/>
      <c r="T448" s="501"/>
      <c r="U448" s="501"/>
      <c r="V448" s="501"/>
      <c r="W448" s="501"/>
      <c r="X448" s="501"/>
      <c r="Y448" s="501"/>
      <c r="Z448" s="501"/>
      <c r="AA448" s="501"/>
      <c r="AB448" s="501"/>
      <c r="AC448" s="501"/>
      <c r="AD448" s="501"/>
      <c r="AE448" s="501"/>
      <c r="AF448" s="501"/>
      <c r="AG448" s="501"/>
      <c r="AH448" s="501"/>
      <c r="AI448" s="501"/>
      <c r="AJ448" s="501"/>
      <c r="AK448" s="501"/>
      <c r="AL448" s="501"/>
      <c r="AM448" s="501"/>
      <c r="AN448" s="501"/>
      <c r="AO448" s="501"/>
      <c r="AP448" s="501"/>
      <c r="AQ448" s="501"/>
      <c r="AR448" s="501"/>
      <c r="AS448" s="501"/>
      <c r="AT448" s="501"/>
      <c r="AU448" s="501"/>
      <c r="AV448" s="501"/>
      <c r="AW448" s="501"/>
      <c r="AX448" s="501"/>
      <c r="AY448" s="501"/>
      <c r="AZ448" s="501"/>
      <c r="BA448" s="501"/>
      <c r="BB448" s="501"/>
      <c r="BC448" s="501"/>
      <c r="BD448" s="501"/>
      <c r="BE448" s="501"/>
      <c r="BF448" s="501"/>
      <c r="BG448" s="501"/>
      <c r="BH448" s="501"/>
      <c r="BI448" s="501"/>
      <c r="BJ448" s="501"/>
      <c r="BK448" s="501"/>
      <c r="BL448" s="501"/>
      <c r="BM448" s="501"/>
      <c r="BN448" s="501"/>
      <c r="BO448" s="501"/>
      <c r="BP448" s="501"/>
      <c r="BQ448" s="501"/>
      <c r="BR448" s="501"/>
      <c r="BS448" s="501"/>
      <c r="BT448" s="501"/>
      <c r="BU448" s="501"/>
      <c r="BV448" s="501"/>
      <c r="BW448" s="501"/>
      <c r="BX448" s="501"/>
      <c r="BY448" s="501"/>
      <c r="BZ448" s="501"/>
      <c r="CA448" s="501"/>
      <c r="CB448" s="501"/>
      <c r="CC448" s="501"/>
      <c r="CD448" s="501"/>
      <c r="CE448" s="501"/>
      <c r="CF448" s="501"/>
      <c r="CG448" s="501"/>
      <c r="CH448" s="501"/>
      <c r="CI448" s="501"/>
      <c r="CJ448" s="501"/>
      <c r="CK448" s="501"/>
      <c r="CL448" s="501"/>
      <c r="CM448" s="501"/>
      <c r="CN448" s="501"/>
      <c r="CO448" s="501"/>
      <c r="CP448" s="501"/>
      <c r="CQ448" s="501"/>
      <c r="CR448" s="501"/>
      <c r="CS448" s="501"/>
      <c r="CT448" s="501"/>
    </row>
    <row r="449">
      <c r="A449" s="569"/>
      <c r="B449" s="569"/>
      <c r="C449" s="569"/>
      <c r="D449" s="498"/>
      <c r="E449" s="499"/>
      <c r="F449" s="499"/>
      <c r="G449" s="766"/>
      <c r="H449" s="766"/>
      <c r="I449" s="766"/>
      <c r="J449" s="766"/>
      <c r="K449" s="683"/>
      <c r="L449" s="683"/>
      <c r="M449" s="683"/>
      <c r="N449" s="683"/>
      <c r="O449" s="683"/>
      <c r="P449" s="683"/>
      <c r="Q449" s="683"/>
      <c r="R449" s="683"/>
      <c r="S449" s="683"/>
      <c r="T449" s="501"/>
      <c r="U449" s="501"/>
      <c r="V449" s="501"/>
      <c r="W449" s="501"/>
      <c r="X449" s="501"/>
      <c r="Y449" s="501"/>
      <c r="Z449" s="501"/>
      <c r="AA449" s="501"/>
      <c r="AB449" s="501"/>
      <c r="AC449" s="501"/>
      <c r="AD449" s="501"/>
      <c r="AE449" s="501"/>
      <c r="AF449" s="501"/>
      <c r="AG449" s="501"/>
      <c r="AH449" s="501"/>
      <c r="AI449" s="501"/>
      <c r="AJ449" s="501"/>
      <c r="AK449" s="501"/>
      <c r="AL449" s="501"/>
      <c r="AM449" s="501"/>
      <c r="AN449" s="501"/>
      <c r="AO449" s="501"/>
      <c r="AP449" s="501"/>
      <c r="AQ449" s="501"/>
      <c r="AR449" s="501"/>
      <c r="AS449" s="501"/>
      <c r="AT449" s="501"/>
      <c r="AU449" s="501"/>
      <c r="AV449" s="501"/>
      <c r="AW449" s="501"/>
      <c r="AX449" s="501"/>
      <c r="AY449" s="501"/>
      <c r="AZ449" s="501"/>
      <c r="BA449" s="501"/>
      <c r="BB449" s="501"/>
      <c r="BC449" s="501"/>
      <c r="BD449" s="501"/>
      <c r="BE449" s="501"/>
      <c r="BF449" s="501"/>
      <c r="BG449" s="501"/>
      <c r="BH449" s="501"/>
      <c r="BI449" s="501"/>
      <c r="BJ449" s="501"/>
      <c r="BK449" s="501"/>
      <c r="BL449" s="501"/>
      <c r="BM449" s="501"/>
      <c r="BN449" s="501"/>
      <c r="BO449" s="501"/>
      <c r="BP449" s="501"/>
      <c r="BQ449" s="501"/>
      <c r="BR449" s="501"/>
      <c r="BS449" s="501"/>
      <c r="BT449" s="501"/>
      <c r="BU449" s="501"/>
      <c r="BV449" s="501"/>
      <c r="BW449" s="501"/>
      <c r="BX449" s="501"/>
      <c r="BY449" s="501"/>
      <c r="BZ449" s="501"/>
      <c r="CA449" s="501"/>
      <c r="CB449" s="501"/>
      <c r="CC449" s="501"/>
      <c r="CD449" s="501"/>
      <c r="CE449" s="501"/>
      <c r="CF449" s="501"/>
      <c r="CG449" s="501"/>
      <c r="CH449" s="501"/>
      <c r="CI449" s="501"/>
      <c r="CJ449" s="501"/>
      <c r="CK449" s="501"/>
      <c r="CL449" s="501"/>
      <c r="CM449" s="501"/>
      <c r="CN449" s="501"/>
      <c r="CO449" s="501"/>
      <c r="CP449" s="501"/>
      <c r="CQ449" s="501"/>
      <c r="CR449" s="501"/>
      <c r="CS449" s="501"/>
      <c r="CT449" s="501"/>
    </row>
    <row r="450">
      <c r="A450" s="569"/>
      <c r="B450" s="569"/>
      <c r="C450" s="569"/>
      <c r="D450" s="498"/>
      <c r="E450" s="499"/>
      <c r="F450" s="499"/>
      <c r="G450" s="766"/>
      <c r="H450" s="766"/>
      <c r="I450" s="766"/>
      <c r="J450" s="766"/>
      <c r="K450" s="683"/>
      <c r="L450" s="683"/>
      <c r="M450" s="683"/>
      <c r="N450" s="683"/>
      <c r="O450" s="683"/>
      <c r="P450" s="683"/>
      <c r="Q450" s="683"/>
      <c r="R450" s="683"/>
      <c r="S450" s="683"/>
      <c r="T450" s="501"/>
      <c r="U450" s="501"/>
      <c r="V450" s="501"/>
      <c r="W450" s="501"/>
      <c r="X450" s="501"/>
      <c r="Y450" s="501"/>
      <c r="Z450" s="501"/>
      <c r="AA450" s="501"/>
      <c r="AB450" s="501"/>
      <c r="AC450" s="501"/>
      <c r="AD450" s="501"/>
      <c r="AE450" s="501"/>
      <c r="AF450" s="501"/>
      <c r="AG450" s="501"/>
      <c r="AH450" s="501"/>
      <c r="AI450" s="501"/>
      <c r="AJ450" s="501"/>
      <c r="AK450" s="501"/>
      <c r="AL450" s="501"/>
      <c r="AM450" s="501"/>
      <c r="AN450" s="501"/>
      <c r="AO450" s="501"/>
      <c r="AP450" s="501"/>
      <c r="AQ450" s="501"/>
      <c r="AR450" s="501"/>
      <c r="AS450" s="501"/>
      <c r="AT450" s="501"/>
      <c r="AU450" s="501"/>
      <c r="AV450" s="501"/>
      <c r="AW450" s="501"/>
      <c r="AX450" s="501"/>
      <c r="AY450" s="501"/>
      <c r="AZ450" s="501"/>
      <c r="BA450" s="501"/>
      <c r="BB450" s="501"/>
      <c r="BC450" s="501"/>
      <c r="BD450" s="501"/>
      <c r="BE450" s="501"/>
      <c r="BF450" s="501"/>
      <c r="BG450" s="501"/>
      <c r="BH450" s="501"/>
      <c r="BI450" s="501"/>
      <c r="BJ450" s="501"/>
      <c r="BK450" s="501"/>
      <c r="BL450" s="501"/>
      <c r="BM450" s="501"/>
      <c r="BN450" s="501"/>
      <c r="BO450" s="501"/>
      <c r="BP450" s="501"/>
      <c r="BQ450" s="501"/>
      <c r="BR450" s="501"/>
      <c r="BS450" s="501"/>
      <c r="BT450" s="501"/>
      <c r="BU450" s="501"/>
      <c r="BV450" s="501"/>
      <c r="BW450" s="501"/>
      <c r="BX450" s="501"/>
      <c r="BY450" s="501"/>
      <c r="BZ450" s="501"/>
      <c r="CA450" s="501"/>
      <c r="CB450" s="501"/>
      <c r="CC450" s="501"/>
      <c r="CD450" s="501"/>
      <c r="CE450" s="501"/>
      <c r="CF450" s="501"/>
      <c r="CG450" s="501"/>
      <c r="CH450" s="501"/>
      <c r="CI450" s="501"/>
      <c r="CJ450" s="501"/>
      <c r="CK450" s="501"/>
      <c r="CL450" s="501"/>
      <c r="CM450" s="501"/>
      <c r="CN450" s="501"/>
      <c r="CO450" s="501"/>
      <c r="CP450" s="501"/>
      <c r="CQ450" s="501"/>
      <c r="CR450" s="501"/>
      <c r="CS450" s="501"/>
      <c r="CT450" s="501"/>
    </row>
    <row r="451">
      <c r="A451" s="569"/>
      <c r="B451" s="569"/>
      <c r="C451" s="569"/>
      <c r="D451" s="498"/>
      <c r="E451" s="499"/>
      <c r="F451" s="499"/>
      <c r="G451" s="766"/>
      <c r="H451" s="766"/>
      <c r="I451" s="766"/>
      <c r="J451" s="766"/>
      <c r="K451" s="683"/>
      <c r="L451" s="683"/>
      <c r="M451" s="683"/>
      <c r="N451" s="683"/>
      <c r="O451" s="683"/>
      <c r="P451" s="683"/>
      <c r="Q451" s="683"/>
      <c r="R451" s="683"/>
      <c r="S451" s="683"/>
      <c r="T451" s="501"/>
      <c r="U451" s="501"/>
      <c r="V451" s="501"/>
      <c r="W451" s="501"/>
      <c r="X451" s="501"/>
      <c r="Y451" s="501"/>
      <c r="Z451" s="501"/>
      <c r="AA451" s="501"/>
      <c r="AB451" s="501"/>
      <c r="AC451" s="501"/>
      <c r="AD451" s="501"/>
      <c r="AE451" s="501"/>
      <c r="AF451" s="501"/>
      <c r="AG451" s="501"/>
      <c r="AH451" s="501"/>
      <c r="AI451" s="501"/>
      <c r="AJ451" s="501"/>
      <c r="AK451" s="501"/>
      <c r="AL451" s="501"/>
      <c r="AM451" s="501"/>
      <c r="AN451" s="501"/>
      <c r="AO451" s="501"/>
      <c r="AP451" s="501"/>
      <c r="AQ451" s="501"/>
      <c r="AR451" s="501"/>
      <c r="AS451" s="501"/>
      <c r="AT451" s="501"/>
      <c r="AU451" s="501"/>
      <c r="AV451" s="501"/>
      <c r="AW451" s="501"/>
      <c r="AX451" s="501"/>
      <c r="AY451" s="501"/>
      <c r="AZ451" s="501"/>
      <c r="BA451" s="501"/>
      <c r="BB451" s="501"/>
      <c r="BC451" s="501"/>
      <c r="BD451" s="501"/>
      <c r="BE451" s="501"/>
      <c r="BF451" s="501"/>
      <c r="BG451" s="501"/>
      <c r="BH451" s="501"/>
      <c r="BI451" s="501"/>
      <c r="BJ451" s="501"/>
      <c r="BK451" s="501"/>
      <c r="BL451" s="501"/>
      <c r="BM451" s="501"/>
      <c r="BN451" s="501"/>
      <c r="BO451" s="501"/>
      <c r="BP451" s="501"/>
      <c r="BQ451" s="501"/>
      <c r="BR451" s="501"/>
      <c r="BS451" s="501"/>
      <c r="BT451" s="501"/>
      <c r="BU451" s="501"/>
      <c r="BV451" s="501"/>
      <c r="BW451" s="501"/>
      <c r="BX451" s="501"/>
      <c r="BY451" s="501"/>
      <c r="BZ451" s="501"/>
      <c r="CA451" s="501"/>
      <c r="CB451" s="501"/>
      <c r="CC451" s="501"/>
      <c r="CD451" s="501"/>
      <c r="CE451" s="501"/>
      <c r="CF451" s="501"/>
      <c r="CG451" s="501"/>
      <c r="CH451" s="501"/>
      <c r="CI451" s="501"/>
      <c r="CJ451" s="501"/>
      <c r="CK451" s="501"/>
      <c r="CL451" s="501"/>
      <c r="CM451" s="501"/>
      <c r="CN451" s="501"/>
      <c r="CO451" s="501"/>
      <c r="CP451" s="501"/>
      <c r="CQ451" s="501"/>
      <c r="CR451" s="501"/>
      <c r="CS451" s="501"/>
      <c r="CT451" s="501"/>
    </row>
    <row r="452">
      <c r="A452" s="569"/>
      <c r="B452" s="569"/>
      <c r="C452" s="569"/>
      <c r="D452" s="498"/>
      <c r="E452" s="499"/>
      <c r="F452" s="499"/>
      <c r="G452" s="766"/>
      <c r="H452" s="766"/>
      <c r="I452" s="766"/>
      <c r="J452" s="766"/>
      <c r="K452" s="683"/>
      <c r="L452" s="683"/>
      <c r="M452" s="683"/>
      <c r="N452" s="683"/>
      <c r="O452" s="683"/>
      <c r="P452" s="683"/>
      <c r="Q452" s="683"/>
      <c r="R452" s="683"/>
      <c r="S452" s="683"/>
      <c r="T452" s="501"/>
      <c r="U452" s="501"/>
      <c r="V452" s="501"/>
      <c r="W452" s="501"/>
      <c r="X452" s="501"/>
      <c r="Y452" s="501"/>
      <c r="Z452" s="501"/>
      <c r="AA452" s="501"/>
      <c r="AB452" s="501"/>
      <c r="AC452" s="501"/>
      <c r="AD452" s="501"/>
      <c r="AE452" s="501"/>
      <c r="AF452" s="501"/>
      <c r="AG452" s="501"/>
      <c r="AH452" s="501"/>
      <c r="AI452" s="501"/>
      <c r="AJ452" s="501"/>
      <c r="AK452" s="501"/>
      <c r="AL452" s="501"/>
      <c r="AM452" s="501"/>
      <c r="AN452" s="501"/>
      <c r="AO452" s="501"/>
      <c r="AP452" s="501"/>
      <c r="AQ452" s="501"/>
      <c r="AR452" s="501"/>
      <c r="AS452" s="501"/>
      <c r="AT452" s="501"/>
      <c r="AU452" s="501"/>
      <c r="AV452" s="501"/>
      <c r="AW452" s="501"/>
      <c r="AX452" s="501"/>
      <c r="AY452" s="501"/>
      <c r="AZ452" s="501"/>
      <c r="BA452" s="501"/>
      <c r="BB452" s="501"/>
      <c r="BC452" s="501"/>
      <c r="BD452" s="501"/>
      <c r="BE452" s="501"/>
      <c r="BF452" s="501"/>
      <c r="BG452" s="501"/>
      <c r="BH452" s="501"/>
      <c r="BI452" s="501"/>
      <c r="BJ452" s="501"/>
      <c r="BK452" s="501"/>
      <c r="BL452" s="501"/>
      <c r="BM452" s="501"/>
      <c r="BN452" s="501"/>
      <c r="BO452" s="501"/>
      <c r="BP452" s="501"/>
      <c r="BQ452" s="501"/>
      <c r="BR452" s="501"/>
      <c r="BS452" s="501"/>
      <c r="BT452" s="501"/>
      <c r="BU452" s="501"/>
      <c r="BV452" s="501"/>
      <c r="BW452" s="501"/>
      <c r="BX452" s="501"/>
      <c r="BY452" s="501"/>
      <c r="BZ452" s="501"/>
      <c r="CA452" s="501"/>
      <c r="CB452" s="501"/>
      <c r="CC452" s="501"/>
      <c r="CD452" s="501"/>
      <c r="CE452" s="501"/>
      <c r="CF452" s="501"/>
      <c r="CG452" s="501"/>
      <c r="CH452" s="501"/>
      <c r="CI452" s="501"/>
      <c r="CJ452" s="501"/>
      <c r="CK452" s="501"/>
      <c r="CL452" s="501"/>
      <c r="CM452" s="501"/>
      <c r="CN452" s="501"/>
      <c r="CO452" s="501"/>
      <c r="CP452" s="501"/>
      <c r="CQ452" s="501"/>
      <c r="CR452" s="501"/>
      <c r="CS452" s="501"/>
      <c r="CT452" s="501"/>
    </row>
    <row r="453">
      <c r="A453" s="569"/>
      <c r="B453" s="569"/>
      <c r="C453" s="569"/>
      <c r="D453" s="498"/>
      <c r="E453" s="499"/>
      <c r="F453" s="499"/>
      <c r="G453" s="766"/>
      <c r="H453" s="766"/>
      <c r="I453" s="766"/>
      <c r="J453" s="766"/>
      <c r="K453" s="683"/>
      <c r="L453" s="683"/>
      <c r="M453" s="683"/>
      <c r="N453" s="683"/>
      <c r="O453" s="683"/>
      <c r="P453" s="683"/>
      <c r="Q453" s="683"/>
      <c r="R453" s="683"/>
      <c r="S453" s="683"/>
      <c r="T453" s="501"/>
      <c r="U453" s="501"/>
      <c r="V453" s="501"/>
      <c r="W453" s="501"/>
      <c r="X453" s="501"/>
      <c r="Y453" s="501"/>
      <c r="Z453" s="501"/>
      <c r="AA453" s="501"/>
      <c r="AB453" s="501"/>
      <c r="AC453" s="501"/>
      <c r="AD453" s="501"/>
      <c r="AE453" s="501"/>
      <c r="AF453" s="501"/>
      <c r="AG453" s="501"/>
      <c r="AH453" s="501"/>
      <c r="AI453" s="501"/>
      <c r="AJ453" s="501"/>
      <c r="AK453" s="501"/>
      <c r="AL453" s="501"/>
      <c r="AM453" s="501"/>
      <c r="AN453" s="501"/>
      <c r="AO453" s="501"/>
      <c r="AP453" s="501"/>
      <c r="AQ453" s="501"/>
      <c r="AR453" s="501"/>
      <c r="AS453" s="501"/>
      <c r="AT453" s="501"/>
      <c r="AU453" s="501"/>
      <c r="AV453" s="501"/>
      <c r="AW453" s="501"/>
      <c r="AX453" s="501"/>
      <c r="AY453" s="501"/>
      <c r="AZ453" s="501"/>
      <c r="BA453" s="501"/>
      <c r="BB453" s="501"/>
      <c r="BC453" s="501"/>
      <c r="BD453" s="501"/>
      <c r="BE453" s="501"/>
      <c r="BF453" s="501"/>
      <c r="BG453" s="501"/>
      <c r="BH453" s="501"/>
      <c r="BI453" s="501"/>
      <c r="BJ453" s="501"/>
      <c r="BK453" s="501"/>
      <c r="BL453" s="501"/>
      <c r="BM453" s="501"/>
      <c r="BN453" s="501"/>
      <c r="BO453" s="501"/>
      <c r="BP453" s="501"/>
      <c r="BQ453" s="501"/>
      <c r="BR453" s="501"/>
      <c r="BS453" s="501"/>
      <c r="BT453" s="501"/>
      <c r="BU453" s="501"/>
      <c r="BV453" s="501"/>
      <c r="BW453" s="501"/>
      <c r="BX453" s="501"/>
      <c r="BY453" s="501"/>
      <c r="BZ453" s="501"/>
      <c r="CA453" s="501"/>
      <c r="CB453" s="501"/>
      <c r="CC453" s="501"/>
      <c r="CD453" s="501"/>
      <c r="CE453" s="501"/>
      <c r="CF453" s="501"/>
      <c r="CG453" s="501"/>
      <c r="CH453" s="501"/>
      <c r="CI453" s="501"/>
      <c r="CJ453" s="501"/>
      <c r="CK453" s="501"/>
      <c r="CL453" s="501"/>
      <c r="CM453" s="501"/>
      <c r="CN453" s="501"/>
      <c r="CO453" s="501"/>
      <c r="CP453" s="501"/>
      <c r="CQ453" s="501"/>
      <c r="CR453" s="501"/>
      <c r="CS453" s="501"/>
      <c r="CT453" s="501"/>
    </row>
    <row r="454">
      <c r="A454" s="569"/>
      <c r="B454" s="569"/>
      <c r="C454" s="569"/>
      <c r="D454" s="498"/>
      <c r="E454" s="499"/>
      <c r="F454" s="499"/>
      <c r="G454" s="766"/>
      <c r="H454" s="766"/>
      <c r="I454" s="766"/>
      <c r="J454" s="766"/>
      <c r="K454" s="683"/>
      <c r="L454" s="683"/>
      <c r="M454" s="683"/>
      <c r="N454" s="683"/>
      <c r="O454" s="683"/>
      <c r="P454" s="683"/>
      <c r="Q454" s="683"/>
      <c r="R454" s="683"/>
      <c r="S454" s="683"/>
      <c r="T454" s="501"/>
      <c r="U454" s="501"/>
      <c r="V454" s="501"/>
      <c r="W454" s="501"/>
      <c r="X454" s="501"/>
      <c r="Y454" s="501"/>
      <c r="Z454" s="501"/>
      <c r="AA454" s="501"/>
      <c r="AB454" s="501"/>
      <c r="AC454" s="501"/>
      <c r="AD454" s="501"/>
      <c r="AE454" s="501"/>
      <c r="AF454" s="501"/>
      <c r="AG454" s="501"/>
      <c r="AH454" s="501"/>
      <c r="AI454" s="501"/>
      <c r="AJ454" s="501"/>
      <c r="AK454" s="501"/>
      <c r="AL454" s="501"/>
      <c r="AM454" s="501"/>
      <c r="AN454" s="501"/>
      <c r="AO454" s="501"/>
      <c r="AP454" s="501"/>
      <c r="AQ454" s="501"/>
      <c r="AR454" s="501"/>
      <c r="AS454" s="501"/>
      <c r="AT454" s="501"/>
      <c r="AU454" s="501"/>
      <c r="AV454" s="501"/>
      <c r="AW454" s="501"/>
      <c r="AX454" s="501"/>
      <c r="AY454" s="501"/>
      <c r="AZ454" s="501"/>
      <c r="BA454" s="501"/>
      <c r="BB454" s="501"/>
      <c r="BC454" s="501"/>
      <c r="BD454" s="501"/>
      <c r="BE454" s="501"/>
      <c r="BF454" s="501"/>
      <c r="BG454" s="501"/>
      <c r="BH454" s="501"/>
      <c r="BI454" s="501"/>
      <c r="BJ454" s="501"/>
      <c r="BK454" s="501"/>
      <c r="BL454" s="501"/>
      <c r="BM454" s="501"/>
      <c r="BN454" s="501"/>
      <c r="BO454" s="501"/>
      <c r="BP454" s="501"/>
      <c r="BQ454" s="501"/>
      <c r="BR454" s="501"/>
      <c r="BS454" s="501"/>
      <c r="BT454" s="501"/>
      <c r="BU454" s="501"/>
      <c r="BV454" s="501"/>
      <c r="BW454" s="501"/>
      <c r="BX454" s="501"/>
      <c r="BY454" s="501"/>
      <c r="BZ454" s="501"/>
      <c r="CA454" s="501"/>
      <c r="CB454" s="501"/>
      <c r="CC454" s="501"/>
      <c r="CD454" s="501"/>
      <c r="CE454" s="501"/>
      <c r="CF454" s="501"/>
      <c r="CG454" s="501"/>
      <c r="CH454" s="501"/>
      <c r="CI454" s="501"/>
      <c r="CJ454" s="501"/>
      <c r="CK454" s="501"/>
      <c r="CL454" s="501"/>
      <c r="CM454" s="501"/>
      <c r="CN454" s="501"/>
      <c r="CO454" s="501"/>
      <c r="CP454" s="501"/>
      <c r="CQ454" s="501"/>
      <c r="CR454" s="501"/>
      <c r="CS454" s="501"/>
      <c r="CT454" s="501"/>
    </row>
    <row r="455">
      <c r="A455" s="569"/>
      <c r="B455" s="569"/>
      <c r="C455" s="569"/>
      <c r="D455" s="498"/>
      <c r="E455" s="499"/>
      <c r="F455" s="499"/>
      <c r="G455" s="766"/>
      <c r="H455" s="766"/>
      <c r="I455" s="766"/>
      <c r="J455" s="766"/>
      <c r="K455" s="683"/>
      <c r="L455" s="683"/>
      <c r="M455" s="683"/>
      <c r="N455" s="683"/>
      <c r="O455" s="683"/>
      <c r="P455" s="683"/>
      <c r="Q455" s="683"/>
      <c r="R455" s="683"/>
      <c r="S455" s="683"/>
      <c r="T455" s="501"/>
      <c r="U455" s="501"/>
      <c r="V455" s="501"/>
      <c r="W455" s="501"/>
      <c r="X455" s="501"/>
      <c r="Y455" s="501"/>
      <c r="Z455" s="501"/>
      <c r="AA455" s="501"/>
      <c r="AB455" s="501"/>
      <c r="AC455" s="501"/>
      <c r="AD455" s="501"/>
      <c r="AE455" s="501"/>
      <c r="AF455" s="501"/>
      <c r="AG455" s="501"/>
      <c r="AH455" s="501"/>
      <c r="AI455" s="501"/>
      <c r="AJ455" s="501"/>
      <c r="AK455" s="501"/>
      <c r="AL455" s="501"/>
      <c r="AM455" s="501"/>
      <c r="AN455" s="501"/>
      <c r="AO455" s="501"/>
      <c r="AP455" s="501"/>
      <c r="AQ455" s="501"/>
      <c r="AR455" s="501"/>
      <c r="AS455" s="501"/>
      <c r="AT455" s="501"/>
      <c r="AU455" s="501"/>
      <c r="AV455" s="501"/>
      <c r="AW455" s="501"/>
      <c r="AX455" s="501"/>
      <c r="AY455" s="501"/>
      <c r="AZ455" s="501"/>
      <c r="BA455" s="501"/>
      <c r="BB455" s="501"/>
      <c r="BC455" s="501"/>
      <c r="BD455" s="501"/>
      <c r="BE455" s="501"/>
      <c r="BF455" s="501"/>
      <c r="BG455" s="501"/>
      <c r="BH455" s="501"/>
      <c r="BI455" s="501"/>
      <c r="BJ455" s="501"/>
      <c r="BK455" s="501"/>
      <c r="BL455" s="501"/>
      <c r="BM455" s="501"/>
      <c r="BN455" s="501"/>
      <c r="BO455" s="501"/>
      <c r="BP455" s="501"/>
      <c r="BQ455" s="501"/>
      <c r="BR455" s="501"/>
      <c r="BS455" s="501"/>
      <c r="BT455" s="501"/>
      <c r="BU455" s="501"/>
      <c r="BV455" s="501"/>
      <c r="BW455" s="501"/>
      <c r="BX455" s="501"/>
      <c r="BY455" s="501"/>
      <c r="BZ455" s="501"/>
      <c r="CA455" s="501"/>
      <c r="CB455" s="501"/>
      <c r="CC455" s="501"/>
      <c r="CD455" s="501"/>
      <c r="CE455" s="501"/>
      <c r="CF455" s="501"/>
      <c r="CG455" s="501"/>
      <c r="CH455" s="501"/>
      <c r="CI455" s="501"/>
      <c r="CJ455" s="501"/>
      <c r="CK455" s="501"/>
      <c r="CL455" s="501"/>
      <c r="CM455" s="501"/>
      <c r="CN455" s="501"/>
      <c r="CO455" s="501"/>
      <c r="CP455" s="501"/>
      <c r="CQ455" s="501"/>
      <c r="CR455" s="501"/>
      <c r="CS455" s="501"/>
      <c r="CT455" s="501"/>
    </row>
    <row r="456">
      <c r="A456" s="569"/>
      <c r="B456" s="569"/>
      <c r="C456" s="569"/>
      <c r="D456" s="498"/>
      <c r="E456" s="499"/>
      <c r="F456" s="499"/>
      <c r="G456" s="766"/>
      <c r="H456" s="766"/>
      <c r="I456" s="766"/>
      <c r="J456" s="766"/>
      <c r="K456" s="683"/>
      <c r="L456" s="683"/>
      <c r="M456" s="683"/>
      <c r="N456" s="683"/>
      <c r="O456" s="683"/>
      <c r="P456" s="683"/>
      <c r="Q456" s="683"/>
      <c r="R456" s="683"/>
      <c r="S456" s="683"/>
      <c r="T456" s="501"/>
      <c r="U456" s="501"/>
      <c r="V456" s="501"/>
      <c r="W456" s="501"/>
      <c r="X456" s="501"/>
      <c r="Y456" s="501"/>
      <c r="Z456" s="501"/>
      <c r="AA456" s="501"/>
      <c r="AB456" s="501"/>
      <c r="AC456" s="501"/>
      <c r="AD456" s="501"/>
      <c r="AE456" s="501"/>
      <c r="AF456" s="501"/>
      <c r="AG456" s="501"/>
      <c r="AH456" s="501"/>
      <c r="AI456" s="501"/>
      <c r="AJ456" s="501"/>
      <c r="AK456" s="501"/>
      <c r="AL456" s="501"/>
      <c r="AM456" s="501"/>
      <c r="AN456" s="501"/>
      <c r="AO456" s="501"/>
      <c r="AP456" s="501"/>
      <c r="AQ456" s="501"/>
      <c r="AR456" s="501"/>
      <c r="AS456" s="501"/>
      <c r="AT456" s="501"/>
      <c r="AU456" s="501"/>
      <c r="AV456" s="501"/>
      <c r="AW456" s="501"/>
      <c r="AX456" s="501"/>
      <c r="AY456" s="501"/>
      <c r="AZ456" s="501"/>
      <c r="BA456" s="501"/>
      <c r="BB456" s="501"/>
      <c r="BC456" s="501"/>
      <c r="BD456" s="501"/>
      <c r="BE456" s="501"/>
      <c r="BF456" s="501"/>
      <c r="BG456" s="501"/>
      <c r="BH456" s="501"/>
      <c r="BI456" s="501"/>
      <c r="BJ456" s="501"/>
      <c r="BK456" s="501"/>
      <c r="BL456" s="501"/>
      <c r="BM456" s="501"/>
      <c r="BN456" s="501"/>
      <c r="BO456" s="501"/>
      <c r="BP456" s="501"/>
      <c r="BQ456" s="501"/>
      <c r="BR456" s="501"/>
      <c r="BS456" s="501"/>
      <c r="BT456" s="501"/>
      <c r="BU456" s="501"/>
      <c r="BV456" s="501"/>
      <c r="BW456" s="501"/>
      <c r="BX456" s="501"/>
      <c r="BY456" s="501"/>
      <c r="BZ456" s="501"/>
      <c r="CA456" s="501"/>
      <c r="CB456" s="501"/>
      <c r="CC456" s="501"/>
      <c r="CD456" s="501"/>
      <c r="CE456" s="501"/>
      <c r="CF456" s="501"/>
      <c r="CG456" s="501"/>
      <c r="CH456" s="501"/>
      <c r="CI456" s="501"/>
      <c r="CJ456" s="501"/>
      <c r="CK456" s="501"/>
      <c r="CL456" s="501"/>
      <c r="CM456" s="501"/>
      <c r="CN456" s="501"/>
      <c r="CO456" s="501"/>
      <c r="CP456" s="501"/>
      <c r="CQ456" s="501"/>
      <c r="CR456" s="501"/>
      <c r="CS456" s="501"/>
      <c r="CT456" s="501"/>
    </row>
    <row r="457">
      <c r="A457" s="569"/>
      <c r="B457" s="569"/>
      <c r="C457" s="569"/>
      <c r="D457" s="498"/>
      <c r="E457" s="499"/>
      <c r="F457" s="499"/>
      <c r="G457" s="766"/>
      <c r="H457" s="766"/>
      <c r="I457" s="766"/>
      <c r="J457" s="766"/>
      <c r="K457" s="683"/>
      <c r="L457" s="683"/>
      <c r="M457" s="683"/>
      <c r="N457" s="683"/>
      <c r="O457" s="683"/>
      <c r="P457" s="683"/>
      <c r="Q457" s="683"/>
      <c r="R457" s="683"/>
      <c r="S457" s="683"/>
      <c r="T457" s="501"/>
      <c r="U457" s="501"/>
      <c r="V457" s="501"/>
      <c r="W457" s="501"/>
      <c r="X457" s="501"/>
      <c r="Y457" s="501"/>
      <c r="Z457" s="501"/>
      <c r="AA457" s="501"/>
      <c r="AB457" s="501"/>
      <c r="AC457" s="501"/>
      <c r="AD457" s="501"/>
      <c r="AE457" s="501"/>
      <c r="AF457" s="501"/>
      <c r="AG457" s="501"/>
      <c r="AH457" s="501"/>
      <c r="AI457" s="501"/>
      <c r="AJ457" s="501"/>
      <c r="AK457" s="501"/>
      <c r="AL457" s="501"/>
      <c r="AM457" s="501"/>
      <c r="AN457" s="501"/>
      <c r="AO457" s="501"/>
      <c r="AP457" s="501"/>
      <c r="AQ457" s="501"/>
      <c r="AR457" s="501"/>
      <c r="AS457" s="501"/>
      <c r="AT457" s="501"/>
      <c r="AU457" s="501"/>
      <c r="AV457" s="501"/>
      <c r="AW457" s="501"/>
      <c r="AX457" s="501"/>
      <c r="AY457" s="501"/>
      <c r="AZ457" s="501"/>
      <c r="BA457" s="501"/>
      <c r="BB457" s="501"/>
      <c r="BC457" s="501"/>
      <c r="BD457" s="501"/>
      <c r="BE457" s="501"/>
      <c r="BF457" s="501"/>
      <c r="BG457" s="501"/>
      <c r="BH457" s="501"/>
      <c r="BI457" s="501"/>
      <c r="BJ457" s="501"/>
      <c r="BK457" s="501"/>
      <c r="BL457" s="501"/>
      <c r="BM457" s="501"/>
      <c r="BN457" s="501"/>
      <c r="BO457" s="501"/>
      <c r="BP457" s="501"/>
      <c r="BQ457" s="501"/>
      <c r="BR457" s="501"/>
      <c r="BS457" s="501"/>
      <c r="BT457" s="501"/>
      <c r="BU457" s="501"/>
      <c r="BV457" s="501"/>
      <c r="BW457" s="501"/>
      <c r="BX457" s="501"/>
      <c r="BY457" s="501"/>
      <c r="BZ457" s="501"/>
      <c r="CA457" s="501"/>
      <c r="CB457" s="501"/>
      <c r="CC457" s="501"/>
      <c r="CD457" s="501"/>
      <c r="CE457" s="501"/>
      <c r="CF457" s="501"/>
      <c r="CG457" s="501"/>
      <c r="CH457" s="501"/>
      <c r="CI457" s="501"/>
      <c r="CJ457" s="501"/>
      <c r="CK457" s="501"/>
      <c r="CL457" s="501"/>
      <c r="CM457" s="501"/>
      <c r="CN457" s="501"/>
      <c r="CO457" s="501"/>
      <c r="CP457" s="501"/>
      <c r="CQ457" s="501"/>
      <c r="CR457" s="501"/>
      <c r="CS457" s="501"/>
      <c r="CT457" s="501"/>
    </row>
    <row r="458">
      <c r="A458" s="569"/>
      <c r="B458" s="569"/>
      <c r="C458" s="569"/>
      <c r="D458" s="498"/>
      <c r="E458" s="499"/>
      <c r="F458" s="499"/>
      <c r="G458" s="766"/>
      <c r="H458" s="766"/>
      <c r="I458" s="766"/>
      <c r="J458" s="766"/>
      <c r="K458" s="683"/>
      <c r="L458" s="683"/>
      <c r="M458" s="683"/>
      <c r="N458" s="683"/>
      <c r="O458" s="683"/>
      <c r="P458" s="683"/>
      <c r="Q458" s="683"/>
      <c r="R458" s="683"/>
      <c r="S458" s="683"/>
      <c r="T458" s="501"/>
      <c r="U458" s="501"/>
      <c r="V458" s="501"/>
      <c r="W458" s="501"/>
      <c r="X458" s="501"/>
      <c r="Y458" s="501"/>
      <c r="Z458" s="501"/>
      <c r="AA458" s="501"/>
      <c r="AB458" s="501"/>
      <c r="AC458" s="501"/>
      <c r="AD458" s="501"/>
      <c r="AE458" s="501"/>
      <c r="AF458" s="501"/>
      <c r="AG458" s="501"/>
      <c r="AH458" s="501"/>
      <c r="AI458" s="501"/>
      <c r="AJ458" s="501"/>
      <c r="AK458" s="501"/>
      <c r="AL458" s="501"/>
      <c r="AM458" s="501"/>
      <c r="AN458" s="501"/>
      <c r="AO458" s="501"/>
      <c r="AP458" s="501"/>
      <c r="AQ458" s="501"/>
      <c r="AR458" s="501"/>
      <c r="AS458" s="501"/>
      <c r="AT458" s="501"/>
      <c r="AU458" s="501"/>
      <c r="AV458" s="501"/>
      <c r="AW458" s="501"/>
      <c r="AX458" s="501"/>
      <c r="AY458" s="501"/>
      <c r="AZ458" s="501"/>
      <c r="BA458" s="501"/>
      <c r="BB458" s="501"/>
      <c r="BC458" s="501"/>
      <c r="BD458" s="501"/>
      <c r="BE458" s="501"/>
      <c r="BF458" s="501"/>
      <c r="BG458" s="501"/>
      <c r="BH458" s="501"/>
      <c r="BI458" s="501"/>
      <c r="BJ458" s="501"/>
      <c r="BK458" s="501"/>
      <c r="BL458" s="501"/>
      <c r="BM458" s="501"/>
      <c r="BN458" s="501"/>
      <c r="BO458" s="501"/>
      <c r="BP458" s="501"/>
      <c r="BQ458" s="501"/>
      <c r="BR458" s="501"/>
      <c r="BS458" s="501"/>
      <c r="BT458" s="501"/>
      <c r="BU458" s="501"/>
      <c r="BV458" s="501"/>
      <c r="BW458" s="501"/>
      <c r="BX458" s="501"/>
      <c r="BY458" s="501"/>
      <c r="BZ458" s="501"/>
      <c r="CA458" s="501"/>
      <c r="CB458" s="501"/>
      <c r="CC458" s="501"/>
      <c r="CD458" s="501"/>
      <c r="CE458" s="501"/>
      <c r="CF458" s="501"/>
      <c r="CG458" s="501"/>
      <c r="CH458" s="501"/>
      <c r="CI458" s="501"/>
      <c r="CJ458" s="501"/>
      <c r="CK458" s="501"/>
      <c r="CL458" s="501"/>
      <c r="CM458" s="501"/>
      <c r="CN458" s="501"/>
      <c r="CO458" s="501"/>
      <c r="CP458" s="501"/>
      <c r="CQ458" s="501"/>
      <c r="CR458" s="501"/>
      <c r="CS458" s="501"/>
      <c r="CT458" s="501"/>
    </row>
    <row r="459">
      <c r="A459" s="569"/>
      <c r="B459" s="569"/>
      <c r="C459" s="569"/>
      <c r="D459" s="498"/>
      <c r="E459" s="499"/>
      <c r="F459" s="499"/>
      <c r="G459" s="766"/>
      <c r="H459" s="766"/>
      <c r="I459" s="766"/>
      <c r="J459" s="766"/>
      <c r="K459" s="683"/>
      <c r="L459" s="683"/>
      <c r="M459" s="683"/>
      <c r="N459" s="683"/>
      <c r="O459" s="683"/>
      <c r="P459" s="683"/>
      <c r="Q459" s="683"/>
      <c r="R459" s="683"/>
      <c r="S459" s="683"/>
      <c r="T459" s="501"/>
      <c r="U459" s="501"/>
      <c r="V459" s="501"/>
      <c r="W459" s="501"/>
      <c r="X459" s="501"/>
      <c r="Y459" s="501"/>
      <c r="Z459" s="501"/>
      <c r="AA459" s="501"/>
      <c r="AB459" s="501"/>
      <c r="AC459" s="501"/>
      <c r="AD459" s="501"/>
      <c r="AE459" s="501"/>
      <c r="AF459" s="501"/>
      <c r="AG459" s="501"/>
      <c r="AH459" s="501"/>
      <c r="AI459" s="501"/>
      <c r="AJ459" s="501"/>
      <c r="AK459" s="501"/>
      <c r="AL459" s="501"/>
      <c r="AM459" s="501"/>
      <c r="AN459" s="501"/>
      <c r="AO459" s="501"/>
      <c r="AP459" s="501"/>
      <c r="AQ459" s="501"/>
      <c r="AR459" s="501"/>
      <c r="AS459" s="501"/>
      <c r="AT459" s="501"/>
      <c r="AU459" s="501"/>
      <c r="AV459" s="501"/>
      <c r="AW459" s="501"/>
      <c r="AX459" s="501"/>
      <c r="AY459" s="501"/>
      <c r="AZ459" s="501"/>
      <c r="BA459" s="501"/>
      <c r="BB459" s="501"/>
      <c r="BC459" s="501"/>
      <c r="BD459" s="501"/>
      <c r="BE459" s="501"/>
      <c r="BF459" s="501"/>
      <c r="BG459" s="501"/>
      <c r="BH459" s="501"/>
      <c r="BI459" s="501"/>
      <c r="BJ459" s="501"/>
      <c r="BK459" s="501"/>
      <c r="BL459" s="501"/>
      <c r="BM459" s="501"/>
      <c r="BN459" s="501"/>
      <c r="BO459" s="501"/>
      <c r="BP459" s="501"/>
      <c r="BQ459" s="501"/>
      <c r="BR459" s="501"/>
      <c r="BS459" s="501"/>
      <c r="BT459" s="501"/>
      <c r="BU459" s="501"/>
      <c r="BV459" s="501"/>
      <c r="BW459" s="501"/>
      <c r="BX459" s="501"/>
      <c r="BY459" s="501"/>
      <c r="BZ459" s="501"/>
      <c r="CA459" s="501"/>
      <c r="CB459" s="501"/>
      <c r="CC459" s="501"/>
      <c r="CD459" s="501"/>
      <c r="CE459" s="501"/>
      <c r="CF459" s="501"/>
      <c r="CG459" s="501"/>
      <c r="CH459" s="501"/>
      <c r="CI459" s="501"/>
      <c r="CJ459" s="501"/>
      <c r="CK459" s="501"/>
      <c r="CL459" s="501"/>
      <c r="CM459" s="501"/>
      <c r="CN459" s="501"/>
      <c r="CO459" s="501"/>
      <c r="CP459" s="501"/>
      <c r="CQ459" s="501"/>
      <c r="CR459" s="501"/>
      <c r="CS459" s="501"/>
      <c r="CT459" s="501"/>
    </row>
    <row r="460">
      <c r="A460" s="569"/>
      <c r="B460" s="569"/>
      <c r="C460" s="569"/>
      <c r="D460" s="498"/>
      <c r="E460" s="499"/>
      <c r="F460" s="499"/>
      <c r="G460" s="766"/>
      <c r="H460" s="766"/>
      <c r="I460" s="766"/>
      <c r="J460" s="766"/>
      <c r="K460" s="683"/>
      <c r="L460" s="683"/>
      <c r="M460" s="683"/>
      <c r="N460" s="683"/>
      <c r="O460" s="683"/>
      <c r="P460" s="683"/>
      <c r="Q460" s="683"/>
      <c r="R460" s="683"/>
      <c r="S460" s="683"/>
      <c r="T460" s="501"/>
      <c r="U460" s="501"/>
      <c r="V460" s="501"/>
      <c r="W460" s="501"/>
      <c r="X460" s="501"/>
      <c r="Y460" s="501"/>
      <c r="Z460" s="501"/>
      <c r="AA460" s="501"/>
      <c r="AB460" s="501"/>
      <c r="AC460" s="501"/>
      <c r="AD460" s="501"/>
      <c r="AE460" s="501"/>
      <c r="AF460" s="501"/>
      <c r="AG460" s="501"/>
      <c r="AH460" s="501"/>
      <c r="AI460" s="501"/>
      <c r="AJ460" s="501"/>
      <c r="AK460" s="501"/>
      <c r="AL460" s="501"/>
      <c r="AM460" s="501"/>
      <c r="AN460" s="501"/>
      <c r="AO460" s="501"/>
      <c r="AP460" s="501"/>
      <c r="AQ460" s="501"/>
      <c r="AR460" s="501"/>
      <c r="AS460" s="501"/>
      <c r="AT460" s="501"/>
      <c r="AU460" s="501"/>
      <c r="AV460" s="501"/>
      <c r="AW460" s="501"/>
      <c r="AX460" s="501"/>
      <c r="AY460" s="501"/>
      <c r="AZ460" s="501"/>
      <c r="BA460" s="501"/>
      <c r="BB460" s="501"/>
      <c r="BC460" s="501"/>
      <c r="BD460" s="501"/>
      <c r="BE460" s="501"/>
      <c r="BF460" s="501"/>
      <c r="BG460" s="501"/>
      <c r="BH460" s="501"/>
      <c r="BI460" s="501"/>
      <c r="BJ460" s="501"/>
      <c r="BK460" s="501"/>
      <c r="BL460" s="501"/>
      <c r="BM460" s="501"/>
      <c r="BN460" s="501"/>
      <c r="BO460" s="501"/>
      <c r="BP460" s="501"/>
      <c r="BQ460" s="501"/>
      <c r="BR460" s="501"/>
      <c r="BS460" s="501"/>
      <c r="BT460" s="501"/>
      <c r="BU460" s="501"/>
      <c r="BV460" s="501"/>
      <c r="BW460" s="501"/>
      <c r="BX460" s="501"/>
      <c r="BY460" s="501"/>
      <c r="BZ460" s="501"/>
      <c r="CA460" s="501"/>
      <c r="CB460" s="501"/>
      <c r="CC460" s="501"/>
      <c r="CD460" s="501"/>
      <c r="CE460" s="501"/>
      <c r="CF460" s="501"/>
      <c r="CG460" s="501"/>
      <c r="CH460" s="501"/>
      <c r="CI460" s="501"/>
      <c r="CJ460" s="501"/>
      <c r="CK460" s="501"/>
      <c r="CL460" s="501"/>
      <c r="CM460" s="501"/>
      <c r="CN460" s="501"/>
      <c r="CO460" s="501"/>
      <c r="CP460" s="501"/>
      <c r="CQ460" s="501"/>
      <c r="CR460" s="501"/>
      <c r="CS460" s="501"/>
      <c r="CT460" s="501"/>
    </row>
    <row r="461">
      <c r="A461" s="569"/>
      <c r="B461" s="569"/>
      <c r="C461" s="569"/>
      <c r="D461" s="498"/>
      <c r="E461" s="499"/>
      <c r="F461" s="499"/>
      <c r="G461" s="766"/>
      <c r="H461" s="766"/>
      <c r="I461" s="766"/>
      <c r="J461" s="766"/>
      <c r="K461" s="683"/>
      <c r="L461" s="683"/>
      <c r="M461" s="683"/>
      <c r="N461" s="683"/>
      <c r="O461" s="683"/>
      <c r="P461" s="683"/>
      <c r="Q461" s="683"/>
      <c r="R461" s="683"/>
      <c r="S461" s="683"/>
      <c r="T461" s="501"/>
      <c r="U461" s="501"/>
      <c r="V461" s="501"/>
      <c r="W461" s="501"/>
      <c r="X461" s="501"/>
      <c r="Y461" s="501"/>
      <c r="Z461" s="501"/>
      <c r="AA461" s="501"/>
      <c r="AB461" s="501"/>
      <c r="AC461" s="501"/>
      <c r="AD461" s="501"/>
      <c r="AE461" s="501"/>
      <c r="AF461" s="501"/>
      <c r="AG461" s="501"/>
      <c r="AH461" s="501"/>
      <c r="AI461" s="501"/>
      <c r="AJ461" s="501"/>
      <c r="AK461" s="501"/>
      <c r="AL461" s="501"/>
      <c r="AM461" s="501"/>
      <c r="AN461" s="501"/>
      <c r="AO461" s="501"/>
      <c r="AP461" s="501"/>
      <c r="AQ461" s="501"/>
      <c r="AR461" s="501"/>
      <c r="AS461" s="501"/>
      <c r="AT461" s="501"/>
      <c r="AU461" s="501"/>
      <c r="AV461" s="501"/>
      <c r="AW461" s="501"/>
      <c r="AX461" s="501"/>
      <c r="AY461" s="501"/>
      <c r="AZ461" s="501"/>
      <c r="BA461" s="501"/>
      <c r="BB461" s="501"/>
      <c r="BC461" s="501"/>
      <c r="BD461" s="501"/>
      <c r="BE461" s="501"/>
      <c r="BF461" s="501"/>
      <c r="BG461" s="501"/>
      <c r="BH461" s="501"/>
      <c r="BI461" s="501"/>
      <c r="BJ461" s="501"/>
      <c r="BK461" s="501"/>
      <c r="BL461" s="501"/>
      <c r="BM461" s="501"/>
      <c r="BN461" s="501"/>
      <c r="BO461" s="501"/>
      <c r="BP461" s="501"/>
      <c r="BQ461" s="501"/>
      <c r="BR461" s="501"/>
      <c r="BS461" s="501"/>
      <c r="BT461" s="501"/>
      <c r="BU461" s="501"/>
      <c r="BV461" s="501"/>
      <c r="BW461" s="501"/>
      <c r="BX461" s="501"/>
      <c r="BY461" s="501"/>
      <c r="BZ461" s="501"/>
      <c r="CA461" s="501"/>
      <c r="CB461" s="501"/>
      <c r="CC461" s="501"/>
      <c r="CD461" s="501"/>
      <c r="CE461" s="501"/>
      <c r="CF461" s="501"/>
      <c r="CG461" s="501"/>
      <c r="CH461" s="501"/>
      <c r="CI461" s="501"/>
      <c r="CJ461" s="501"/>
      <c r="CK461" s="501"/>
      <c r="CL461" s="501"/>
      <c r="CM461" s="501"/>
      <c r="CN461" s="501"/>
      <c r="CO461" s="501"/>
      <c r="CP461" s="501"/>
      <c r="CQ461" s="501"/>
      <c r="CR461" s="501"/>
      <c r="CS461" s="501"/>
      <c r="CT461" s="501"/>
    </row>
    <row r="462">
      <c r="A462" s="569"/>
      <c r="B462" s="569"/>
      <c r="C462" s="569"/>
      <c r="D462" s="498"/>
      <c r="E462" s="499"/>
      <c r="F462" s="499"/>
      <c r="G462" s="766"/>
      <c r="H462" s="766"/>
      <c r="I462" s="766"/>
      <c r="J462" s="766"/>
      <c r="K462" s="683"/>
      <c r="L462" s="683"/>
      <c r="M462" s="683"/>
      <c r="N462" s="683"/>
      <c r="O462" s="683"/>
      <c r="P462" s="683"/>
      <c r="Q462" s="683"/>
      <c r="R462" s="683"/>
      <c r="S462" s="683"/>
      <c r="T462" s="501"/>
      <c r="U462" s="501"/>
      <c r="V462" s="501"/>
      <c r="W462" s="501"/>
      <c r="X462" s="501"/>
      <c r="Y462" s="501"/>
      <c r="Z462" s="501"/>
      <c r="AA462" s="501"/>
      <c r="AB462" s="501"/>
      <c r="AC462" s="501"/>
      <c r="AD462" s="501"/>
      <c r="AE462" s="501"/>
      <c r="AF462" s="501"/>
      <c r="AG462" s="501"/>
      <c r="AH462" s="501"/>
      <c r="AI462" s="501"/>
      <c r="AJ462" s="501"/>
      <c r="AK462" s="501"/>
      <c r="AL462" s="501"/>
      <c r="AM462" s="501"/>
      <c r="AN462" s="501"/>
      <c r="AO462" s="501"/>
      <c r="AP462" s="501"/>
      <c r="AQ462" s="501"/>
      <c r="AR462" s="501"/>
      <c r="AS462" s="501"/>
      <c r="AT462" s="501"/>
      <c r="AU462" s="501"/>
      <c r="AV462" s="501"/>
      <c r="AW462" s="501"/>
      <c r="AX462" s="501"/>
      <c r="AY462" s="501"/>
      <c r="AZ462" s="501"/>
      <c r="BA462" s="501"/>
      <c r="BB462" s="501"/>
      <c r="BC462" s="501"/>
      <c r="BD462" s="501"/>
      <c r="BE462" s="501"/>
      <c r="BF462" s="501"/>
      <c r="BG462" s="501"/>
      <c r="BH462" s="501"/>
      <c r="BI462" s="501"/>
      <c r="BJ462" s="501"/>
      <c r="BK462" s="501"/>
      <c r="BL462" s="501"/>
      <c r="BM462" s="501"/>
      <c r="BN462" s="501"/>
      <c r="BO462" s="501"/>
      <c r="BP462" s="501"/>
      <c r="BQ462" s="501"/>
      <c r="BR462" s="501"/>
      <c r="BS462" s="501"/>
      <c r="BT462" s="501"/>
      <c r="BU462" s="501"/>
      <c r="BV462" s="501"/>
      <c r="BW462" s="501"/>
      <c r="BX462" s="501"/>
      <c r="BY462" s="501"/>
      <c r="BZ462" s="501"/>
      <c r="CA462" s="501"/>
      <c r="CB462" s="501"/>
      <c r="CC462" s="501"/>
      <c r="CD462" s="501"/>
      <c r="CE462" s="501"/>
      <c r="CF462" s="501"/>
      <c r="CG462" s="501"/>
      <c r="CH462" s="501"/>
      <c r="CI462" s="501"/>
      <c r="CJ462" s="501"/>
      <c r="CK462" s="501"/>
      <c r="CL462" s="501"/>
      <c r="CM462" s="501"/>
      <c r="CN462" s="501"/>
      <c r="CO462" s="501"/>
      <c r="CP462" s="501"/>
      <c r="CQ462" s="501"/>
      <c r="CR462" s="501"/>
      <c r="CS462" s="501"/>
      <c r="CT462" s="501"/>
    </row>
    <row r="463">
      <c r="A463" s="569"/>
      <c r="B463" s="569"/>
      <c r="C463" s="569"/>
      <c r="D463" s="498"/>
      <c r="E463" s="499"/>
      <c r="F463" s="499"/>
      <c r="G463" s="766"/>
      <c r="H463" s="766"/>
      <c r="I463" s="766"/>
      <c r="J463" s="766"/>
      <c r="K463" s="683"/>
      <c r="L463" s="683"/>
      <c r="M463" s="683"/>
      <c r="N463" s="683"/>
      <c r="O463" s="683"/>
      <c r="P463" s="683"/>
      <c r="Q463" s="683"/>
      <c r="R463" s="683"/>
      <c r="S463" s="683"/>
      <c r="T463" s="501"/>
      <c r="U463" s="501"/>
      <c r="V463" s="501"/>
      <c r="W463" s="501"/>
      <c r="X463" s="501"/>
      <c r="Y463" s="501"/>
      <c r="Z463" s="501"/>
      <c r="AA463" s="501"/>
      <c r="AB463" s="501"/>
      <c r="AC463" s="501"/>
      <c r="AD463" s="501"/>
      <c r="AE463" s="501"/>
      <c r="AF463" s="501"/>
      <c r="AG463" s="501"/>
      <c r="AH463" s="501"/>
      <c r="AI463" s="501"/>
      <c r="AJ463" s="501"/>
      <c r="AK463" s="501"/>
      <c r="AL463" s="501"/>
      <c r="AM463" s="501"/>
      <c r="AN463" s="501"/>
      <c r="AO463" s="501"/>
      <c r="AP463" s="501"/>
      <c r="AQ463" s="501"/>
      <c r="AR463" s="501"/>
      <c r="AS463" s="501"/>
      <c r="AT463" s="501"/>
      <c r="AU463" s="501"/>
      <c r="AV463" s="501"/>
      <c r="AW463" s="501"/>
      <c r="AX463" s="501"/>
      <c r="AY463" s="501"/>
      <c r="AZ463" s="501"/>
      <c r="BA463" s="501"/>
      <c r="BB463" s="501"/>
      <c r="BC463" s="501"/>
      <c r="BD463" s="501"/>
      <c r="BE463" s="501"/>
      <c r="BF463" s="501"/>
      <c r="BG463" s="501"/>
      <c r="BH463" s="501"/>
      <c r="BI463" s="501"/>
      <c r="BJ463" s="501"/>
      <c r="BK463" s="501"/>
      <c r="BL463" s="501"/>
      <c r="BM463" s="501"/>
      <c r="BN463" s="501"/>
      <c r="BO463" s="501"/>
      <c r="BP463" s="501"/>
      <c r="BQ463" s="501"/>
      <c r="BR463" s="501"/>
      <c r="BS463" s="501"/>
      <c r="BT463" s="501"/>
      <c r="BU463" s="501"/>
      <c r="BV463" s="501"/>
      <c r="BW463" s="501"/>
      <c r="BX463" s="501"/>
      <c r="BY463" s="501"/>
      <c r="BZ463" s="501"/>
      <c r="CA463" s="501"/>
      <c r="CB463" s="501"/>
      <c r="CC463" s="501"/>
      <c r="CD463" s="501"/>
      <c r="CE463" s="501"/>
      <c r="CF463" s="501"/>
      <c r="CG463" s="501"/>
      <c r="CH463" s="501"/>
      <c r="CI463" s="501"/>
      <c r="CJ463" s="501"/>
      <c r="CK463" s="501"/>
      <c r="CL463" s="501"/>
      <c r="CM463" s="501"/>
      <c r="CN463" s="501"/>
      <c r="CO463" s="501"/>
      <c r="CP463" s="501"/>
      <c r="CQ463" s="501"/>
      <c r="CR463" s="501"/>
      <c r="CS463" s="501"/>
      <c r="CT463" s="501"/>
    </row>
    <row r="464">
      <c r="A464" s="569"/>
      <c r="B464" s="569"/>
      <c r="C464" s="569"/>
      <c r="D464" s="498"/>
      <c r="E464" s="499"/>
      <c r="F464" s="499"/>
      <c r="G464" s="766"/>
      <c r="H464" s="766"/>
      <c r="I464" s="766"/>
      <c r="J464" s="766"/>
      <c r="K464" s="683"/>
      <c r="L464" s="683"/>
      <c r="M464" s="683"/>
      <c r="N464" s="683"/>
      <c r="O464" s="683"/>
      <c r="P464" s="683"/>
      <c r="Q464" s="683"/>
      <c r="R464" s="683"/>
      <c r="S464" s="683"/>
      <c r="T464" s="501"/>
      <c r="U464" s="501"/>
      <c r="V464" s="501"/>
      <c r="W464" s="501"/>
      <c r="X464" s="501"/>
      <c r="Y464" s="501"/>
      <c r="Z464" s="501"/>
      <c r="AA464" s="501"/>
      <c r="AB464" s="501"/>
      <c r="AC464" s="501"/>
      <c r="AD464" s="501"/>
      <c r="AE464" s="501"/>
      <c r="AF464" s="501"/>
      <c r="AG464" s="501"/>
      <c r="AH464" s="501"/>
      <c r="AI464" s="501"/>
      <c r="AJ464" s="501"/>
      <c r="AK464" s="501"/>
      <c r="AL464" s="501"/>
      <c r="AM464" s="501"/>
      <c r="AN464" s="501"/>
      <c r="AO464" s="501"/>
      <c r="AP464" s="501"/>
      <c r="AQ464" s="501"/>
      <c r="AR464" s="501"/>
      <c r="AS464" s="501"/>
      <c r="AT464" s="501"/>
      <c r="AU464" s="501"/>
      <c r="AV464" s="501"/>
      <c r="AW464" s="501"/>
      <c r="AX464" s="501"/>
      <c r="AY464" s="501"/>
      <c r="AZ464" s="501"/>
      <c r="BA464" s="501"/>
      <c r="BB464" s="501"/>
      <c r="BC464" s="501"/>
      <c r="BD464" s="501"/>
      <c r="BE464" s="501"/>
      <c r="BF464" s="501"/>
      <c r="BG464" s="501"/>
      <c r="BH464" s="501"/>
      <c r="BI464" s="501"/>
      <c r="BJ464" s="501"/>
      <c r="BK464" s="501"/>
      <c r="BL464" s="501"/>
      <c r="BM464" s="501"/>
      <c r="BN464" s="501"/>
      <c r="BO464" s="501"/>
      <c r="BP464" s="501"/>
      <c r="BQ464" s="501"/>
      <c r="BR464" s="501"/>
      <c r="BS464" s="501"/>
      <c r="BT464" s="501"/>
      <c r="BU464" s="501"/>
      <c r="BV464" s="501"/>
      <c r="BW464" s="501"/>
      <c r="BX464" s="501"/>
      <c r="BY464" s="501"/>
      <c r="BZ464" s="501"/>
      <c r="CA464" s="501"/>
      <c r="CB464" s="501"/>
      <c r="CC464" s="501"/>
      <c r="CD464" s="501"/>
      <c r="CE464" s="501"/>
      <c r="CF464" s="501"/>
      <c r="CG464" s="501"/>
      <c r="CH464" s="501"/>
      <c r="CI464" s="501"/>
      <c r="CJ464" s="501"/>
      <c r="CK464" s="501"/>
      <c r="CL464" s="501"/>
      <c r="CM464" s="501"/>
      <c r="CN464" s="501"/>
      <c r="CO464" s="501"/>
      <c r="CP464" s="501"/>
      <c r="CQ464" s="501"/>
      <c r="CR464" s="501"/>
      <c r="CS464" s="501"/>
      <c r="CT464" s="501"/>
    </row>
    <row r="465">
      <c r="A465" s="569"/>
      <c r="B465" s="569"/>
      <c r="C465" s="569"/>
      <c r="D465" s="498"/>
      <c r="E465" s="499"/>
      <c r="F465" s="499"/>
      <c r="G465" s="766"/>
      <c r="H465" s="766"/>
      <c r="I465" s="766"/>
      <c r="J465" s="766"/>
      <c r="K465" s="683"/>
      <c r="L465" s="683"/>
      <c r="M465" s="683"/>
      <c r="N465" s="683"/>
      <c r="O465" s="683"/>
      <c r="P465" s="683"/>
      <c r="Q465" s="683"/>
      <c r="R465" s="683"/>
      <c r="S465" s="683"/>
      <c r="T465" s="501"/>
      <c r="U465" s="501"/>
      <c r="V465" s="501"/>
      <c r="W465" s="501"/>
      <c r="X465" s="501"/>
      <c r="Y465" s="501"/>
      <c r="Z465" s="501"/>
      <c r="AA465" s="501"/>
      <c r="AB465" s="501"/>
      <c r="AC465" s="501"/>
      <c r="AD465" s="501"/>
      <c r="AE465" s="501"/>
      <c r="AF465" s="501"/>
      <c r="AG465" s="501"/>
      <c r="AH465" s="501"/>
      <c r="AI465" s="501"/>
      <c r="AJ465" s="501"/>
      <c r="AK465" s="501"/>
      <c r="AL465" s="501"/>
      <c r="AM465" s="501"/>
      <c r="AN465" s="501"/>
      <c r="AO465" s="501"/>
      <c r="AP465" s="501"/>
      <c r="AQ465" s="501"/>
      <c r="AR465" s="501"/>
      <c r="AS465" s="501"/>
      <c r="AT465" s="501"/>
      <c r="AU465" s="501"/>
      <c r="AV465" s="501"/>
      <c r="AW465" s="501"/>
      <c r="AX465" s="501"/>
      <c r="AY465" s="501"/>
      <c r="AZ465" s="501"/>
      <c r="BA465" s="501"/>
      <c r="BB465" s="501"/>
      <c r="BC465" s="501"/>
      <c r="BD465" s="501"/>
      <c r="BE465" s="501"/>
      <c r="BF465" s="501"/>
      <c r="BG465" s="501"/>
      <c r="BH465" s="501"/>
      <c r="BI465" s="501"/>
      <c r="BJ465" s="501"/>
      <c r="BK465" s="501"/>
      <c r="BL465" s="501"/>
      <c r="BM465" s="501"/>
      <c r="BN465" s="501"/>
      <c r="BO465" s="501"/>
      <c r="BP465" s="501"/>
      <c r="BQ465" s="501"/>
      <c r="BR465" s="501"/>
      <c r="BS465" s="501"/>
      <c r="BT465" s="501"/>
      <c r="BU465" s="501"/>
      <c r="BV465" s="501"/>
      <c r="BW465" s="501"/>
      <c r="BX465" s="501"/>
      <c r="BY465" s="501"/>
      <c r="BZ465" s="501"/>
      <c r="CA465" s="501"/>
      <c r="CB465" s="501"/>
      <c r="CC465" s="501"/>
      <c r="CD465" s="501"/>
      <c r="CE465" s="501"/>
      <c r="CF465" s="501"/>
      <c r="CG465" s="501"/>
      <c r="CH465" s="501"/>
      <c r="CI465" s="501"/>
      <c r="CJ465" s="501"/>
      <c r="CK465" s="501"/>
      <c r="CL465" s="501"/>
      <c r="CM465" s="501"/>
      <c r="CN465" s="501"/>
      <c r="CO465" s="501"/>
      <c r="CP465" s="501"/>
      <c r="CQ465" s="501"/>
      <c r="CR465" s="501"/>
      <c r="CS465" s="501"/>
      <c r="CT465" s="501"/>
    </row>
    <row r="466">
      <c r="A466" s="569"/>
      <c r="B466" s="569"/>
      <c r="C466" s="569"/>
      <c r="D466" s="498"/>
      <c r="E466" s="499"/>
      <c r="F466" s="499"/>
      <c r="G466" s="766"/>
      <c r="H466" s="766"/>
      <c r="I466" s="766"/>
      <c r="J466" s="766"/>
      <c r="K466" s="683"/>
      <c r="L466" s="683"/>
      <c r="M466" s="683"/>
      <c r="N466" s="683"/>
      <c r="O466" s="683"/>
      <c r="P466" s="683"/>
      <c r="Q466" s="683"/>
      <c r="R466" s="683"/>
      <c r="S466" s="683"/>
      <c r="T466" s="501"/>
      <c r="U466" s="501"/>
      <c r="V466" s="501"/>
      <c r="W466" s="501"/>
      <c r="X466" s="501"/>
      <c r="Y466" s="501"/>
      <c r="Z466" s="501"/>
      <c r="AA466" s="501"/>
      <c r="AB466" s="501"/>
      <c r="AC466" s="501"/>
      <c r="AD466" s="501"/>
      <c r="AE466" s="501"/>
      <c r="AF466" s="501"/>
      <c r="AG466" s="501"/>
      <c r="AH466" s="501"/>
      <c r="AI466" s="501"/>
      <c r="AJ466" s="501"/>
      <c r="AK466" s="501"/>
      <c r="AL466" s="501"/>
      <c r="AM466" s="501"/>
      <c r="AN466" s="501"/>
      <c r="AO466" s="501"/>
      <c r="AP466" s="501"/>
      <c r="AQ466" s="501"/>
      <c r="AR466" s="501"/>
      <c r="AS466" s="501"/>
      <c r="AT466" s="501"/>
      <c r="AU466" s="501"/>
      <c r="AV466" s="501"/>
      <c r="AW466" s="501"/>
      <c r="AX466" s="501"/>
      <c r="AY466" s="501"/>
      <c r="AZ466" s="501"/>
      <c r="BA466" s="501"/>
      <c r="BB466" s="501"/>
      <c r="BC466" s="501"/>
      <c r="BD466" s="501"/>
      <c r="BE466" s="501"/>
      <c r="BF466" s="501"/>
      <c r="BG466" s="501"/>
      <c r="BH466" s="501"/>
      <c r="BI466" s="501"/>
      <c r="BJ466" s="501"/>
      <c r="BK466" s="501"/>
      <c r="BL466" s="501"/>
      <c r="BM466" s="501"/>
      <c r="BN466" s="501"/>
      <c r="BO466" s="501"/>
      <c r="BP466" s="501"/>
      <c r="BQ466" s="501"/>
      <c r="BR466" s="501"/>
      <c r="BS466" s="501"/>
      <c r="BT466" s="501"/>
      <c r="BU466" s="501"/>
      <c r="BV466" s="501"/>
      <c r="BW466" s="501"/>
      <c r="BX466" s="501"/>
      <c r="BY466" s="501"/>
      <c r="BZ466" s="501"/>
      <c r="CA466" s="501"/>
      <c r="CB466" s="501"/>
      <c r="CC466" s="501"/>
      <c r="CD466" s="501"/>
      <c r="CE466" s="501"/>
      <c r="CF466" s="501"/>
      <c r="CG466" s="501"/>
      <c r="CH466" s="501"/>
      <c r="CI466" s="501"/>
      <c r="CJ466" s="501"/>
      <c r="CK466" s="501"/>
      <c r="CL466" s="501"/>
      <c r="CM466" s="501"/>
      <c r="CN466" s="501"/>
      <c r="CO466" s="501"/>
      <c r="CP466" s="501"/>
      <c r="CQ466" s="501"/>
      <c r="CR466" s="501"/>
      <c r="CS466" s="501"/>
      <c r="CT466" s="501"/>
    </row>
    <row r="467">
      <c r="A467" s="569"/>
      <c r="B467" s="569"/>
      <c r="C467" s="569"/>
      <c r="D467" s="498"/>
      <c r="E467" s="499"/>
      <c r="F467" s="499"/>
      <c r="G467" s="766"/>
      <c r="H467" s="766"/>
      <c r="I467" s="766"/>
      <c r="J467" s="766"/>
      <c r="K467" s="683"/>
      <c r="L467" s="683"/>
      <c r="M467" s="683"/>
      <c r="N467" s="683"/>
      <c r="O467" s="683"/>
      <c r="P467" s="683"/>
      <c r="Q467" s="683"/>
      <c r="R467" s="683"/>
      <c r="S467" s="683"/>
      <c r="T467" s="501"/>
      <c r="U467" s="501"/>
      <c r="V467" s="501"/>
      <c r="W467" s="501"/>
      <c r="X467" s="501"/>
      <c r="Y467" s="501"/>
      <c r="Z467" s="501"/>
      <c r="AA467" s="501"/>
      <c r="AB467" s="501"/>
      <c r="AC467" s="501"/>
      <c r="AD467" s="501"/>
      <c r="AE467" s="501"/>
      <c r="AF467" s="501"/>
      <c r="AG467" s="501"/>
      <c r="AH467" s="501"/>
      <c r="AI467" s="501"/>
      <c r="AJ467" s="501"/>
      <c r="AK467" s="501"/>
      <c r="AL467" s="501"/>
      <c r="AM467" s="501"/>
      <c r="AN467" s="501"/>
      <c r="AO467" s="501"/>
      <c r="AP467" s="501"/>
      <c r="AQ467" s="501"/>
      <c r="AR467" s="501"/>
      <c r="AS467" s="501"/>
      <c r="AT467" s="501"/>
      <c r="AU467" s="501"/>
      <c r="AV467" s="501"/>
      <c r="AW467" s="501"/>
      <c r="AX467" s="501"/>
      <c r="AY467" s="501"/>
      <c r="AZ467" s="501"/>
      <c r="BA467" s="501"/>
      <c r="BB467" s="501"/>
      <c r="BC467" s="501"/>
      <c r="BD467" s="501"/>
      <c r="BE467" s="501"/>
      <c r="BF467" s="501"/>
      <c r="BG467" s="501"/>
      <c r="BH467" s="501"/>
      <c r="BI467" s="501"/>
      <c r="BJ467" s="501"/>
      <c r="BK467" s="501"/>
      <c r="BL467" s="501"/>
      <c r="BM467" s="501"/>
      <c r="BN467" s="501"/>
      <c r="BO467" s="501"/>
      <c r="BP467" s="501"/>
      <c r="BQ467" s="501"/>
      <c r="BR467" s="501"/>
      <c r="BS467" s="501"/>
      <c r="BT467" s="501"/>
      <c r="BU467" s="501"/>
      <c r="BV467" s="501"/>
      <c r="BW467" s="501"/>
      <c r="BX467" s="501"/>
      <c r="BY467" s="501"/>
      <c r="BZ467" s="501"/>
      <c r="CA467" s="501"/>
      <c r="CB467" s="501"/>
      <c r="CC467" s="501"/>
      <c r="CD467" s="501"/>
      <c r="CE467" s="501"/>
      <c r="CF467" s="501"/>
      <c r="CG467" s="501"/>
      <c r="CH467" s="501"/>
      <c r="CI467" s="501"/>
      <c r="CJ467" s="501"/>
      <c r="CK467" s="501"/>
      <c r="CL467" s="501"/>
      <c r="CM467" s="501"/>
      <c r="CN467" s="501"/>
      <c r="CO467" s="501"/>
      <c r="CP467" s="501"/>
      <c r="CQ467" s="501"/>
      <c r="CR467" s="501"/>
      <c r="CS467" s="501"/>
      <c r="CT467" s="501"/>
    </row>
    <row r="468">
      <c r="A468" s="569"/>
      <c r="B468" s="569"/>
      <c r="C468" s="569"/>
      <c r="D468" s="498"/>
      <c r="E468" s="499"/>
      <c r="F468" s="499"/>
      <c r="G468" s="766"/>
      <c r="H468" s="766"/>
      <c r="I468" s="766"/>
      <c r="J468" s="766"/>
      <c r="K468" s="683"/>
      <c r="L468" s="683"/>
      <c r="M468" s="683"/>
      <c r="N468" s="683"/>
      <c r="O468" s="683"/>
      <c r="P468" s="683"/>
      <c r="Q468" s="683"/>
      <c r="R468" s="683"/>
      <c r="S468" s="683"/>
      <c r="T468" s="501"/>
      <c r="U468" s="501"/>
      <c r="V468" s="501"/>
      <c r="W468" s="501"/>
      <c r="X468" s="501"/>
      <c r="Y468" s="501"/>
      <c r="Z468" s="501"/>
      <c r="AA468" s="501"/>
      <c r="AB468" s="501"/>
      <c r="AC468" s="501"/>
      <c r="AD468" s="501"/>
      <c r="AE468" s="501"/>
      <c r="AF468" s="501"/>
      <c r="AG468" s="501"/>
      <c r="AH468" s="501"/>
      <c r="AI468" s="501"/>
      <c r="AJ468" s="501"/>
      <c r="AK468" s="501"/>
      <c r="AL468" s="501"/>
      <c r="AM468" s="501"/>
      <c r="AN468" s="501"/>
      <c r="AO468" s="501"/>
      <c r="AP468" s="501"/>
      <c r="AQ468" s="501"/>
      <c r="AR468" s="501"/>
      <c r="AS468" s="501"/>
      <c r="AT468" s="501"/>
      <c r="AU468" s="501"/>
      <c r="AV468" s="501"/>
      <c r="AW468" s="501"/>
      <c r="AX468" s="501"/>
      <c r="AY468" s="501"/>
      <c r="AZ468" s="501"/>
      <c r="BA468" s="501"/>
      <c r="BB468" s="501"/>
      <c r="BC468" s="501"/>
      <c r="BD468" s="501"/>
      <c r="BE468" s="501"/>
      <c r="BF468" s="501"/>
      <c r="BG468" s="501"/>
      <c r="BH468" s="501"/>
      <c r="BI468" s="501"/>
      <c r="BJ468" s="501"/>
      <c r="BK468" s="501"/>
      <c r="BL468" s="501"/>
      <c r="BM468" s="501"/>
      <c r="BN468" s="501"/>
      <c r="BO468" s="501"/>
      <c r="BP468" s="501"/>
      <c r="BQ468" s="501"/>
      <c r="BR468" s="501"/>
      <c r="BS468" s="501"/>
      <c r="BT468" s="501"/>
      <c r="BU468" s="501"/>
      <c r="BV468" s="501"/>
      <c r="BW468" s="501"/>
      <c r="BX468" s="501"/>
      <c r="BY468" s="501"/>
      <c r="BZ468" s="501"/>
      <c r="CA468" s="501"/>
      <c r="CB468" s="501"/>
      <c r="CC468" s="501"/>
      <c r="CD468" s="501"/>
      <c r="CE468" s="501"/>
      <c r="CF468" s="501"/>
      <c r="CG468" s="501"/>
      <c r="CH468" s="501"/>
      <c r="CI468" s="501"/>
      <c r="CJ468" s="501"/>
      <c r="CK468" s="501"/>
      <c r="CL468" s="501"/>
      <c r="CM468" s="501"/>
      <c r="CN468" s="501"/>
      <c r="CO468" s="501"/>
      <c r="CP468" s="501"/>
      <c r="CQ468" s="501"/>
      <c r="CR468" s="501"/>
      <c r="CS468" s="501"/>
      <c r="CT468" s="501"/>
    </row>
    <row r="469">
      <c r="A469" s="569"/>
      <c r="B469" s="569"/>
      <c r="C469" s="569"/>
      <c r="D469" s="498"/>
      <c r="E469" s="499"/>
      <c r="F469" s="499"/>
      <c r="G469" s="766"/>
      <c r="H469" s="766"/>
      <c r="I469" s="766"/>
      <c r="J469" s="766"/>
      <c r="K469" s="683"/>
      <c r="L469" s="683"/>
      <c r="M469" s="683"/>
      <c r="N469" s="683"/>
      <c r="O469" s="683"/>
      <c r="P469" s="683"/>
      <c r="Q469" s="683"/>
      <c r="R469" s="683"/>
      <c r="S469" s="683"/>
      <c r="T469" s="501"/>
      <c r="U469" s="501"/>
      <c r="V469" s="501"/>
      <c r="W469" s="501"/>
      <c r="X469" s="501"/>
      <c r="Y469" s="501"/>
      <c r="Z469" s="501"/>
      <c r="AA469" s="501"/>
      <c r="AB469" s="501"/>
      <c r="AC469" s="501"/>
      <c r="AD469" s="501"/>
      <c r="AE469" s="501"/>
      <c r="AF469" s="501"/>
      <c r="AG469" s="501"/>
      <c r="AH469" s="501"/>
      <c r="AI469" s="501"/>
      <c r="AJ469" s="501"/>
      <c r="AK469" s="501"/>
      <c r="AL469" s="501"/>
      <c r="AM469" s="501"/>
      <c r="AN469" s="501"/>
      <c r="AO469" s="501"/>
      <c r="AP469" s="501"/>
      <c r="AQ469" s="501"/>
      <c r="AR469" s="501"/>
      <c r="AS469" s="501"/>
      <c r="AT469" s="501"/>
      <c r="AU469" s="501"/>
      <c r="AV469" s="501"/>
      <c r="AW469" s="501"/>
      <c r="AX469" s="501"/>
      <c r="AY469" s="501"/>
      <c r="AZ469" s="501"/>
      <c r="BA469" s="501"/>
      <c r="BB469" s="501"/>
      <c r="BC469" s="501"/>
      <c r="BD469" s="501"/>
      <c r="BE469" s="501"/>
      <c r="BF469" s="501"/>
      <c r="BG469" s="501"/>
      <c r="BH469" s="501"/>
      <c r="BI469" s="501"/>
      <c r="BJ469" s="501"/>
      <c r="BK469" s="501"/>
      <c r="BL469" s="501"/>
      <c r="BM469" s="501"/>
      <c r="BN469" s="501"/>
      <c r="BO469" s="501"/>
      <c r="BP469" s="501"/>
      <c r="BQ469" s="501"/>
      <c r="BR469" s="501"/>
      <c r="BS469" s="501"/>
      <c r="BT469" s="501"/>
      <c r="BU469" s="501"/>
      <c r="BV469" s="501"/>
      <c r="BW469" s="501"/>
      <c r="BX469" s="501"/>
      <c r="BY469" s="501"/>
      <c r="BZ469" s="501"/>
      <c r="CA469" s="501"/>
      <c r="CB469" s="501"/>
      <c r="CC469" s="501"/>
      <c r="CD469" s="501"/>
      <c r="CE469" s="501"/>
      <c r="CF469" s="501"/>
      <c r="CG469" s="501"/>
      <c r="CH469" s="501"/>
      <c r="CI469" s="501"/>
      <c r="CJ469" s="501"/>
      <c r="CK469" s="501"/>
      <c r="CL469" s="501"/>
      <c r="CM469" s="501"/>
      <c r="CN469" s="501"/>
      <c r="CO469" s="501"/>
      <c r="CP469" s="501"/>
      <c r="CQ469" s="501"/>
      <c r="CR469" s="501"/>
      <c r="CS469" s="501"/>
      <c r="CT469" s="501"/>
    </row>
    <row r="470">
      <c r="A470" s="569"/>
      <c r="B470" s="569"/>
      <c r="C470" s="569"/>
      <c r="D470" s="498"/>
      <c r="E470" s="499"/>
      <c r="F470" s="499"/>
      <c r="G470" s="766"/>
      <c r="H470" s="766"/>
      <c r="I470" s="766"/>
      <c r="J470" s="766"/>
      <c r="K470" s="683"/>
      <c r="L470" s="683"/>
      <c r="M470" s="683"/>
      <c r="N470" s="683"/>
      <c r="O470" s="683"/>
      <c r="P470" s="683"/>
      <c r="Q470" s="683"/>
      <c r="R470" s="683"/>
      <c r="S470" s="683"/>
      <c r="T470" s="501"/>
      <c r="U470" s="501"/>
      <c r="V470" s="501"/>
      <c r="W470" s="501"/>
      <c r="X470" s="501"/>
      <c r="Y470" s="501"/>
      <c r="Z470" s="501"/>
      <c r="AA470" s="501"/>
      <c r="AB470" s="501"/>
      <c r="AC470" s="501"/>
      <c r="AD470" s="501"/>
      <c r="AE470" s="501"/>
      <c r="AF470" s="501"/>
      <c r="AG470" s="501"/>
      <c r="AH470" s="501"/>
      <c r="AI470" s="501"/>
      <c r="AJ470" s="501"/>
      <c r="AK470" s="501"/>
      <c r="AL470" s="501"/>
      <c r="AM470" s="501"/>
      <c r="AN470" s="501"/>
      <c r="AO470" s="501"/>
      <c r="AP470" s="501"/>
      <c r="AQ470" s="501"/>
      <c r="AR470" s="501"/>
      <c r="AS470" s="501"/>
      <c r="AT470" s="501"/>
      <c r="AU470" s="501"/>
      <c r="AV470" s="501"/>
      <c r="AW470" s="501"/>
      <c r="AX470" s="501"/>
      <c r="AY470" s="501"/>
      <c r="AZ470" s="501"/>
      <c r="BA470" s="501"/>
      <c r="BB470" s="501"/>
      <c r="BC470" s="501"/>
      <c r="BD470" s="501"/>
      <c r="BE470" s="501"/>
      <c r="BF470" s="501"/>
      <c r="BG470" s="501"/>
      <c r="BH470" s="501"/>
      <c r="BI470" s="501"/>
      <c r="BJ470" s="501"/>
      <c r="BK470" s="501"/>
      <c r="BL470" s="501"/>
      <c r="BM470" s="501"/>
      <c r="BN470" s="501"/>
      <c r="BO470" s="501"/>
      <c r="BP470" s="501"/>
      <c r="BQ470" s="501"/>
      <c r="BR470" s="501"/>
      <c r="BS470" s="501"/>
      <c r="BT470" s="501"/>
      <c r="BU470" s="501"/>
      <c r="BV470" s="501"/>
      <c r="BW470" s="501"/>
      <c r="BX470" s="501"/>
      <c r="BY470" s="501"/>
      <c r="BZ470" s="501"/>
      <c r="CA470" s="501"/>
      <c r="CB470" s="501"/>
      <c r="CC470" s="501"/>
      <c r="CD470" s="501"/>
      <c r="CE470" s="501"/>
      <c r="CF470" s="501"/>
      <c r="CG470" s="501"/>
      <c r="CH470" s="501"/>
      <c r="CI470" s="501"/>
      <c r="CJ470" s="501"/>
      <c r="CK470" s="501"/>
      <c r="CL470" s="501"/>
      <c r="CM470" s="501"/>
      <c r="CN470" s="501"/>
      <c r="CO470" s="501"/>
      <c r="CP470" s="501"/>
      <c r="CQ470" s="501"/>
      <c r="CR470" s="501"/>
      <c r="CS470" s="501"/>
      <c r="CT470" s="501"/>
    </row>
    <row r="471">
      <c r="A471" s="569"/>
      <c r="B471" s="569"/>
      <c r="C471" s="569"/>
      <c r="D471" s="498"/>
      <c r="E471" s="499"/>
      <c r="F471" s="499"/>
      <c r="G471" s="766"/>
      <c r="H471" s="766"/>
      <c r="I471" s="766"/>
      <c r="J471" s="766"/>
      <c r="K471" s="683"/>
      <c r="L471" s="683"/>
      <c r="M471" s="683"/>
      <c r="N471" s="683"/>
      <c r="O471" s="683"/>
      <c r="P471" s="683"/>
      <c r="Q471" s="683"/>
      <c r="R471" s="683"/>
      <c r="S471" s="683"/>
      <c r="T471" s="501"/>
      <c r="U471" s="501"/>
      <c r="V471" s="501"/>
      <c r="W471" s="501"/>
      <c r="X471" s="501"/>
      <c r="Y471" s="501"/>
      <c r="Z471" s="501"/>
      <c r="AA471" s="501"/>
      <c r="AB471" s="501"/>
      <c r="AC471" s="501"/>
      <c r="AD471" s="501"/>
      <c r="AE471" s="501"/>
      <c r="AF471" s="501"/>
      <c r="AG471" s="501"/>
      <c r="AH471" s="501"/>
      <c r="AI471" s="501"/>
      <c r="AJ471" s="501"/>
      <c r="AK471" s="501"/>
      <c r="AL471" s="501"/>
      <c r="AM471" s="501"/>
      <c r="AN471" s="501"/>
      <c r="AO471" s="501"/>
      <c r="AP471" s="501"/>
      <c r="AQ471" s="501"/>
      <c r="AR471" s="501"/>
      <c r="AS471" s="501"/>
      <c r="AT471" s="501"/>
      <c r="AU471" s="501"/>
      <c r="AV471" s="501"/>
      <c r="AW471" s="501"/>
      <c r="AX471" s="501"/>
      <c r="AY471" s="501"/>
      <c r="AZ471" s="501"/>
      <c r="BA471" s="501"/>
      <c r="BB471" s="501"/>
      <c r="BC471" s="501"/>
      <c r="BD471" s="501"/>
      <c r="BE471" s="501"/>
      <c r="BF471" s="501"/>
      <c r="BG471" s="501"/>
      <c r="BH471" s="501"/>
      <c r="BI471" s="501"/>
      <c r="BJ471" s="501"/>
      <c r="BK471" s="501"/>
      <c r="BL471" s="501"/>
      <c r="BM471" s="501"/>
      <c r="BN471" s="501"/>
      <c r="BO471" s="501"/>
      <c r="BP471" s="501"/>
      <c r="BQ471" s="501"/>
      <c r="BR471" s="501"/>
      <c r="BS471" s="501"/>
      <c r="BT471" s="501"/>
      <c r="BU471" s="501"/>
      <c r="BV471" s="501"/>
      <c r="BW471" s="501"/>
      <c r="BX471" s="501"/>
      <c r="BY471" s="501"/>
      <c r="BZ471" s="501"/>
      <c r="CA471" s="501"/>
      <c r="CB471" s="501"/>
      <c r="CC471" s="501"/>
      <c r="CD471" s="501"/>
      <c r="CE471" s="501"/>
      <c r="CF471" s="501"/>
      <c r="CG471" s="501"/>
      <c r="CH471" s="501"/>
      <c r="CI471" s="501"/>
      <c r="CJ471" s="501"/>
      <c r="CK471" s="501"/>
      <c r="CL471" s="501"/>
      <c r="CM471" s="501"/>
      <c r="CN471" s="501"/>
      <c r="CO471" s="501"/>
      <c r="CP471" s="501"/>
      <c r="CQ471" s="501"/>
      <c r="CR471" s="501"/>
      <c r="CS471" s="501"/>
      <c r="CT471" s="501"/>
    </row>
    <row r="472">
      <c r="A472" s="569"/>
      <c r="B472" s="569"/>
      <c r="C472" s="569"/>
      <c r="D472" s="498"/>
      <c r="E472" s="499"/>
      <c r="F472" s="499"/>
      <c r="G472" s="766"/>
      <c r="H472" s="766"/>
      <c r="I472" s="766"/>
      <c r="J472" s="766"/>
      <c r="K472" s="683"/>
      <c r="L472" s="683"/>
      <c r="M472" s="683"/>
      <c r="N472" s="683"/>
      <c r="O472" s="683"/>
      <c r="P472" s="683"/>
      <c r="Q472" s="683"/>
      <c r="R472" s="683"/>
      <c r="S472" s="683"/>
      <c r="T472" s="501"/>
      <c r="U472" s="501"/>
      <c r="V472" s="501"/>
      <c r="W472" s="501"/>
      <c r="X472" s="501"/>
      <c r="Y472" s="501"/>
      <c r="Z472" s="501"/>
      <c r="AA472" s="501"/>
      <c r="AB472" s="501"/>
      <c r="AC472" s="501"/>
      <c r="AD472" s="501"/>
      <c r="AE472" s="501"/>
      <c r="AF472" s="501"/>
      <c r="AG472" s="501"/>
      <c r="AH472" s="501"/>
      <c r="AI472" s="501"/>
      <c r="AJ472" s="501"/>
      <c r="AK472" s="501"/>
      <c r="AL472" s="501"/>
      <c r="AM472" s="501"/>
      <c r="AN472" s="501"/>
      <c r="AO472" s="501"/>
      <c r="AP472" s="501"/>
      <c r="AQ472" s="501"/>
      <c r="AR472" s="501"/>
      <c r="AS472" s="501"/>
      <c r="AT472" s="501"/>
      <c r="AU472" s="501"/>
      <c r="AV472" s="501"/>
      <c r="AW472" s="501"/>
      <c r="AX472" s="501"/>
      <c r="AY472" s="501"/>
      <c r="AZ472" s="501"/>
      <c r="BA472" s="501"/>
      <c r="BB472" s="501"/>
      <c r="BC472" s="501"/>
      <c r="BD472" s="501"/>
      <c r="BE472" s="501"/>
      <c r="BF472" s="501"/>
      <c r="BG472" s="501"/>
      <c r="BH472" s="501"/>
      <c r="BI472" s="501"/>
      <c r="BJ472" s="501"/>
      <c r="BK472" s="501"/>
      <c r="BL472" s="501"/>
      <c r="BM472" s="501"/>
      <c r="BN472" s="501"/>
      <c r="BO472" s="501"/>
      <c r="BP472" s="501"/>
      <c r="BQ472" s="501"/>
      <c r="BR472" s="501"/>
      <c r="BS472" s="501"/>
      <c r="BT472" s="501"/>
      <c r="BU472" s="501"/>
      <c r="BV472" s="501"/>
      <c r="BW472" s="501"/>
      <c r="BX472" s="501"/>
      <c r="BY472" s="501"/>
      <c r="BZ472" s="501"/>
      <c r="CA472" s="501"/>
      <c r="CB472" s="501"/>
      <c r="CC472" s="501"/>
      <c r="CD472" s="501"/>
      <c r="CE472" s="501"/>
      <c r="CF472" s="501"/>
      <c r="CG472" s="501"/>
      <c r="CH472" s="501"/>
      <c r="CI472" s="501"/>
      <c r="CJ472" s="501"/>
      <c r="CK472" s="501"/>
      <c r="CL472" s="501"/>
      <c r="CM472" s="501"/>
      <c r="CN472" s="501"/>
      <c r="CO472" s="501"/>
      <c r="CP472" s="501"/>
      <c r="CQ472" s="501"/>
      <c r="CR472" s="501"/>
      <c r="CS472" s="501"/>
      <c r="CT472" s="501"/>
    </row>
    <row r="473">
      <c r="A473" s="569"/>
      <c r="B473" s="569"/>
      <c r="C473" s="569"/>
      <c r="D473" s="498"/>
      <c r="E473" s="499"/>
      <c r="F473" s="499"/>
      <c r="G473" s="766"/>
      <c r="H473" s="766"/>
      <c r="I473" s="766"/>
      <c r="J473" s="766"/>
      <c r="K473" s="683"/>
      <c r="L473" s="683"/>
      <c r="M473" s="683"/>
      <c r="N473" s="683"/>
      <c r="O473" s="683"/>
      <c r="P473" s="683"/>
      <c r="Q473" s="683"/>
      <c r="R473" s="683"/>
      <c r="S473" s="683"/>
      <c r="T473" s="501"/>
      <c r="U473" s="501"/>
      <c r="V473" s="501"/>
      <c r="W473" s="501"/>
      <c r="X473" s="501"/>
      <c r="Y473" s="501"/>
      <c r="Z473" s="501"/>
      <c r="AA473" s="501"/>
      <c r="AB473" s="501"/>
      <c r="AC473" s="501"/>
      <c r="AD473" s="501"/>
      <c r="AE473" s="501"/>
      <c r="AF473" s="501"/>
      <c r="AG473" s="501"/>
      <c r="AH473" s="501"/>
      <c r="AI473" s="501"/>
      <c r="AJ473" s="501"/>
      <c r="AK473" s="501"/>
      <c r="AL473" s="501"/>
      <c r="AM473" s="501"/>
      <c r="AN473" s="501"/>
      <c r="AO473" s="501"/>
      <c r="AP473" s="501"/>
      <c r="AQ473" s="501"/>
      <c r="AR473" s="501"/>
      <c r="AS473" s="501"/>
      <c r="AT473" s="501"/>
      <c r="AU473" s="501"/>
      <c r="AV473" s="501"/>
      <c r="AW473" s="501"/>
      <c r="AX473" s="501"/>
      <c r="AY473" s="501"/>
      <c r="AZ473" s="501"/>
      <c r="BA473" s="501"/>
      <c r="BB473" s="501"/>
      <c r="BC473" s="501"/>
      <c r="BD473" s="501"/>
      <c r="BE473" s="501"/>
      <c r="BF473" s="501"/>
      <c r="BG473" s="501"/>
      <c r="BH473" s="501"/>
      <c r="BI473" s="501"/>
      <c r="BJ473" s="501"/>
      <c r="BK473" s="501"/>
      <c r="BL473" s="501"/>
      <c r="BM473" s="501"/>
      <c r="BN473" s="501"/>
      <c r="BO473" s="501"/>
      <c r="BP473" s="501"/>
      <c r="BQ473" s="501"/>
      <c r="BR473" s="501"/>
      <c r="BS473" s="501"/>
      <c r="BT473" s="501"/>
      <c r="BU473" s="501"/>
      <c r="BV473" s="501"/>
      <c r="BW473" s="501"/>
      <c r="BX473" s="501"/>
      <c r="BY473" s="501"/>
      <c r="BZ473" s="501"/>
      <c r="CA473" s="501"/>
      <c r="CB473" s="501"/>
      <c r="CC473" s="501"/>
      <c r="CD473" s="501"/>
      <c r="CE473" s="501"/>
      <c r="CF473" s="501"/>
      <c r="CG473" s="501"/>
      <c r="CH473" s="501"/>
      <c r="CI473" s="501"/>
      <c r="CJ473" s="501"/>
      <c r="CK473" s="501"/>
      <c r="CL473" s="501"/>
      <c r="CM473" s="501"/>
      <c r="CN473" s="501"/>
      <c r="CO473" s="501"/>
      <c r="CP473" s="501"/>
      <c r="CQ473" s="501"/>
      <c r="CR473" s="501"/>
      <c r="CS473" s="501"/>
      <c r="CT473" s="501"/>
    </row>
    <row r="474">
      <c r="A474" s="569"/>
      <c r="B474" s="569"/>
      <c r="C474" s="569"/>
      <c r="D474" s="498"/>
      <c r="E474" s="499"/>
      <c r="F474" s="499"/>
      <c r="G474" s="766"/>
      <c r="H474" s="766"/>
      <c r="I474" s="766"/>
      <c r="J474" s="766"/>
      <c r="K474" s="683"/>
      <c r="L474" s="683"/>
      <c r="M474" s="683"/>
      <c r="N474" s="683"/>
      <c r="O474" s="683"/>
      <c r="P474" s="683"/>
      <c r="Q474" s="683"/>
      <c r="R474" s="683"/>
      <c r="S474" s="683"/>
      <c r="T474" s="501"/>
      <c r="U474" s="501"/>
      <c r="V474" s="501"/>
      <c r="W474" s="501"/>
      <c r="X474" s="501"/>
      <c r="Y474" s="501"/>
      <c r="Z474" s="501"/>
      <c r="AA474" s="501"/>
      <c r="AB474" s="501"/>
      <c r="AC474" s="501"/>
      <c r="AD474" s="501"/>
      <c r="AE474" s="501"/>
      <c r="AF474" s="501"/>
      <c r="AG474" s="501"/>
      <c r="AH474" s="501"/>
      <c r="AI474" s="501"/>
      <c r="AJ474" s="501"/>
      <c r="AK474" s="501"/>
      <c r="AL474" s="501"/>
      <c r="AM474" s="501"/>
      <c r="AN474" s="501"/>
      <c r="AO474" s="501"/>
      <c r="AP474" s="501"/>
      <c r="AQ474" s="501"/>
      <c r="AR474" s="501"/>
      <c r="AS474" s="501"/>
      <c r="AT474" s="501"/>
      <c r="AU474" s="501"/>
      <c r="AV474" s="501"/>
      <c r="AW474" s="501"/>
      <c r="AX474" s="501"/>
      <c r="AY474" s="501"/>
      <c r="AZ474" s="501"/>
      <c r="BA474" s="501"/>
      <c r="BB474" s="501"/>
      <c r="BC474" s="501"/>
      <c r="BD474" s="501"/>
      <c r="BE474" s="501"/>
      <c r="BF474" s="501"/>
      <c r="BG474" s="501"/>
      <c r="BH474" s="501"/>
      <c r="BI474" s="501"/>
      <c r="BJ474" s="501"/>
      <c r="BK474" s="501"/>
      <c r="BL474" s="501"/>
      <c r="BM474" s="501"/>
      <c r="BN474" s="501"/>
      <c r="BO474" s="501"/>
      <c r="BP474" s="501"/>
      <c r="BQ474" s="501"/>
      <c r="BR474" s="501"/>
      <c r="BS474" s="501"/>
      <c r="BT474" s="501"/>
      <c r="BU474" s="501"/>
      <c r="BV474" s="501"/>
      <c r="BW474" s="501"/>
      <c r="BX474" s="501"/>
      <c r="BY474" s="501"/>
      <c r="BZ474" s="501"/>
      <c r="CA474" s="501"/>
      <c r="CB474" s="501"/>
      <c r="CC474" s="501"/>
      <c r="CD474" s="501"/>
      <c r="CE474" s="501"/>
      <c r="CF474" s="501"/>
      <c r="CG474" s="501"/>
      <c r="CH474" s="501"/>
      <c r="CI474" s="501"/>
      <c r="CJ474" s="501"/>
      <c r="CK474" s="501"/>
      <c r="CL474" s="501"/>
      <c r="CM474" s="501"/>
      <c r="CN474" s="501"/>
      <c r="CO474" s="501"/>
      <c r="CP474" s="501"/>
      <c r="CQ474" s="501"/>
      <c r="CR474" s="501"/>
      <c r="CS474" s="501"/>
      <c r="CT474" s="501"/>
    </row>
    <row r="475">
      <c r="A475" s="569"/>
      <c r="B475" s="569"/>
      <c r="C475" s="569"/>
      <c r="D475" s="498"/>
      <c r="E475" s="499"/>
      <c r="F475" s="499"/>
      <c r="G475" s="766"/>
      <c r="H475" s="766"/>
      <c r="I475" s="766"/>
      <c r="J475" s="766"/>
      <c r="K475" s="683"/>
      <c r="L475" s="683"/>
      <c r="M475" s="683"/>
      <c r="N475" s="683"/>
      <c r="O475" s="683"/>
      <c r="P475" s="683"/>
      <c r="Q475" s="683"/>
      <c r="R475" s="683"/>
      <c r="S475" s="683"/>
      <c r="T475" s="501"/>
      <c r="U475" s="501"/>
      <c r="V475" s="501"/>
      <c r="W475" s="501"/>
      <c r="X475" s="501"/>
      <c r="Y475" s="501"/>
      <c r="Z475" s="501"/>
      <c r="AA475" s="501"/>
      <c r="AB475" s="501"/>
      <c r="AC475" s="501"/>
      <c r="AD475" s="501"/>
      <c r="AE475" s="501"/>
      <c r="AF475" s="501"/>
      <c r="AG475" s="501"/>
      <c r="AH475" s="501"/>
      <c r="AI475" s="501"/>
      <c r="AJ475" s="501"/>
      <c r="AK475" s="501"/>
      <c r="AL475" s="501"/>
      <c r="AM475" s="501"/>
      <c r="AN475" s="501"/>
      <c r="AO475" s="501"/>
      <c r="AP475" s="501"/>
      <c r="AQ475" s="501"/>
      <c r="AR475" s="501"/>
      <c r="AS475" s="501"/>
      <c r="AT475" s="501"/>
      <c r="AU475" s="501"/>
      <c r="AV475" s="501"/>
      <c r="AW475" s="501"/>
      <c r="AX475" s="501"/>
      <c r="AY475" s="501"/>
      <c r="AZ475" s="501"/>
      <c r="BA475" s="501"/>
      <c r="BB475" s="501"/>
      <c r="BC475" s="501"/>
      <c r="BD475" s="501"/>
      <c r="BE475" s="501"/>
      <c r="BF475" s="501"/>
      <c r="BG475" s="501"/>
      <c r="BH475" s="501"/>
      <c r="BI475" s="501"/>
      <c r="BJ475" s="501"/>
      <c r="BK475" s="501"/>
      <c r="BL475" s="501"/>
      <c r="BM475" s="501"/>
      <c r="BN475" s="501"/>
      <c r="BO475" s="501"/>
      <c r="BP475" s="501"/>
      <c r="BQ475" s="501"/>
      <c r="BR475" s="501"/>
      <c r="BS475" s="501"/>
      <c r="BT475" s="501"/>
      <c r="BU475" s="501"/>
      <c r="BV475" s="501"/>
      <c r="BW475" s="501"/>
      <c r="BX475" s="501"/>
      <c r="BY475" s="501"/>
      <c r="BZ475" s="501"/>
      <c r="CA475" s="501"/>
      <c r="CB475" s="501"/>
      <c r="CC475" s="501"/>
      <c r="CD475" s="501"/>
      <c r="CE475" s="501"/>
      <c r="CF475" s="501"/>
      <c r="CG475" s="501"/>
      <c r="CH475" s="501"/>
      <c r="CI475" s="501"/>
      <c r="CJ475" s="501"/>
      <c r="CK475" s="501"/>
      <c r="CL475" s="501"/>
      <c r="CM475" s="501"/>
      <c r="CN475" s="501"/>
      <c r="CO475" s="501"/>
      <c r="CP475" s="501"/>
      <c r="CQ475" s="501"/>
      <c r="CR475" s="501"/>
      <c r="CS475" s="501"/>
      <c r="CT475" s="501"/>
    </row>
    <row r="476">
      <c r="A476" s="569"/>
      <c r="B476" s="569"/>
      <c r="C476" s="569"/>
      <c r="D476" s="498"/>
      <c r="E476" s="499"/>
      <c r="F476" s="499"/>
      <c r="G476" s="766"/>
      <c r="H476" s="766"/>
      <c r="I476" s="766"/>
      <c r="J476" s="766"/>
      <c r="K476" s="683"/>
      <c r="L476" s="683"/>
      <c r="M476" s="683"/>
      <c r="N476" s="683"/>
      <c r="O476" s="683"/>
      <c r="P476" s="683"/>
      <c r="Q476" s="683"/>
      <c r="R476" s="683"/>
      <c r="S476" s="683"/>
      <c r="T476" s="501"/>
      <c r="U476" s="501"/>
      <c r="V476" s="501"/>
      <c r="W476" s="501"/>
      <c r="X476" s="501"/>
      <c r="Y476" s="501"/>
      <c r="Z476" s="501"/>
      <c r="AA476" s="501"/>
      <c r="AB476" s="501"/>
      <c r="AC476" s="501"/>
      <c r="AD476" s="501"/>
      <c r="AE476" s="501"/>
      <c r="AF476" s="501"/>
      <c r="AG476" s="501"/>
      <c r="AH476" s="501"/>
      <c r="AI476" s="501"/>
      <c r="AJ476" s="501"/>
      <c r="AK476" s="501"/>
      <c r="AL476" s="501"/>
      <c r="AM476" s="501"/>
      <c r="AN476" s="501"/>
      <c r="AO476" s="501"/>
      <c r="AP476" s="501"/>
      <c r="AQ476" s="501"/>
      <c r="AR476" s="501"/>
      <c r="AS476" s="501"/>
      <c r="AT476" s="501"/>
      <c r="AU476" s="501"/>
      <c r="AV476" s="501"/>
      <c r="AW476" s="501"/>
      <c r="AX476" s="501"/>
      <c r="AY476" s="501"/>
      <c r="AZ476" s="501"/>
      <c r="BA476" s="501"/>
      <c r="BB476" s="501"/>
      <c r="BC476" s="501"/>
      <c r="BD476" s="501"/>
      <c r="BE476" s="501"/>
      <c r="BF476" s="501"/>
      <c r="BG476" s="501"/>
      <c r="BH476" s="501"/>
      <c r="BI476" s="501"/>
      <c r="BJ476" s="501"/>
      <c r="BK476" s="501"/>
      <c r="BL476" s="501"/>
      <c r="BM476" s="501"/>
      <c r="BN476" s="501"/>
      <c r="BO476" s="501"/>
      <c r="BP476" s="501"/>
      <c r="BQ476" s="501"/>
      <c r="BR476" s="501"/>
      <c r="BS476" s="501"/>
      <c r="BT476" s="501"/>
      <c r="BU476" s="501"/>
      <c r="BV476" s="501"/>
      <c r="BW476" s="501"/>
      <c r="BX476" s="501"/>
      <c r="BY476" s="501"/>
      <c r="BZ476" s="501"/>
      <c r="CA476" s="501"/>
      <c r="CB476" s="501"/>
      <c r="CC476" s="501"/>
      <c r="CD476" s="501"/>
      <c r="CE476" s="501"/>
      <c r="CF476" s="501"/>
      <c r="CG476" s="501"/>
      <c r="CH476" s="501"/>
      <c r="CI476" s="501"/>
      <c r="CJ476" s="501"/>
      <c r="CK476" s="501"/>
      <c r="CL476" s="501"/>
      <c r="CM476" s="501"/>
      <c r="CN476" s="501"/>
      <c r="CO476" s="501"/>
      <c r="CP476" s="501"/>
      <c r="CQ476" s="501"/>
      <c r="CR476" s="501"/>
      <c r="CS476" s="501"/>
      <c r="CT476" s="501"/>
    </row>
    <row r="477">
      <c r="A477" s="569"/>
      <c r="B477" s="569"/>
      <c r="C477" s="569"/>
      <c r="D477" s="498"/>
      <c r="E477" s="499"/>
      <c r="F477" s="499"/>
      <c r="G477" s="766"/>
      <c r="H477" s="766"/>
      <c r="I477" s="766"/>
      <c r="J477" s="766"/>
      <c r="K477" s="683"/>
      <c r="L477" s="683"/>
      <c r="M477" s="683"/>
      <c r="N477" s="683"/>
      <c r="O477" s="683"/>
      <c r="P477" s="683"/>
      <c r="Q477" s="683"/>
      <c r="R477" s="683"/>
      <c r="S477" s="683"/>
      <c r="T477" s="501"/>
      <c r="U477" s="501"/>
      <c r="V477" s="501"/>
      <c r="W477" s="501"/>
      <c r="X477" s="501"/>
      <c r="Y477" s="501"/>
      <c r="Z477" s="501"/>
      <c r="AA477" s="501"/>
      <c r="AB477" s="501"/>
      <c r="AC477" s="501"/>
      <c r="AD477" s="501"/>
      <c r="AE477" s="501"/>
      <c r="AF477" s="501"/>
      <c r="AG477" s="501"/>
      <c r="AH477" s="501"/>
      <c r="AI477" s="501"/>
      <c r="AJ477" s="501"/>
      <c r="AK477" s="501"/>
      <c r="AL477" s="501"/>
      <c r="AM477" s="501"/>
      <c r="AN477" s="501"/>
      <c r="AO477" s="501"/>
      <c r="AP477" s="501"/>
      <c r="AQ477" s="501"/>
      <c r="AR477" s="501"/>
      <c r="AS477" s="501"/>
      <c r="AT477" s="501"/>
      <c r="AU477" s="501"/>
      <c r="AV477" s="501"/>
      <c r="AW477" s="501"/>
      <c r="AX477" s="501"/>
      <c r="AY477" s="501"/>
      <c r="AZ477" s="501"/>
      <c r="BA477" s="501"/>
      <c r="BB477" s="501"/>
      <c r="BC477" s="501"/>
      <c r="BD477" s="501"/>
      <c r="BE477" s="501"/>
      <c r="BF477" s="501"/>
      <c r="BG477" s="501"/>
      <c r="BH477" s="501"/>
      <c r="BI477" s="501"/>
      <c r="BJ477" s="501"/>
      <c r="BK477" s="501"/>
      <c r="BL477" s="501"/>
      <c r="BM477" s="501"/>
      <c r="BN477" s="501"/>
      <c r="BO477" s="501"/>
      <c r="BP477" s="501"/>
      <c r="BQ477" s="501"/>
      <c r="BR477" s="501"/>
      <c r="BS477" s="501"/>
      <c r="BT477" s="501"/>
      <c r="BU477" s="501"/>
      <c r="BV477" s="501"/>
      <c r="BW477" s="501"/>
      <c r="BX477" s="501"/>
      <c r="BY477" s="501"/>
      <c r="BZ477" s="501"/>
      <c r="CA477" s="501"/>
      <c r="CB477" s="501"/>
      <c r="CC477" s="501"/>
      <c r="CD477" s="501"/>
      <c r="CE477" s="501"/>
      <c r="CF477" s="501"/>
      <c r="CG477" s="501"/>
      <c r="CH477" s="501"/>
      <c r="CI477" s="501"/>
      <c r="CJ477" s="501"/>
      <c r="CK477" s="501"/>
      <c r="CL477" s="501"/>
      <c r="CM477" s="501"/>
      <c r="CN477" s="501"/>
      <c r="CO477" s="501"/>
      <c r="CP477" s="501"/>
      <c r="CQ477" s="501"/>
      <c r="CR477" s="501"/>
      <c r="CS477" s="501"/>
      <c r="CT477" s="501"/>
    </row>
    <row r="478">
      <c r="A478" s="569"/>
      <c r="B478" s="569"/>
      <c r="C478" s="569"/>
      <c r="D478" s="498"/>
      <c r="E478" s="499"/>
      <c r="F478" s="499"/>
      <c r="G478" s="766"/>
      <c r="H478" s="766"/>
      <c r="I478" s="766"/>
      <c r="J478" s="766"/>
      <c r="K478" s="683"/>
      <c r="L478" s="683"/>
      <c r="M478" s="683"/>
      <c r="N478" s="683"/>
      <c r="O478" s="683"/>
      <c r="P478" s="683"/>
      <c r="Q478" s="683"/>
      <c r="R478" s="683"/>
      <c r="S478" s="683"/>
      <c r="T478" s="501"/>
      <c r="U478" s="501"/>
      <c r="V478" s="501"/>
      <c r="W478" s="501"/>
      <c r="X478" s="501"/>
      <c r="Y478" s="501"/>
      <c r="Z478" s="501"/>
      <c r="AA478" s="501"/>
      <c r="AB478" s="501"/>
      <c r="AC478" s="501"/>
      <c r="AD478" s="501"/>
      <c r="AE478" s="501"/>
      <c r="AF478" s="501"/>
      <c r="AG478" s="501"/>
      <c r="AH478" s="501"/>
      <c r="AI478" s="501"/>
      <c r="AJ478" s="501"/>
      <c r="AK478" s="501"/>
      <c r="AL478" s="501"/>
      <c r="AM478" s="501"/>
      <c r="AN478" s="501"/>
      <c r="AO478" s="501"/>
      <c r="AP478" s="501"/>
      <c r="AQ478" s="501"/>
      <c r="AR478" s="501"/>
      <c r="AS478" s="501"/>
      <c r="AT478" s="501"/>
      <c r="AU478" s="501"/>
      <c r="AV478" s="501"/>
      <c r="AW478" s="501"/>
      <c r="AX478" s="501"/>
      <c r="AY478" s="501"/>
      <c r="AZ478" s="501"/>
      <c r="BA478" s="501"/>
      <c r="BB478" s="501"/>
      <c r="BC478" s="501"/>
      <c r="BD478" s="501"/>
      <c r="BE478" s="501"/>
      <c r="BF478" s="501"/>
      <c r="BG478" s="501"/>
      <c r="BH478" s="501"/>
      <c r="BI478" s="501"/>
      <c r="BJ478" s="501"/>
      <c r="BK478" s="501"/>
      <c r="BL478" s="501"/>
      <c r="BM478" s="501"/>
      <c r="BN478" s="501"/>
      <c r="BO478" s="501"/>
      <c r="BP478" s="501"/>
      <c r="BQ478" s="501"/>
      <c r="BR478" s="501"/>
      <c r="BS478" s="501"/>
      <c r="BT478" s="501"/>
      <c r="BU478" s="501"/>
      <c r="BV478" s="501"/>
      <c r="BW478" s="501"/>
      <c r="BX478" s="501"/>
      <c r="BY478" s="501"/>
      <c r="BZ478" s="501"/>
      <c r="CA478" s="501"/>
      <c r="CB478" s="501"/>
      <c r="CC478" s="501"/>
      <c r="CD478" s="501"/>
      <c r="CE478" s="501"/>
      <c r="CF478" s="501"/>
      <c r="CG478" s="501"/>
      <c r="CH478" s="501"/>
      <c r="CI478" s="501"/>
      <c r="CJ478" s="501"/>
      <c r="CK478" s="501"/>
      <c r="CL478" s="501"/>
      <c r="CM478" s="501"/>
      <c r="CN478" s="501"/>
      <c r="CO478" s="501"/>
      <c r="CP478" s="501"/>
      <c r="CQ478" s="501"/>
      <c r="CR478" s="501"/>
      <c r="CS478" s="501"/>
      <c r="CT478" s="501"/>
    </row>
    <row r="479">
      <c r="A479" s="569"/>
      <c r="B479" s="569"/>
      <c r="C479" s="569"/>
      <c r="D479" s="498"/>
      <c r="E479" s="499"/>
      <c r="F479" s="499"/>
      <c r="G479" s="766"/>
      <c r="H479" s="766"/>
      <c r="I479" s="766"/>
      <c r="J479" s="766"/>
      <c r="K479" s="683"/>
      <c r="L479" s="683"/>
      <c r="M479" s="683"/>
      <c r="N479" s="683"/>
      <c r="O479" s="683"/>
      <c r="P479" s="683"/>
      <c r="Q479" s="683"/>
      <c r="R479" s="683"/>
      <c r="S479" s="683"/>
      <c r="T479" s="501"/>
      <c r="U479" s="501"/>
      <c r="V479" s="501"/>
      <c r="W479" s="501"/>
      <c r="X479" s="501"/>
      <c r="Y479" s="501"/>
      <c r="Z479" s="501"/>
      <c r="AA479" s="501"/>
      <c r="AB479" s="501"/>
      <c r="AC479" s="501"/>
      <c r="AD479" s="501"/>
      <c r="AE479" s="501"/>
      <c r="AF479" s="501"/>
      <c r="AG479" s="501"/>
      <c r="AH479" s="501"/>
      <c r="AI479" s="501"/>
      <c r="AJ479" s="501"/>
      <c r="AK479" s="501"/>
      <c r="AL479" s="501"/>
      <c r="AM479" s="501"/>
      <c r="AN479" s="501"/>
      <c r="AO479" s="501"/>
      <c r="AP479" s="501"/>
      <c r="AQ479" s="501"/>
      <c r="AR479" s="501"/>
      <c r="AS479" s="501"/>
      <c r="AT479" s="501"/>
      <c r="AU479" s="501"/>
      <c r="AV479" s="501"/>
      <c r="AW479" s="501"/>
      <c r="AX479" s="501"/>
      <c r="AY479" s="501"/>
      <c r="AZ479" s="501"/>
      <c r="BA479" s="501"/>
      <c r="BB479" s="501"/>
      <c r="BC479" s="501"/>
      <c r="BD479" s="501"/>
      <c r="BE479" s="501"/>
      <c r="BF479" s="501"/>
      <c r="BG479" s="501"/>
      <c r="BH479" s="501"/>
      <c r="BI479" s="501"/>
      <c r="BJ479" s="501"/>
      <c r="BK479" s="501"/>
      <c r="BL479" s="501"/>
      <c r="BM479" s="501"/>
      <c r="BN479" s="501"/>
      <c r="BO479" s="501"/>
      <c r="BP479" s="501"/>
      <c r="BQ479" s="501"/>
      <c r="BR479" s="501"/>
      <c r="BS479" s="501"/>
      <c r="BT479" s="501"/>
      <c r="BU479" s="501"/>
      <c r="BV479" s="501"/>
      <c r="BW479" s="501"/>
      <c r="BX479" s="501"/>
      <c r="BY479" s="501"/>
      <c r="BZ479" s="501"/>
      <c r="CA479" s="501"/>
      <c r="CB479" s="501"/>
      <c r="CC479" s="501"/>
      <c r="CD479" s="501"/>
      <c r="CE479" s="501"/>
      <c r="CF479" s="501"/>
      <c r="CG479" s="501"/>
      <c r="CH479" s="501"/>
      <c r="CI479" s="501"/>
      <c r="CJ479" s="501"/>
      <c r="CK479" s="501"/>
      <c r="CL479" s="501"/>
      <c r="CM479" s="501"/>
      <c r="CN479" s="501"/>
      <c r="CO479" s="501"/>
      <c r="CP479" s="501"/>
      <c r="CQ479" s="501"/>
      <c r="CR479" s="501"/>
      <c r="CS479" s="501"/>
      <c r="CT479" s="501"/>
    </row>
    <row r="480">
      <c r="A480" s="569"/>
      <c r="B480" s="569"/>
      <c r="C480" s="569"/>
      <c r="D480" s="498"/>
      <c r="E480" s="499"/>
      <c r="F480" s="499"/>
      <c r="G480" s="766"/>
      <c r="H480" s="766"/>
      <c r="I480" s="766"/>
      <c r="J480" s="766"/>
      <c r="K480" s="683"/>
      <c r="L480" s="683"/>
      <c r="M480" s="683"/>
      <c r="N480" s="683"/>
      <c r="O480" s="683"/>
      <c r="P480" s="683"/>
      <c r="Q480" s="683"/>
      <c r="R480" s="683"/>
      <c r="S480" s="683"/>
      <c r="T480" s="501"/>
      <c r="U480" s="501"/>
      <c r="V480" s="501"/>
      <c r="W480" s="501"/>
      <c r="X480" s="501"/>
      <c r="Y480" s="501"/>
      <c r="Z480" s="501"/>
      <c r="AA480" s="501"/>
      <c r="AB480" s="501"/>
      <c r="AC480" s="501"/>
      <c r="AD480" s="501"/>
      <c r="AE480" s="501"/>
      <c r="AF480" s="501"/>
      <c r="AG480" s="501"/>
      <c r="AH480" s="501"/>
      <c r="AI480" s="501"/>
      <c r="AJ480" s="501"/>
      <c r="AK480" s="501"/>
      <c r="AL480" s="501"/>
      <c r="AM480" s="501"/>
      <c r="AN480" s="501"/>
      <c r="AO480" s="501"/>
      <c r="AP480" s="501"/>
      <c r="AQ480" s="501"/>
      <c r="AR480" s="501"/>
      <c r="AS480" s="501"/>
      <c r="AT480" s="501"/>
      <c r="AU480" s="501"/>
      <c r="AV480" s="501"/>
      <c r="AW480" s="501"/>
      <c r="AX480" s="501"/>
      <c r="AY480" s="501"/>
      <c r="AZ480" s="501"/>
      <c r="BA480" s="501"/>
      <c r="BB480" s="501"/>
      <c r="BC480" s="501"/>
      <c r="BD480" s="501"/>
      <c r="BE480" s="501"/>
      <c r="BF480" s="501"/>
      <c r="BG480" s="501"/>
      <c r="BH480" s="501"/>
      <c r="BI480" s="501"/>
      <c r="BJ480" s="501"/>
      <c r="BK480" s="501"/>
      <c r="BL480" s="501"/>
      <c r="BM480" s="501"/>
      <c r="BN480" s="501"/>
      <c r="BO480" s="501"/>
      <c r="BP480" s="501"/>
      <c r="BQ480" s="501"/>
      <c r="BR480" s="501"/>
      <c r="BS480" s="501"/>
      <c r="BT480" s="501"/>
      <c r="BU480" s="501"/>
      <c r="BV480" s="501"/>
      <c r="BW480" s="501"/>
      <c r="BX480" s="501"/>
      <c r="BY480" s="501"/>
      <c r="BZ480" s="501"/>
      <c r="CA480" s="501"/>
      <c r="CB480" s="501"/>
      <c r="CC480" s="501"/>
      <c r="CD480" s="501"/>
      <c r="CE480" s="501"/>
      <c r="CF480" s="501"/>
      <c r="CG480" s="501"/>
      <c r="CH480" s="501"/>
      <c r="CI480" s="501"/>
      <c r="CJ480" s="501"/>
      <c r="CK480" s="501"/>
      <c r="CL480" s="501"/>
      <c r="CM480" s="501"/>
      <c r="CN480" s="501"/>
      <c r="CO480" s="501"/>
      <c r="CP480" s="501"/>
      <c r="CQ480" s="501"/>
      <c r="CR480" s="501"/>
      <c r="CS480" s="501"/>
      <c r="CT480" s="501"/>
    </row>
    <row r="481">
      <c r="A481" s="569"/>
      <c r="B481" s="569"/>
      <c r="C481" s="569"/>
      <c r="D481" s="498"/>
      <c r="E481" s="499"/>
      <c r="F481" s="499"/>
      <c r="G481" s="766"/>
      <c r="H481" s="766"/>
      <c r="I481" s="766"/>
      <c r="J481" s="766"/>
      <c r="K481" s="683"/>
      <c r="L481" s="683"/>
      <c r="M481" s="683"/>
      <c r="N481" s="683"/>
      <c r="O481" s="683"/>
      <c r="P481" s="683"/>
      <c r="Q481" s="683"/>
      <c r="R481" s="683"/>
      <c r="S481" s="683"/>
      <c r="T481" s="501"/>
      <c r="U481" s="501"/>
      <c r="V481" s="501"/>
      <c r="W481" s="501"/>
      <c r="X481" s="501"/>
      <c r="Y481" s="501"/>
      <c r="Z481" s="501"/>
      <c r="AA481" s="501"/>
      <c r="AB481" s="501"/>
      <c r="AC481" s="501"/>
      <c r="AD481" s="501"/>
      <c r="AE481" s="501"/>
      <c r="AF481" s="501"/>
      <c r="AG481" s="501"/>
      <c r="AH481" s="501"/>
      <c r="AI481" s="501"/>
      <c r="AJ481" s="501"/>
      <c r="AK481" s="501"/>
      <c r="AL481" s="501"/>
      <c r="AM481" s="501"/>
      <c r="AN481" s="501"/>
      <c r="AO481" s="501"/>
      <c r="AP481" s="501"/>
      <c r="AQ481" s="501"/>
      <c r="AR481" s="501"/>
      <c r="AS481" s="501"/>
      <c r="AT481" s="501"/>
      <c r="AU481" s="501"/>
      <c r="AV481" s="501"/>
      <c r="AW481" s="501"/>
      <c r="AX481" s="501"/>
      <c r="AY481" s="501"/>
      <c r="AZ481" s="501"/>
      <c r="BA481" s="501"/>
      <c r="BB481" s="501"/>
      <c r="BC481" s="501"/>
      <c r="BD481" s="501"/>
      <c r="BE481" s="501"/>
      <c r="BF481" s="501"/>
      <c r="BG481" s="501"/>
      <c r="BH481" s="501"/>
      <c r="BI481" s="501"/>
      <c r="BJ481" s="501"/>
      <c r="BK481" s="501"/>
      <c r="BL481" s="501"/>
      <c r="BM481" s="501"/>
      <c r="BN481" s="501"/>
      <c r="BO481" s="501"/>
      <c r="BP481" s="501"/>
      <c r="BQ481" s="501"/>
      <c r="BR481" s="501"/>
      <c r="BS481" s="501"/>
      <c r="BT481" s="501"/>
      <c r="BU481" s="501"/>
      <c r="BV481" s="501"/>
      <c r="BW481" s="501"/>
      <c r="BX481" s="501"/>
      <c r="BY481" s="501"/>
      <c r="BZ481" s="501"/>
      <c r="CA481" s="501"/>
      <c r="CB481" s="501"/>
      <c r="CC481" s="501"/>
      <c r="CD481" s="501"/>
      <c r="CE481" s="501"/>
      <c r="CF481" s="501"/>
      <c r="CG481" s="501"/>
      <c r="CH481" s="501"/>
      <c r="CI481" s="501"/>
      <c r="CJ481" s="501"/>
      <c r="CK481" s="501"/>
      <c r="CL481" s="501"/>
      <c r="CM481" s="501"/>
      <c r="CN481" s="501"/>
      <c r="CO481" s="501"/>
      <c r="CP481" s="501"/>
      <c r="CQ481" s="501"/>
      <c r="CR481" s="501"/>
      <c r="CS481" s="501"/>
      <c r="CT481" s="501"/>
    </row>
    <row r="482">
      <c r="A482" s="569"/>
      <c r="B482" s="569"/>
      <c r="C482" s="569"/>
      <c r="D482" s="498"/>
      <c r="E482" s="499"/>
      <c r="F482" s="499"/>
      <c r="G482" s="766"/>
      <c r="H482" s="766"/>
      <c r="I482" s="766"/>
      <c r="J482" s="766"/>
      <c r="K482" s="683"/>
      <c r="L482" s="683"/>
      <c r="M482" s="683"/>
      <c r="N482" s="683"/>
      <c r="O482" s="683"/>
      <c r="P482" s="683"/>
      <c r="Q482" s="683"/>
      <c r="R482" s="683"/>
      <c r="S482" s="683"/>
      <c r="T482" s="501"/>
      <c r="U482" s="501"/>
      <c r="V482" s="501"/>
      <c r="W482" s="501"/>
      <c r="X482" s="501"/>
      <c r="Y482" s="501"/>
      <c r="Z482" s="501"/>
      <c r="AA482" s="501"/>
      <c r="AB482" s="501"/>
      <c r="AC482" s="501"/>
      <c r="AD482" s="501"/>
      <c r="AE482" s="501"/>
      <c r="AF482" s="501"/>
      <c r="AG482" s="501"/>
      <c r="AH482" s="501"/>
      <c r="AI482" s="501"/>
      <c r="AJ482" s="501"/>
      <c r="AK482" s="501"/>
      <c r="AL482" s="501"/>
      <c r="AM482" s="501"/>
      <c r="AN482" s="501"/>
      <c r="AO482" s="501"/>
      <c r="AP482" s="501"/>
      <c r="AQ482" s="501"/>
      <c r="AR482" s="501"/>
      <c r="AS482" s="501"/>
      <c r="AT482" s="501"/>
      <c r="AU482" s="501"/>
      <c r="AV482" s="501"/>
      <c r="AW482" s="501"/>
      <c r="AX482" s="501"/>
      <c r="AY482" s="501"/>
      <c r="AZ482" s="501"/>
      <c r="BA482" s="501"/>
      <c r="BB482" s="501"/>
      <c r="BC482" s="501"/>
      <c r="BD482" s="501"/>
      <c r="BE482" s="501"/>
      <c r="BF482" s="501"/>
      <c r="BG482" s="501"/>
      <c r="BH482" s="501"/>
      <c r="BI482" s="501"/>
      <c r="BJ482" s="501"/>
      <c r="BK482" s="501"/>
      <c r="BL482" s="501"/>
      <c r="BM482" s="501"/>
      <c r="BN482" s="501"/>
      <c r="BO482" s="501"/>
      <c r="BP482" s="501"/>
      <c r="BQ482" s="501"/>
      <c r="BR482" s="501"/>
      <c r="BS482" s="501"/>
      <c r="BT482" s="501"/>
      <c r="BU482" s="501"/>
      <c r="BV482" s="501"/>
      <c r="BW482" s="501"/>
      <c r="BX482" s="501"/>
      <c r="BY482" s="501"/>
      <c r="BZ482" s="501"/>
      <c r="CA482" s="501"/>
      <c r="CB482" s="501"/>
      <c r="CC482" s="501"/>
      <c r="CD482" s="501"/>
      <c r="CE482" s="501"/>
      <c r="CF482" s="501"/>
      <c r="CG482" s="501"/>
      <c r="CH482" s="501"/>
      <c r="CI482" s="501"/>
      <c r="CJ482" s="501"/>
      <c r="CK482" s="501"/>
      <c r="CL482" s="501"/>
      <c r="CM482" s="501"/>
      <c r="CN482" s="501"/>
      <c r="CO482" s="501"/>
      <c r="CP482" s="501"/>
      <c r="CQ482" s="501"/>
      <c r="CR482" s="501"/>
      <c r="CS482" s="501"/>
      <c r="CT482" s="501"/>
    </row>
    <row r="483">
      <c r="A483" s="569"/>
      <c r="B483" s="569"/>
      <c r="C483" s="569"/>
      <c r="D483" s="498"/>
      <c r="E483" s="499"/>
      <c r="F483" s="499"/>
      <c r="G483" s="766"/>
      <c r="H483" s="766"/>
      <c r="I483" s="766"/>
      <c r="J483" s="766"/>
      <c r="K483" s="683"/>
      <c r="L483" s="683"/>
      <c r="M483" s="683"/>
      <c r="N483" s="683"/>
      <c r="O483" s="683"/>
      <c r="P483" s="683"/>
      <c r="Q483" s="683"/>
      <c r="R483" s="683"/>
      <c r="S483" s="683"/>
      <c r="T483" s="501"/>
      <c r="U483" s="501"/>
      <c r="V483" s="501"/>
      <c r="W483" s="501"/>
      <c r="X483" s="501"/>
      <c r="Y483" s="501"/>
      <c r="Z483" s="501"/>
      <c r="AA483" s="501"/>
      <c r="AB483" s="501"/>
      <c r="AC483" s="501"/>
      <c r="AD483" s="501"/>
      <c r="AE483" s="501"/>
      <c r="AF483" s="501"/>
      <c r="AG483" s="501"/>
      <c r="AH483" s="501"/>
      <c r="AI483" s="501"/>
      <c r="AJ483" s="501"/>
      <c r="AK483" s="501"/>
      <c r="AL483" s="501"/>
      <c r="AM483" s="501"/>
      <c r="AN483" s="501"/>
      <c r="AO483" s="501"/>
      <c r="AP483" s="501"/>
      <c r="AQ483" s="501"/>
      <c r="AR483" s="501"/>
      <c r="AS483" s="501"/>
      <c r="AT483" s="501"/>
      <c r="AU483" s="501"/>
      <c r="AV483" s="501"/>
      <c r="AW483" s="501"/>
      <c r="AX483" s="501"/>
      <c r="AY483" s="501"/>
      <c r="AZ483" s="501"/>
      <c r="BA483" s="501"/>
      <c r="BB483" s="501"/>
      <c r="BC483" s="501"/>
      <c r="BD483" s="501"/>
      <c r="BE483" s="501"/>
      <c r="BF483" s="501"/>
      <c r="BG483" s="501"/>
      <c r="BH483" s="501"/>
      <c r="BI483" s="501"/>
      <c r="BJ483" s="501"/>
      <c r="BK483" s="501"/>
      <c r="BL483" s="501"/>
      <c r="BM483" s="501"/>
      <c r="BN483" s="501"/>
      <c r="BO483" s="501"/>
      <c r="BP483" s="501"/>
      <c r="BQ483" s="501"/>
      <c r="BR483" s="501"/>
      <c r="BS483" s="501"/>
      <c r="BT483" s="501"/>
      <c r="BU483" s="501"/>
      <c r="BV483" s="501"/>
      <c r="BW483" s="501"/>
      <c r="BX483" s="501"/>
      <c r="BY483" s="501"/>
      <c r="BZ483" s="501"/>
      <c r="CA483" s="501"/>
      <c r="CB483" s="501"/>
      <c r="CC483" s="501"/>
      <c r="CD483" s="501"/>
      <c r="CE483" s="501"/>
      <c r="CF483" s="501"/>
      <c r="CG483" s="501"/>
      <c r="CH483" s="501"/>
      <c r="CI483" s="501"/>
      <c r="CJ483" s="501"/>
      <c r="CK483" s="501"/>
      <c r="CL483" s="501"/>
      <c r="CM483" s="501"/>
      <c r="CN483" s="501"/>
      <c r="CO483" s="501"/>
      <c r="CP483" s="501"/>
      <c r="CQ483" s="501"/>
      <c r="CR483" s="501"/>
      <c r="CS483" s="501"/>
      <c r="CT483" s="501"/>
    </row>
    <row r="484">
      <c r="A484" s="569"/>
      <c r="B484" s="569"/>
      <c r="C484" s="569"/>
      <c r="D484" s="498"/>
      <c r="E484" s="499"/>
      <c r="F484" s="499"/>
      <c r="G484" s="766"/>
      <c r="H484" s="766"/>
      <c r="I484" s="766"/>
      <c r="J484" s="766"/>
      <c r="K484" s="683"/>
      <c r="L484" s="683"/>
      <c r="M484" s="683"/>
      <c r="N484" s="683"/>
      <c r="O484" s="683"/>
      <c r="P484" s="683"/>
      <c r="Q484" s="683"/>
      <c r="R484" s="683"/>
      <c r="S484" s="683"/>
      <c r="T484" s="501"/>
      <c r="U484" s="501"/>
      <c r="V484" s="501"/>
      <c r="W484" s="501"/>
      <c r="X484" s="501"/>
      <c r="Y484" s="501"/>
      <c r="Z484" s="501"/>
      <c r="AA484" s="501"/>
      <c r="AB484" s="501"/>
      <c r="AC484" s="501"/>
      <c r="AD484" s="501"/>
      <c r="AE484" s="501"/>
      <c r="AF484" s="501"/>
      <c r="AG484" s="501"/>
      <c r="AH484" s="501"/>
      <c r="AI484" s="501"/>
      <c r="AJ484" s="501"/>
      <c r="AK484" s="501"/>
      <c r="AL484" s="501"/>
      <c r="AM484" s="501"/>
      <c r="AN484" s="501"/>
      <c r="AO484" s="501"/>
      <c r="AP484" s="501"/>
      <c r="AQ484" s="501"/>
      <c r="AR484" s="501"/>
      <c r="AS484" s="501"/>
      <c r="AT484" s="501"/>
      <c r="AU484" s="501"/>
      <c r="AV484" s="501"/>
      <c r="AW484" s="501"/>
      <c r="AX484" s="501"/>
      <c r="AY484" s="501"/>
      <c r="AZ484" s="501"/>
      <c r="BA484" s="501"/>
      <c r="BB484" s="501"/>
      <c r="BC484" s="501"/>
      <c r="BD484" s="501"/>
      <c r="BE484" s="501"/>
      <c r="BF484" s="501"/>
      <c r="BG484" s="501"/>
      <c r="BH484" s="501"/>
      <c r="BI484" s="501"/>
      <c r="BJ484" s="501"/>
      <c r="BK484" s="501"/>
      <c r="BL484" s="501"/>
      <c r="BM484" s="501"/>
      <c r="BN484" s="501"/>
      <c r="BO484" s="501"/>
      <c r="BP484" s="501"/>
      <c r="BQ484" s="501"/>
      <c r="BR484" s="501"/>
      <c r="BS484" s="501"/>
      <c r="BT484" s="501"/>
      <c r="BU484" s="501"/>
      <c r="BV484" s="501"/>
      <c r="BW484" s="501"/>
      <c r="BX484" s="501"/>
      <c r="BY484" s="501"/>
      <c r="BZ484" s="501"/>
      <c r="CA484" s="501"/>
      <c r="CB484" s="501"/>
      <c r="CC484" s="501"/>
      <c r="CD484" s="501"/>
      <c r="CE484" s="501"/>
      <c r="CF484" s="501"/>
      <c r="CG484" s="501"/>
      <c r="CH484" s="501"/>
      <c r="CI484" s="501"/>
      <c r="CJ484" s="501"/>
      <c r="CK484" s="501"/>
      <c r="CL484" s="501"/>
      <c r="CM484" s="501"/>
      <c r="CN484" s="501"/>
      <c r="CO484" s="501"/>
      <c r="CP484" s="501"/>
      <c r="CQ484" s="501"/>
      <c r="CR484" s="501"/>
      <c r="CS484" s="501"/>
      <c r="CT484" s="501"/>
    </row>
    <row r="485">
      <c r="A485" s="569"/>
      <c r="B485" s="569"/>
      <c r="C485" s="569"/>
      <c r="D485" s="498"/>
      <c r="E485" s="499"/>
      <c r="F485" s="499"/>
      <c r="G485" s="766"/>
      <c r="H485" s="766"/>
      <c r="I485" s="766"/>
      <c r="J485" s="766"/>
      <c r="K485" s="683"/>
      <c r="L485" s="683"/>
      <c r="M485" s="683"/>
      <c r="N485" s="683"/>
      <c r="O485" s="683"/>
      <c r="P485" s="683"/>
      <c r="Q485" s="683"/>
      <c r="R485" s="683"/>
      <c r="S485" s="683"/>
      <c r="T485" s="501"/>
      <c r="U485" s="501"/>
      <c r="V485" s="501"/>
      <c r="W485" s="501"/>
      <c r="X485" s="501"/>
      <c r="Y485" s="501"/>
      <c r="Z485" s="501"/>
      <c r="AA485" s="501"/>
      <c r="AB485" s="501"/>
      <c r="AC485" s="501"/>
      <c r="AD485" s="501"/>
      <c r="AE485" s="501"/>
      <c r="AF485" s="501"/>
      <c r="AG485" s="501"/>
      <c r="AH485" s="501"/>
      <c r="AI485" s="501"/>
      <c r="AJ485" s="501"/>
      <c r="AK485" s="501"/>
      <c r="AL485" s="501"/>
      <c r="AM485" s="501"/>
      <c r="AN485" s="501"/>
      <c r="AO485" s="501"/>
      <c r="AP485" s="501"/>
      <c r="AQ485" s="501"/>
      <c r="AR485" s="501"/>
      <c r="AS485" s="501"/>
      <c r="AT485" s="501"/>
      <c r="AU485" s="501"/>
      <c r="AV485" s="501"/>
      <c r="AW485" s="501"/>
      <c r="AX485" s="501"/>
      <c r="AY485" s="501"/>
      <c r="AZ485" s="501"/>
      <c r="BA485" s="501"/>
      <c r="BB485" s="501"/>
      <c r="BC485" s="501"/>
      <c r="BD485" s="501"/>
      <c r="BE485" s="501"/>
      <c r="BF485" s="501"/>
      <c r="BG485" s="501"/>
      <c r="BH485" s="501"/>
      <c r="BI485" s="501"/>
      <c r="BJ485" s="501"/>
      <c r="BK485" s="501"/>
      <c r="BL485" s="501"/>
      <c r="BM485" s="501"/>
      <c r="BN485" s="501"/>
      <c r="BO485" s="501"/>
      <c r="BP485" s="501"/>
      <c r="BQ485" s="501"/>
      <c r="BR485" s="501"/>
      <c r="BS485" s="501"/>
      <c r="BT485" s="501"/>
      <c r="BU485" s="501"/>
      <c r="BV485" s="501"/>
      <c r="BW485" s="501"/>
      <c r="BX485" s="501"/>
      <c r="BY485" s="501"/>
      <c r="BZ485" s="501"/>
      <c r="CA485" s="501"/>
      <c r="CB485" s="501"/>
      <c r="CC485" s="501"/>
      <c r="CD485" s="501"/>
      <c r="CE485" s="501"/>
      <c r="CF485" s="501"/>
      <c r="CG485" s="501"/>
      <c r="CH485" s="501"/>
      <c r="CI485" s="501"/>
      <c r="CJ485" s="501"/>
      <c r="CK485" s="501"/>
      <c r="CL485" s="501"/>
      <c r="CM485" s="501"/>
      <c r="CN485" s="501"/>
      <c r="CO485" s="501"/>
      <c r="CP485" s="501"/>
      <c r="CQ485" s="501"/>
      <c r="CR485" s="501"/>
      <c r="CS485" s="501"/>
      <c r="CT485" s="501"/>
    </row>
    <row r="486">
      <c r="A486" s="569"/>
      <c r="B486" s="569"/>
      <c r="C486" s="569"/>
      <c r="D486" s="498"/>
      <c r="E486" s="499"/>
      <c r="F486" s="499"/>
      <c r="G486" s="766"/>
      <c r="H486" s="766"/>
      <c r="I486" s="766"/>
      <c r="J486" s="766"/>
      <c r="K486" s="683"/>
      <c r="L486" s="683"/>
      <c r="M486" s="683"/>
      <c r="N486" s="683"/>
      <c r="O486" s="683"/>
      <c r="P486" s="683"/>
      <c r="Q486" s="683"/>
      <c r="R486" s="683"/>
      <c r="S486" s="683"/>
      <c r="T486" s="501"/>
      <c r="U486" s="501"/>
      <c r="V486" s="501"/>
      <c r="W486" s="501"/>
      <c r="X486" s="501"/>
      <c r="Y486" s="501"/>
      <c r="Z486" s="501"/>
      <c r="AA486" s="501"/>
      <c r="AB486" s="501"/>
      <c r="AC486" s="501"/>
      <c r="AD486" s="501"/>
      <c r="AE486" s="501"/>
      <c r="AF486" s="501"/>
      <c r="AG486" s="501"/>
      <c r="AH486" s="501"/>
      <c r="AI486" s="501"/>
      <c r="AJ486" s="501"/>
      <c r="AK486" s="501"/>
      <c r="AL486" s="501"/>
      <c r="AM486" s="501"/>
      <c r="AN486" s="501"/>
      <c r="AO486" s="501"/>
      <c r="AP486" s="501"/>
      <c r="AQ486" s="501"/>
      <c r="AR486" s="501"/>
      <c r="AS486" s="501"/>
      <c r="AT486" s="501"/>
      <c r="AU486" s="501"/>
      <c r="AV486" s="501"/>
      <c r="AW486" s="501"/>
      <c r="AX486" s="501"/>
      <c r="AY486" s="501"/>
      <c r="AZ486" s="501"/>
      <c r="BA486" s="501"/>
      <c r="BB486" s="501"/>
      <c r="BC486" s="501"/>
      <c r="BD486" s="501"/>
      <c r="BE486" s="501"/>
      <c r="BF486" s="501"/>
      <c r="BG486" s="501"/>
      <c r="BH486" s="501"/>
      <c r="BI486" s="501"/>
      <c r="BJ486" s="501"/>
      <c r="BK486" s="501"/>
      <c r="BL486" s="501"/>
      <c r="BM486" s="501"/>
      <c r="BN486" s="501"/>
      <c r="BO486" s="501"/>
      <c r="BP486" s="501"/>
      <c r="BQ486" s="501"/>
      <c r="BR486" s="501"/>
      <c r="BS486" s="501"/>
      <c r="BT486" s="501"/>
      <c r="BU486" s="501"/>
      <c r="BV486" s="501"/>
      <c r="BW486" s="501"/>
      <c r="BX486" s="501"/>
      <c r="BY486" s="501"/>
      <c r="BZ486" s="501"/>
      <c r="CA486" s="501"/>
      <c r="CB486" s="501"/>
      <c r="CC486" s="501"/>
      <c r="CD486" s="501"/>
      <c r="CE486" s="501"/>
      <c r="CF486" s="501"/>
      <c r="CG486" s="501"/>
      <c r="CH486" s="501"/>
      <c r="CI486" s="501"/>
      <c r="CJ486" s="501"/>
      <c r="CK486" s="501"/>
      <c r="CL486" s="501"/>
      <c r="CM486" s="501"/>
      <c r="CN486" s="501"/>
      <c r="CO486" s="501"/>
      <c r="CP486" s="501"/>
      <c r="CQ486" s="501"/>
      <c r="CR486" s="501"/>
      <c r="CS486" s="501"/>
      <c r="CT486" s="501"/>
    </row>
    <row r="487">
      <c r="A487" s="569"/>
      <c r="B487" s="569"/>
      <c r="C487" s="569"/>
      <c r="D487" s="498"/>
      <c r="E487" s="499"/>
      <c r="F487" s="499"/>
      <c r="G487" s="766"/>
      <c r="H487" s="766"/>
      <c r="I487" s="766"/>
      <c r="J487" s="766"/>
      <c r="K487" s="683"/>
      <c r="L487" s="683"/>
      <c r="M487" s="683"/>
      <c r="N487" s="683"/>
      <c r="O487" s="683"/>
      <c r="P487" s="683"/>
      <c r="Q487" s="683"/>
      <c r="R487" s="683"/>
      <c r="S487" s="683"/>
      <c r="T487" s="501"/>
      <c r="U487" s="501"/>
      <c r="V487" s="501"/>
      <c r="W487" s="501"/>
      <c r="X487" s="501"/>
      <c r="Y487" s="501"/>
      <c r="Z487" s="501"/>
      <c r="AA487" s="501"/>
      <c r="AB487" s="501"/>
      <c r="AC487" s="501"/>
      <c r="AD487" s="501"/>
      <c r="AE487" s="501"/>
      <c r="AF487" s="501"/>
      <c r="AG487" s="501"/>
      <c r="AH487" s="501"/>
      <c r="AI487" s="501"/>
      <c r="AJ487" s="501"/>
      <c r="AK487" s="501"/>
      <c r="AL487" s="501"/>
      <c r="AM487" s="501"/>
      <c r="AN487" s="501"/>
      <c r="AO487" s="501"/>
      <c r="AP487" s="501"/>
      <c r="AQ487" s="501"/>
      <c r="AR487" s="501"/>
      <c r="AS487" s="501"/>
      <c r="AT487" s="501"/>
      <c r="AU487" s="501"/>
      <c r="AV487" s="501"/>
      <c r="AW487" s="501"/>
      <c r="AX487" s="501"/>
      <c r="AY487" s="501"/>
      <c r="AZ487" s="501"/>
      <c r="BA487" s="501"/>
      <c r="BB487" s="501"/>
      <c r="BC487" s="501"/>
      <c r="BD487" s="501"/>
      <c r="BE487" s="501"/>
      <c r="BF487" s="501"/>
      <c r="BG487" s="501"/>
      <c r="BH487" s="501"/>
      <c r="BI487" s="501"/>
      <c r="BJ487" s="501"/>
      <c r="BK487" s="501"/>
      <c r="BL487" s="501"/>
      <c r="BM487" s="501"/>
      <c r="BN487" s="501"/>
      <c r="BO487" s="501"/>
      <c r="BP487" s="501"/>
      <c r="BQ487" s="501"/>
      <c r="BR487" s="501"/>
      <c r="BS487" s="501"/>
      <c r="BT487" s="501"/>
      <c r="BU487" s="501"/>
      <c r="BV487" s="501"/>
      <c r="BW487" s="501"/>
      <c r="BX487" s="501"/>
      <c r="BY487" s="501"/>
      <c r="BZ487" s="501"/>
      <c r="CA487" s="501"/>
      <c r="CB487" s="501"/>
      <c r="CC487" s="501"/>
      <c r="CD487" s="501"/>
      <c r="CE487" s="501"/>
      <c r="CF487" s="501"/>
      <c r="CG487" s="501"/>
      <c r="CH487" s="501"/>
      <c r="CI487" s="501"/>
      <c r="CJ487" s="501"/>
      <c r="CK487" s="501"/>
      <c r="CL487" s="501"/>
      <c r="CM487" s="501"/>
      <c r="CN487" s="501"/>
      <c r="CO487" s="501"/>
      <c r="CP487" s="501"/>
      <c r="CQ487" s="501"/>
      <c r="CR487" s="501"/>
      <c r="CS487" s="501"/>
      <c r="CT487" s="501"/>
    </row>
    <row r="488">
      <c r="A488" s="569"/>
      <c r="B488" s="569"/>
      <c r="C488" s="569"/>
      <c r="D488" s="498"/>
      <c r="E488" s="499"/>
      <c r="F488" s="499"/>
      <c r="G488" s="766"/>
      <c r="H488" s="766"/>
      <c r="I488" s="766"/>
      <c r="J488" s="766"/>
      <c r="K488" s="683"/>
      <c r="L488" s="683"/>
      <c r="M488" s="683"/>
      <c r="N488" s="683"/>
      <c r="O488" s="683"/>
      <c r="P488" s="683"/>
      <c r="Q488" s="683"/>
      <c r="R488" s="683"/>
      <c r="S488" s="683"/>
      <c r="T488" s="501"/>
      <c r="U488" s="501"/>
      <c r="V488" s="501"/>
      <c r="W488" s="501"/>
      <c r="X488" s="501"/>
      <c r="Y488" s="501"/>
      <c r="Z488" s="501"/>
      <c r="AA488" s="501"/>
      <c r="AB488" s="501"/>
      <c r="AC488" s="501"/>
      <c r="AD488" s="501"/>
      <c r="AE488" s="501"/>
      <c r="AF488" s="501"/>
      <c r="AG488" s="501"/>
      <c r="AH488" s="501"/>
      <c r="AI488" s="501"/>
      <c r="AJ488" s="501"/>
      <c r="AK488" s="501"/>
      <c r="AL488" s="501"/>
      <c r="AM488" s="501"/>
      <c r="AN488" s="501"/>
      <c r="AO488" s="501"/>
      <c r="AP488" s="501"/>
      <c r="AQ488" s="501"/>
      <c r="AR488" s="501"/>
      <c r="AS488" s="501"/>
      <c r="AT488" s="501"/>
      <c r="AU488" s="501"/>
      <c r="AV488" s="501"/>
      <c r="AW488" s="501"/>
      <c r="AX488" s="501"/>
      <c r="AY488" s="501"/>
      <c r="AZ488" s="501"/>
      <c r="BA488" s="501"/>
      <c r="BB488" s="501"/>
      <c r="BC488" s="501"/>
      <c r="BD488" s="501"/>
      <c r="BE488" s="501"/>
      <c r="BF488" s="501"/>
      <c r="BG488" s="501"/>
      <c r="BH488" s="501"/>
      <c r="BI488" s="501"/>
      <c r="BJ488" s="501"/>
      <c r="BK488" s="501"/>
      <c r="BL488" s="501"/>
      <c r="BM488" s="501"/>
      <c r="BN488" s="501"/>
      <c r="BO488" s="501"/>
      <c r="BP488" s="501"/>
      <c r="BQ488" s="501"/>
      <c r="BR488" s="501"/>
      <c r="BS488" s="501"/>
      <c r="BT488" s="501"/>
      <c r="BU488" s="501"/>
      <c r="BV488" s="501"/>
      <c r="BW488" s="501"/>
      <c r="BX488" s="501"/>
      <c r="BY488" s="501"/>
      <c r="BZ488" s="501"/>
      <c r="CA488" s="501"/>
      <c r="CB488" s="501"/>
      <c r="CC488" s="501"/>
      <c r="CD488" s="501"/>
      <c r="CE488" s="501"/>
      <c r="CF488" s="501"/>
      <c r="CG488" s="501"/>
      <c r="CH488" s="501"/>
      <c r="CI488" s="501"/>
      <c r="CJ488" s="501"/>
      <c r="CK488" s="501"/>
      <c r="CL488" s="501"/>
      <c r="CM488" s="501"/>
      <c r="CN488" s="501"/>
      <c r="CO488" s="501"/>
      <c r="CP488" s="501"/>
      <c r="CQ488" s="501"/>
      <c r="CR488" s="501"/>
      <c r="CS488" s="501"/>
      <c r="CT488" s="501"/>
    </row>
    <row r="489">
      <c r="A489" s="569"/>
      <c r="B489" s="569"/>
      <c r="C489" s="569"/>
      <c r="D489" s="498"/>
      <c r="E489" s="499"/>
      <c r="F489" s="499"/>
      <c r="G489" s="766"/>
      <c r="H489" s="766"/>
      <c r="I489" s="766"/>
      <c r="J489" s="766"/>
      <c r="K489" s="683"/>
      <c r="L489" s="683"/>
      <c r="M489" s="683"/>
      <c r="N489" s="683"/>
      <c r="O489" s="683"/>
      <c r="P489" s="683"/>
      <c r="Q489" s="683"/>
      <c r="R489" s="683"/>
      <c r="S489" s="683"/>
      <c r="T489" s="501"/>
      <c r="U489" s="501"/>
      <c r="V489" s="501"/>
      <c r="W489" s="501"/>
      <c r="X489" s="501"/>
      <c r="Y489" s="501"/>
      <c r="Z489" s="501"/>
      <c r="AA489" s="501"/>
      <c r="AB489" s="501"/>
      <c r="AC489" s="501"/>
      <c r="AD489" s="501"/>
      <c r="AE489" s="501"/>
      <c r="AF489" s="501"/>
      <c r="AG489" s="501"/>
      <c r="AH489" s="501"/>
      <c r="AI489" s="501"/>
      <c r="AJ489" s="501"/>
      <c r="AK489" s="501"/>
      <c r="AL489" s="501"/>
      <c r="AM489" s="501"/>
      <c r="AN489" s="501"/>
      <c r="AO489" s="501"/>
      <c r="AP489" s="501"/>
      <c r="AQ489" s="501"/>
      <c r="AR489" s="501"/>
      <c r="AS489" s="501"/>
      <c r="AT489" s="501"/>
      <c r="AU489" s="501"/>
      <c r="AV489" s="501"/>
      <c r="AW489" s="501"/>
      <c r="AX489" s="501"/>
      <c r="AY489" s="501"/>
      <c r="AZ489" s="501"/>
      <c r="BA489" s="501"/>
      <c r="BB489" s="501"/>
      <c r="BC489" s="501"/>
      <c r="BD489" s="501"/>
      <c r="BE489" s="501"/>
      <c r="BF489" s="501"/>
      <c r="BG489" s="501"/>
      <c r="BH489" s="501"/>
      <c r="BI489" s="501"/>
      <c r="BJ489" s="501"/>
      <c r="BK489" s="501"/>
      <c r="BL489" s="501"/>
      <c r="BM489" s="501"/>
      <c r="BN489" s="501"/>
      <c r="BO489" s="501"/>
      <c r="BP489" s="501"/>
      <c r="BQ489" s="501"/>
      <c r="BR489" s="501"/>
      <c r="BS489" s="501"/>
      <c r="BT489" s="501"/>
      <c r="BU489" s="501"/>
      <c r="BV489" s="501"/>
      <c r="BW489" s="501"/>
      <c r="BX489" s="501"/>
      <c r="BY489" s="501"/>
      <c r="BZ489" s="501"/>
      <c r="CA489" s="501"/>
      <c r="CB489" s="501"/>
      <c r="CC489" s="501"/>
      <c r="CD489" s="501"/>
      <c r="CE489" s="501"/>
      <c r="CF489" s="501"/>
      <c r="CG489" s="501"/>
      <c r="CH489" s="501"/>
      <c r="CI489" s="501"/>
      <c r="CJ489" s="501"/>
      <c r="CK489" s="501"/>
      <c r="CL489" s="501"/>
      <c r="CM489" s="501"/>
      <c r="CN489" s="501"/>
      <c r="CO489" s="501"/>
      <c r="CP489" s="501"/>
      <c r="CQ489" s="501"/>
      <c r="CR489" s="501"/>
      <c r="CS489" s="501"/>
      <c r="CT489" s="501"/>
    </row>
    <row r="490">
      <c r="A490" s="569"/>
      <c r="B490" s="569"/>
      <c r="C490" s="569"/>
      <c r="D490" s="498"/>
      <c r="E490" s="499"/>
      <c r="F490" s="499"/>
      <c r="G490" s="766"/>
      <c r="H490" s="766"/>
      <c r="I490" s="766"/>
      <c r="J490" s="766"/>
      <c r="K490" s="683"/>
      <c r="L490" s="683"/>
      <c r="M490" s="683"/>
      <c r="N490" s="683"/>
      <c r="O490" s="683"/>
      <c r="P490" s="683"/>
      <c r="Q490" s="683"/>
      <c r="R490" s="683"/>
      <c r="S490" s="683"/>
      <c r="T490" s="501"/>
      <c r="U490" s="501"/>
      <c r="V490" s="501"/>
      <c r="W490" s="501"/>
      <c r="X490" s="501"/>
      <c r="Y490" s="501"/>
      <c r="Z490" s="501"/>
      <c r="AA490" s="501"/>
      <c r="AB490" s="501"/>
      <c r="AC490" s="501"/>
      <c r="AD490" s="501"/>
      <c r="AE490" s="501"/>
      <c r="AF490" s="501"/>
      <c r="AG490" s="501"/>
      <c r="AH490" s="501"/>
      <c r="AI490" s="501"/>
      <c r="AJ490" s="501"/>
      <c r="AK490" s="501"/>
      <c r="AL490" s="501"/>
      <c r="AM490" s="501"/>
      <c r="AN490" s="501"/>
      <c r="AO490" s="501"/>
      <c r="AP490" s="501"/>
      <c r="AQ490" s="501"/>
      <c r="AR490" s="501"/>
      <c r="AS490" s="501"/>
      <c r="AT490" s="501"/>
      <c r="AU490" s="501"/>
      <c r="AV490" s="501"/>
      <c r="AW490" s="501"/>
      <c r="AX490" s="501"/>
      <c r="AY490" s="501"/>
      <c r="AZ490" s="501"/>
      <c r="BA490" s="501"/>
      <c r="BB490" s="501"/>
      <c r="BC490" s="501"/>
      <c r="BD490" s="501"/>
      <c r="BE490" s="501"/>
      <c r="BF490" s="501"/>
      <c r="BG490" s="501"/>
      <c r="BH490" s="501"/>
      <c r="BI490" s="501"/>
      <c r="BJ490" s="501"/>
      <c r="BK490" s="501"/>
      <c r="BL490" s="501"/>
      <c r="BM490" s="501"/>
      <c r="BN490" s="501"/>
      <c r="BO490" s="501"/>
      <c r="BP490" s="501"/>
      <c r="BQ490" s="501"/>
      <c r="BR490" s="501"/>
      <c r="BS490" s="501"/>
      <c r="BT490" s="501"/>
      <c r="BU490" s="501"/>
      <c r="BV490" s="501"/>
      <c r="BW490" s="501"/>
      <c r="BX490" s="501"/>
      <c r="BY490" s="501"/>
      <c r="BZ490" s="501"/>
      <c r="CA490" s="501"/>
      <c r="CB490" s="501"/>
      <c r="CC490" s="501"/>
      <c r="CD490" s="501"/>
      <c r="CE490" s="501"/>
      <c r="CF490" s="501"/>
      <c r="CG490" s="501"/>
      <c r="CH490" s="501"/>
      <c r="CI490" s="501"/>
      <c r="CJ490" s="501"/>
      <c r="CK490" s="501"/>
      <c r="CL490" s="501"/>
      <c r="CM490" s="501"/>
      <c r="CN490" s="501"/>
      <c r="CO490" s="501"/>
      <c r="CP490" s="501"/>
      <c r="CQ490" s="501"/>
      <c r="CR490" s="501"/>
      <c r="CS490" s="501"/>
      <c r="CT490" s="501"/>
    </row>
    <row r="491">
      <c r="A491" s="569"/>
      <c r="B491" s="569"/>
      <c r="C491" s="569"/>
      <c r="D491" s="498"/>
      <c r="E491" s="499"/>
      <c r="F491" s="499"/>
      <c r="G491" s="766"/>
      <c r="H491" s="766"/>
      <c r="I491" s="766"/>
      <c r="J491" s="766"/>
      <c r="K491" s="683"/>
      <c r="L491" s="683"/>
      <c r="M491" s="683"/>
      <c r="N491" s="683"/>
      <c r="O491" s="683"/>
      <c r="P491" s="683"/>
      <c r="Q491" s="683"/>
      <c r="R491" s="683"/>
      <c r="S491" s="683"/>
      <c r="T491" s="501"/>
      <c r="U491" s="501"/>
      <c r="V491" s="501"/>
      <c r="W491" s="501"/>
      <c r="X491" s="501"/>
      <c r="Y491" s="501"/>
      <c r="Z491" s="501"/>
      <c r="AA491" s="501"/>
      <c r="AB491" s="501"/>
      <c r="AC491" s="501"/>
      <c r="AD491" s="501"/>
      <c r="AE491" s="501"/>
      <c r="AF491" s="501"/>
      <c r="AG491" s="501"/>
      <c r="AH491" s="501"/>
      <c r="AI491" s="501"/>
      <c r="AJ491" s="501"/>
      <c r="AK491" s="501"/>
      <c r="AL491" s="501"/>
      <c r="AM491" s="501"/>
      <c r="AN491" s="501"/>
      <c r="AO491" s="501"/>
      <c r="AP491" s="501"/>
      <c r="AQ491" s="501"/>
      <c r="AR491" s="501"/>
      <c r="AS491" s="501"/>
      <c r="AT491" s="501"/>
      <c r="AU491" s="501"/>
      <c r="AV491" s="501"/>
      <c r="AW491" s="501"/>
      <c r="AX491" s="501"/>
      <c r="AY491" s="501"/>
      <c r="AZ491" s="501"/>
      <c r="BA491" s="501"/>
      <c r="BB491" s="501"/>
      <c r="BC491" s="501"/>
      <c r="BD491" s="501"/>
      <c r="BE491" s="501"/>
      <c r="BF491" s="501"/>
      <c r="BG491" s="501"/>
      <c r="BH491" s="501"/>
      <c r="BI491" s="501"/>
      <c r="BJ491" s="501"/>
      <c r="BK491" s="501"/>
      <c r="BL491" s="501"/>
      <c r="BM491" s="501"/>
      <c r="BN491" s="501"/>
      <c r="BO491" s="501"/>
      <c r="BP491" s="501"/>
      <c r="BQ491" s="501"/>
      <c r="BR491" s="501"/>
      <c r="BS491" s="501"/>
      <c r="BT491" s="501"/>
      <c r="BU491" s="501"/>
      <c r="BV491" s="501"/>
      <c r="BW491" s="501"/>
      <c r="BX491" s="501"/>
      <c r="BY491" s="501"/>
      <c r="BZ491" s="501"/>
      <c r="CA491" s="501"/>
      <c r="CB491" s="501"/>
      <c r="CC491" s="501"/>
      <c r="CD491" s="501"/>
      <c r="CE491" s="501"/>
      <c r="CF491" s="501"/>
      <c r="CG491" s="501"/>
      <c r="CH491" s="501"/>
      <c r="CI491" s="501"/>
      <c r="CJ491" s="501"/>
      <c r="CK491" s="501"/>
      <c r="CL491" s="501"/>
      <c r="CM491" s="501"/>
      <c r="CN491" s="501"/>
      <c r="CO491" s="501"/>
      <c r="CP491" s="501"/>
      <c r="CQ491" s="501"/>
      <c r="CR491" s="501"/>
      <c r="CS491" s="501"/>
      <c r="CT491" s="501"/>
    </row>
    <row r="492">
      <c r="A492" s="569"/>
      <c r="B492" s="569"/>
      <c r="C492" s="569"/>
      <c r="D492" s="498"/>
      <c r="E492" s="499"/>
      <c r="F492" s="499"/>
      <c r="G492" s="766"/>
      <c r="H492" s="766"/>
      <c r="I492" s="766"/>
      <c r="J492" s="766"/>
      <c r="K492" s="683"/>
      <c r="L492" s="683"/>
      <c r="M492" s="683"/>
      <c r="N492" s="683"/>
      <c r="O492" s="683"/>
      <c r="P492" s="683"/>
      <c r="Q492" s="683"/>
      <c r="R492" s="683"/>
      <c r="S492" s="683"/>
      <c r="T492" s="501"/>
      <c r="U492" s="501"/>
      <c r="V492" s="501"/>
      <c r="W492" s="501"/>
      <c r="X492" s="501"/>
      <c r="Y492" s="501"/>
      <c r="Z492" s="501"/>
      <c r="AA492" s="501"/>
      <c r="AB492" s="501"/>
      <c r="AC492" s="501"/>
      <c r="AD492" s="501"/>
      <c r="AE492" s="501"/>
      <c r="AF492" s="501"/>
      <c r="AG492" s="501"/>
      <c r="AH492" s="501"/>
      <c r="AI492" s="501"/>
      <c r="AJ492" s="501"/>
      <c r="AK492" s="501"/>
      <c r="AL492" s="501"/>
      <c r="AM492" s="501"/>
      <c r="AN492" s="501"/>
      <c r="AO492" s="501"/>
      <c r="AP492" s="501"/>
      <c r="AQ492" s="501"/>
      <c r="AR492" s="501"/>
      <c r="AS492" s="501"/>
      <c r="AT492" s="501"/>
      <c r="AU492" s="501"/>
      <c r="AV492" s="501"/>
      <c r="AW492" s="501"/>
      <c r="AX492" s="501"/>
      <c r="AY492" s="501"/>
      <c r="AZ492" s="501"/>
      <c r="BA492" s="501"/>
      <c r="BB492" s="501"/>
      <c r="BC492" s="501"/>
      <c r="BD492" s="501"/>
      <c r="BE492" s="501"/>
      <c r="BF492" s="501"/>
      <c r="BG492" s="501"/>
      <c r="BH492" s="501"/>
      <c r="BI492" s="501"/>
      <c r="BJ492" s="501"/>
      <c r="BK492" s="501"/>
      <c r="BL492" s="501"/>
      <c r="BM492" s="501"/>
      <c r="BN492" s="501"/>
      <c r="BO492" s="501"/>
      <c r="BP492" s="501"/>
      <c r="BQ492" s="501"/>
      <c r="BR492" s="501"/>
      <c r="BS492" s="501"/>
      <c r="BT492" s="501"/>
      <c r="BU492" s="501"/>
      <c r="BV492" s="501"/>
      <c r="BW492" s="501"/>
      <c r="BX492" s="501"/>
      <c r="BY492" s="501"/>
      <c r="BZ492" s="501"/>
      <c r="CA492" s="501"/>
      <c r="CB492" s="501"/>
      <c r="CC492" s="501"/>
      <c r="CD492" s="501"/>
      <c r="CE492" s="501"/>
      <c r="CF492" s="501"/>
      <c r="CG492" s="501"/>
      <c r="CH492" s="501"/>
      <c r="CI492" s="501"/>
      <c r="CJ492" s="501"/>
      <c r="CK492" s="501"/>
      <c r="CL492" s="501"/>
      <c r="CM492" s="501"/>
      <c r="CN492" s="501"/>
      <c r="CO492" s="501"/>
      <c r="CP492" s="501"/>
      <c r="CQ492" s="501"/>
      <c r="CR492" s="501"/>
      <c r="CS492" s="501"/>
      <c r="CT492" s="501"/>
    </row>
    <row r="493">
      <c r="A493" s="569"/>
      <c r="B493" s="569"/>
      <c r="C493" s="569"/>
      <c r="D493" s="498"/>
      <c r="E493" s="499"/>
      <c r="F493" s="499"/>
      <c r="G493" s="766"/>
      <c r="H493" s="766"/>
      <c r="I493" s="766"/>
      <c r="J493" s="766"/>
      <c r="K493" s="683"/>
      <c r="L493" s="683"/>
      <c r="M493" s="683"/>
      <c r="N493" s="683"/>
      <c r="O493" s="683"/>
      <c r="P493" s="683"/>
      <c r="Q493" s="683"/>
      <c r="R493" s="683"/>
      <c r="S493" s="683"/>
      <c r="T493" s="501"/>
      <c r="U493" s="501"/>
      <c r="V493" s="501"/>
      <c r="W493" s="501"/>
      <c r="X493" s="501"/>
      <c r="Y493" s="501"/>
      <c r="Z493" s="501"/>
      <c r="AA493" s="501"/>
      <c r="AB493" s="501"/>
      <c r="AC493" s="501"/>
      <c r="AD493" s="501"/>
      <c r="AE493" s="501"/>
      <c r="AF493" s="501"/>
      <c r="AG493" s="501"/>
      <c r="AH493" s="501"/>
      <c r="AI493" s="501"/>
      <c r="AJ493" s="501"/>
      <c r="AK493" s="501"/>
      <c r="AL493" s="501"/>
      <c r="AM493" s="501"/>
      <c r="AN493" s="501"/>
      <c r="AO493" s="501"/>
      <c r="AP493" s="501"/>
      <c r="AQ493" s="501"/>
      <c r="AR493" s="501"/>
      <c r="AS493" s="501"/>
      <c r="AT493" s="501"/>
      <c r="AU493" s="501"/>
      <c r="AV493" s="501"/>
      <c r="AW493" s="501"/>
      <c r="AX493" s="501"/>
      <c r="AY493" s="501"/>
      <c r="AZ493" s="501"/>
      <c r="BA493" s="501"/>
      <c r="BB493" s="501"/>
      <c r="BC493" s="501"/>
      <c r="BD493" s="501"/>
      <c r="BE493" s="501"/>
      <c r="BF493" s="501"/>
      <c r="BG493" s="501"/>
      <c r="BH493" s="501"/>
      <c r="BI493" s="501"/>
      <c r="BJ493" s="501"/>
      <c r="BK493" s="501"/>
      <c r="BL493" s="501"/>
      <c r="BM493" s="501"/>
      <c r="BN493" s="501"/>
      <c r="BO493" s="501"/>
      <c r="BP493" s="501"/>
      <c r="BQ493" s="501"/>
      <c r="BR493" s="501"/>
      <c r="BS493" s="501"/>
      <c r="BT493" s="501"/>
      <c r="BU493" s="501"/>
      <c r="BV493" s="501"/>
      <c r="BW493" s="501"/>
      <c r="BX493" s="501"/>
      <c r="BY493" s="501"/>
      <c r="BZ493" s="501"/>
      <c r="CA493" s="501"/>
      <c r="CB493" s="501"/>
      <c r="CC493" s="501"/>
      <c r="CD493" s="501"/>
      <c r="CE493" s="501"/>
      <c r="CF493" s="501"/>
      <c r="CG493" s="501"/>
      <c r="CH493" s="501"/>
      <c r="CI493" s="501"/>
      <c r="CJ493" s="501"/>
      <c r="CK493" s="501"/>
      <c r="CL493" s="501"/>
      <c r="CM493" s="501"/>
      <c r="CN493" s="501"/>
      <c r="CO493" s="501"/>
      <c r="CP493" s="501"/>
      <c r="CQ493" s="501"/>
      <c r="CR493" s="501"/>
      <c r="CS493" s="501"/>
      <c r="CT493" s="501"/>
    </row>
    <row r="494">
      <c r="A494" s="569"/>
      <c r="B494" s="569"/>
      <c r="C494" s="569"/>
      <c r="D494" s="498"/>
      <c r="E494" s="499"/>
      <c r="F494" s="499"/>
      <c r="G494" s="766"/>
      <c r="H494" s="766"/>
      <c r="I494" s="766"/>
      <c r="J494" s="766"/>
      <c r="K494" s="683"/>
      <c r="L494" s="683"/>
      <c r="M494" s="683"/>
      <c r="N494" s="683"/>
      <c r="O494" s="683"/>
      <c r="P494" s="683"/>
      <c r="Q494" s="683"/>
      <c r="R494" s="683"/>
      <c r="S494" s="683"/>
      <c r="T494" s="501"/>
      <c r="U494" s="501"/>
      <c r="V494" s="501"/>
      <c r="W494" s="501"/>
      <c r="X494" s="501"/>
      <c r="Y494" s="501"/>
      <c r="Z494" s="501"/>
      <c r="AA494" s="501"/>
      <c r="AB494" s="501"/>
      <c r="AC494" s="501"/>
      <c r="AD494" s="501"/>
      <c r="AE494" s="501"/>
      <c r="AF494" s="501"/>
      <c r="AG494" s="501"/>
      <c r="AH494" s="501"/>
      <c r="AI494" s="501"/>
      <c r="AJ494" s="501"/>
      <c r="AK494" s="501"/>
      <c r="AL494" s="501"/>
      <c r="AM494" s="501"/>
      <c r="AN494" s="501"/>
      <c r="AO494" s="501"/>
      <c r="AP494" s="501"/>
      <c r="AQ494" s="501"/>
      <c r="AR494" s="501"/>
      <c r="AS494" s="501"/>
      <c r="AT494" s="501"/>
      <c r="AU494" s="501"/>
      <c r="AV494" s="501"/>
      <c r="AW494" s="501"/>
      <c r="AX494" s="501"/>
      <c r="AY494" s="501"/>
      <c r="AZ494" s="501"/>
      <c r="BA494" s="501"/>
      <c r="BB494" s="501"/>
      <c r="BC494" s="501"/>
      <c r="BD494" s="501"/>
      <c r="BE494" s="501"/>
      <c r="BF494" s="501"/>
      <c r="BG494" s="501"/>
      <c r="BH494" s="501"/>
      <c r="BI494" s="501"/>
      <c r="BJ494" s="501"/>
      <c r="BK494" s="501"/>
      <c r="BL494" s="501"/>
      <c r="BM494" s="501"/>
      <c r="BN494" s="501"/>
      <c r="BO494" s="501"/>
      <c r="BP494" s="501"/>
      <c r="BQ494" s="501"/>
      <c r="BR494" s="501"/>
      <c r="BS494" s="501"/>
      <c r="BT494" s="501"/>
      <c r="BU494" s="501"/>
      <c r="BV494" s="501"/>
      <c r="BW494" s="501"/>
      <c r="BX494" s="501"/>
      <c r="BY494" s="501"/>
      <c r="BZ494" s="501"/>
      <c r="CA494" s="501"/>
      <c r="CB494" s="501"/>
      <c r="CC494" s="501"/>
      <c r="CD494" s="501"/>
      <c r="CE494" s="501"/>
      <c r="CF494" s="501"/>
      <c r="CG494" s="501"/>
      <c r="CH494" s="501"/>
      <c r="CI494" s="501"/>
      <c r="CJ494" s="501"/>
      <c r="CK494" s="501"/>
      <c r="CL494" s="501"/>
      <c r="CM494" s="501"/>
      <c r="CN494" s="501"/>
      <c r="CO494" s="501"/>
      <c r="CP494" s="501"/>
      <c r="CQ494" s="501"/>
      <c r="CR494" s="501"/>
      <c r="CS494" s="501"/>
      <c r="CT494" s="501"/>
    </row>
    <row r="495">
      <c r="A495" s="569"/>
      <c r="B495" s="569"/>
      <c r="C495" s="569"/>
      <c r="D495" s="498"/>
      <c r="E495" s="499"/>
      <c r="F495" s="499"/>
      <c r="G495" s="766"/>
      <c r="H495" s="766"/>
      <c r="I495" s="766"/>
      <c r="J495" s="766"/>
      <c r="K495" s="683"/>
      <c r="L495" s="683"/>
      <c r="M495" s="683"/>
      <c r="N495" s="683"/>
      <c r="O495" s="683"/>
      <c r="P495" s="683"/>
      <c r="Q495" s="683"/>
      <c r="R495" s="683"/>
      <c r="S495" s="683"/>
      <c r="T495" s="501"/>
      <c r="U495" s="501"/>
      <c r="V495" s="501"/>
      <c r="W495" s="501"/>
      <c r="X495" s="501"/>
      <c r="Y495" s="501"/>
      <c r="Z495" s="501"/>
      <c r="AA495" s="501"/>
      <c r="AB495" s="501"/>
      <c r="AC495" s="501"/>
      <c r="AD495" s="501"/>
      <c r="AE495" s="501"/>
      <c r="AF495" s="501"/>
      <c r="AG495" s="501"/>
      <c r="AH495" s="501"/>
      <c r="AI495" s="501"/>
      <c r="AJ495" s="501"/>
      <c r="AK495" s="501"/>
      <c r="AL495" s="501"/>
      <c r="AM495" s="501"/>
      <c r="AN495" s="501"/>
      <c r="AO495" s="501"/>
      <c r="AP495" s="501"/>
      <c r="AQ495" s="501"/>
      <c r="AR495" s="501"/>
      <c r="AS495" s="501"/>
      <c r="AT495" s="501"/>
      <c r="AU495" s="501"/>
      <c r="AV495" s="501"/>
      <c r="AW495" s="501"/>
      <c r="AX495" s="501"/>
      <c r="AY495" s="501"/>
      <c r="AZ495" s="501"/>
      <c r="BA495" s="501"/>
      <c r="BB495" s="501"/>
      <c r="BC495" s="501"/>
      <c r="BD495" s="501"/>
      <c r="BE495" s="501"/>
      <c r="BF495" s="501"/>
      <c r="BG495" s="501"/>
      <c r="BH495" s="501"/>
      <c r="BI495" s="501"/>
      <c r="BJ495" s="501"/>
      <c r="BK495" s="501"/>
      <c r="BL495" s="501"/>
      <c r="BM495" s="501"/>
      <c r="BN495" s="501"/>
      <c r="BO495" s="501"/>
      <c r="BP495" s="501"/>
      <c r="BQ495" s="501"/>
      <c r="BR495" s="501"/>
      <c r="BS495" s="501"/>
      <c r="BT495" s="501"/>
      <c r="BU495" s="501"/>
      <c r="BV495" s="501"/>
      <c r="BW495" s="501"/>
      <c r="BX495" s="501"/>
      <c r="BY495" s="501"/>
      <c r="BZ495" s="501"/>
      <c r="CA495" s="501"/>
      <c r="CB495" s="501"/>
      <c r="CC495" s="501"/>
      <c r="CD495" s="501"/>
      <c r="CE495" s="501"/>
      <c r="CF495" s="501"/>
      <c r="CG495" s="501"/>
      <c r="CH495" s="501"/>
      <c r="CI495" s="501"/>
      <c r="CJ495" s="501"/>
      <c r="CK495" s="501"/>
      <c r="CL495" s="501"/>
      <c r="CM495" s="501"/>
      <c r="CN495" s="501"/>
      <c r="CO495" s="501"/>
      <c r="CP495" s="501"/>
      <c r="CQ495" s="501"/>
      <c r="CR495" s="501"/>
      <c r="CS495" s="501"/>
      <c r="CT495" s="501"/>
    </row>
    <row r="496">
      <c r="A496" s="569"/>
      <c r="B496" s="569"/>
      <c r="C496" s="569"/>
      <c r="D496" s="498"/>
      <c r="E496" s="499"/>
      <c r="F496" s="499"/>
      <c r="G496" s="766"/>
      <c r="H496" s="766"/>
      <c r="I496" s="766"/>
      <c r="J496" s="766"/>
      <c r="K496" s="683"/>
      <c r="L496" s="683"/>
      <c r="M496" s="683"/>
      <c r="N496" s="683"/>
      <c r="O496" s="683"/>
      <c r="P496" s="683"/>
      <c r="Q496" s="683"/>
      <c r="R496" s="683"/>
      <c r="S496" s="683"/>
      <c r="T496" s="501"/>
      <c r="U496" s="501"/>
      <c r="V496" s="501"/>
      <c r="W496" s="501"/>
      <c r="X496" s="501"/>
      <c r="Y496" s="501"/>
      <c r="Z496" s="501"/>
      <c r="AA496" s="501"/>
      <c r="AB496" s="501"/>
      <c r="AC496" s="501"/>
      <c r="AD496" s="501"/>
      <c r="AE496" s="501"/>
      <c r="AF496" s="501"/>
      <c r="AG496" s="501"/>
      <c r="AH496" s="501"/>
      <c r="AI496" s="501"/>
      <c r="AJ496" s="501"/>
      <c r="AK496" s="501"/>
      <c r="AL496" s="501"/>
      <c r="AM496" s="501"/>
      <c r="AN496" s="501"/>
      <c r="AO496" s="501"/>
      <c r="AP496" s="501"/>
      <c r="AQ496" s="501"/>
      <c r="AR496" s="501"/>
      <c r="AS496" s="501"/>
      <c r="AT496" s="501"/>
      <c r="AU496" s="501"/>
      <c r="AV496" s="501"/>
      <c r="AW496" s="501"/>
      <c r="AX496" s="501"/>
      <c r="AY496" s="501"/>
      <c r="AZ496" s="501"/>
      <c r="BA496" s="501"/>
      <c r="BB496" s="501"/>
      <c r="BC496" s="501"/>
      <c r="BD496" s="501"/>
      <c r="BE496" s="501"/>
      <c r="BF496" s="501"/>
      <c r="BG496" s="501"/>
      <c r="BH496" s="501"/>
      <c r="BI496" s="501"/>
      <c r="BJ496" s="501"/>
      <c r="BK496" s="501"/>
      <c r="BL496" s="501"/>
      <c r="BM496" s="501"/>
      <c r="BN496" s="501"/>
      <c r="BO496" s="501"/>
      <c r="BP496" s="501"/>
      <c r="BQ496" s="501"/>
      <c r="BR496" s="501"/>
      <c r="BS496" s="501"/>
      <c r="BT496" s="501"/>
      <c r="BU496" s="501"/>
      <c r="BV496" s="501"/>
      <c r="BW496" s="501"/>
      <c r="BX496" s="501"/>
      <c r="BY496" s="501"/>
      <c r="BZ496" s="501"/>
      <c r="CA496" s="501"/>
      <c r="CB496" s="501"/>
      <c r="CC496" s="501"/>
      <c r="CD496" s="501"/>
      <c r="CE496" s="501"/>
      <c r="CF496" s="501"/>
      <c r="CG496" s="501"/>
      <c r="CH496" s="501"/>
      <c r="CI496" s="501"/>
      <c r="CJ496" s="501"/>
      <c r="CK496" s="501"/>
      <c r="CL496" s="501"/>
      <c r="CM496" s="501"/>
      <c r="CN496" s="501"/>
      <c r="CO496" s="501"/>
      <c r="CP496" s="501"/>
      <c r="CQ496" s="501"/>
      <c r="CR496" s="501"/>
      <c r="CS496" s="501"/>
      <c r="CT496" s="501"/>
    </row>
    <row r="497">
      <c r="A497" s="569"/>
      <c r="B497" s="569"/>
      <c r="C497" s="569"/>
      <c r="D497" s="498"/>
      <c r="E497" s="499"/>
      <c r="F497" s="499"/>
      <c r="G497" s="766"/>
      <c r="H497" s="766"/>
      <c r="I497" s="766"/>
      <c r="J497" s="766"/>
      <c r="K497" s="683"/>
      <c r="L497" s="683"/>
      <c r="M497" s="683"/>
      <c r="N497" s="683"/>
      <c r="O497" s="683"/>
      <c r="P497" s="683"/>
      <c r="Q497" s="683"/>
      <c r="R497" s="683"/>
      <c r="S497" s="683"/>
      <c r="T497" s="501"/>
      <c r="U497" s="501"/>
      <c r="V497" s="501"/>
      <c r="W497" s="501"/>
      <c r="X497" s="501"/>
      <c r="Y497" s="501"/>
      <c r="Z497" s="501"/>
      <c r="AA497" s="501"/>
      <c r="AB497" s="501"/>
      <c r="AC497" s="501"/>
      <c r="AD497" s="501"/>
      <c r="AE497" s="501"/>
      <c r="AF497" s="501"/>
      <c r="AG497" s="501"/>
      <c r="AH497" s="501"/>
      <c r="AI497" s="501"/>
      <c r="AJ497" s="501"/>
      <c r="AK497" s="501"/>
      <c r="AL497" s="501"/>
      <c r="AM497" s="501"/>
      <c r="AN497" s="501"/>
      <c r="AO497" s="501"/>
      <c r="AP497" s="501"/>
      <c r="AQ497" s="501"/>
      <c r="AR497" s="501"/>
      <c r="AS497" s="501"/>
      <c r="AT497" s="501"/>
      <c r="AU497" s="501"/>
      <c r="AV497" s="501"/>
      <c r="AW497" s="501"/>
      <c r="AX497" s="501"/>
      <c r="AY497" s="501"/>
      <c r="AZ497" s="501"/>
      <c r="BA497" s="501"/>
      <c r="BB497" s="501"/>
      <c r="BC497" s="501"/>
      <c r="BD497" s="501"/>
      <c r="BE497" s="501"/>
      <c r="BF497" s="501"/>
      <c r="BG497" s="501"/>
      <c r="BH497" s="501"/>
      <c r="BI497" s="501"/>
      <c r="BJ497" s="501"/>
      <c r="BK497" s="501"/>
      <c r="BL497" s="501"/>
      <c r="BM497" s="501"/>
      <c r="BN497" s="501"/>
      <c r="BO497" s="501"/>
      <c r="BP497" s="501"/>
      <c r="BQ497" s="501"/>
      <c r="BR497" s="501"/>
      <c r="BS497" s="501"/>
      <c r="BT497" s="501"/>
      <c r="BU497" s="501"/>
      <c r="BV497" s="501"/>
      <c r="BW497" s="501"/>
      <c r="BX497" s="501"/>
      <c r="BY497" s="501"/>
      <c r="BZ497" s="501"/>
      <c r="CA497" s="501"/>
      <c r="CB497" s="501"/>
      <c r="CC497" s="501"/>
      <c r="CD497" s="501"/>
      <c r="CE497" s="501"/>
      <c r="CF497" s="501"/>
      <c r="CG497" s="501"/>
      <c r="CH497" s="501"/>
      <c r="CI497" s="501"/>
      <c r="CJ497" s="501"/>
      <c r="CK497" s="501"/>
      <c r="CL497" s="501"/>
      <c r="CM497" s="501"/>
      <c r="CN497" s="501"/>
      <c r="CO497" s="501"/>
      <c r="CP497" s="501"/>
      <c r="CQ497" s="501"/>
      <c r="CR497" s="501"/>
      <c r="CS497" s="501"/>
      <c r="CT497" s="501"/>
    </row>
    <row r="498">
      <c r="A498" s="569"/>
      <c r="B498" s="569"/>
      <c r="C498" s="569"/>
      <c r="D498" s="498"/>
      <c r="E498" s="499"/>
      <c r="F498" s="499"/>
      <c r="G498" s="766"/>
      <c r="H498" s="766"/>
      <c r="I498" s="766"/>
      <c r="J498" s="766"/>
      <c r="K498" s="683"/>
      <c r="L498" s="683"/>
      <c r="M498" s="683"/>
      <c r="N498" s="683"/>
      <c r="O498" s="683"/>
      <c r="P498" s="683"/>
      <c r="Q498" s="683"/>
      <c r="R498" s="683"/>
      <c r="S498" s="683"/>
      <c r="T498" s="501"/>
      <c r="U498" s="501"/>
      <c r="V498" s="501"/>
      <c r="W498" s="501"/>
      <c r="X498" s="501"/>
      <c r="Y498" s="501"/>
      <c r="Z498" s="501"/>
      <c r="AA498" s="501"/>
      <c r="AB498" s="501"/>
      <c r="AC498" s="501"/>
      <c r="AD498" s="501"/>
      <c r="AE498" s="501"/>
      <c r="AF498" s="501"/>
      <c r="AG498" s="501"/>
      <c r="AH498" s="501"/>
      <c r="AI498" s="501"/>
      <c r="AJ498" s="501"/>
      <c r="AK498" s="501"/>
      <c r="AL498" s="501"/>
      <c r="AM498" s="501"/>
      <c r="AN498" s="501"/>
      <c r="AO498" s="501"/>
      <c r="AP498" s="501"/>
      <c r="AQ498" s="501"/>
      <c r="AR498" s="501"/>
      <c r="AS498" s="501"/>
      <c r="AT498" s="501"/>
      <c r="AU498" s="501"/>
      <c r="AV498" s="501"/>
      <c r="AW498" s="501"/>
      <c r="AX498" s="501"/>
      <c r="AY498" s="501"/>
      <c r="AZ498" s="501"/>
      <c r="BA498" s="501"/>
      <c r="BB498" s="501"/>
      <c r="BC498" s="501"/>
      <c r="BD498" s="501"/>
      <c r="BE498" s="501"/>
      <c r="BF498" s="501"/>
      <c r="BG498" s="501"/>
      <c r="BH498" s="501"/>
      <c r="BI498" s="501"/>
      <c r="BJ498" s="501"/>
      <c r="BK498" s="501"/>
      <c r="BL498" s="501"/>
      <c r="BM498" s="501"/>
      <c r="BN498" s="501"/>
      <c r="BO498" s="501"/>
      <c r="BP498" s="501"/>
      <c r="BQ498" s="501"/>
      <c r="BR498" s="501"/>
      <c r="BS498" s="501"/>
      <c r="BT498" s="501"/>
      <c r="BU498" s="501"/>
      <c r="BV498" s="501"/>
      <c r="BW498" s="501"/>
      <c r="BX498" s="501"/>
      <c r="BY498" s="501"/>
      <c r="BZ498" s="501"/>
      <c r="CA498" s="501"/>
      <c r="CB498" s="501"/>
      <c r="CC498" s="501"/>
      <c r="CD498" s="501"/>
      <c r="CE498" s="501"/>
      <c r="CF498" s="501"/>
      <c r="CG498" s="501"/>
      <c r="CH498" s="501"/>
      <c r="CI498" s="501"/>
      <c r="CJ498" s="501"/>
      <c r="CK498" s="501"/>
      <c r="CL498" s="501"/>
      <c r="CM498" s="501"/>
      <c r="CN498" s="501"/>
      <c r="CO498" s="501"/>
      <c r="CP498" s="501"/>
      <c r="CQ498" s="501"/>
      <c r="CR498" s="501"/>
      <c r="CS498" s="501"/>
      <c r="CT498" s="501"/>
    </row>
    <row r="499">
      <c r="A499" s="569"/>
      <c r="B499" s="569"/>
      <c r="C499" s="569"/>
      <c r="D499" s="498"/>
      <c r="E499" s="499"/>
      <c r="F499" s="499"/>
      <c r="G499" s="766"/>
      <c r="H499" s="766"/>
      <c r="I499" s="766"/>
      <c r="J499" s="766"/>
      <c r="K499" s="683"/>
      <c r="L499" s="683"/>
      <c r="M499" s="683"/>
      <c r="N499" s="683"/>
      <c r="O499" s="683"/>
      <c r="P499" s="683"/>
      <c r="Q499" s="683"/>
      <c r="R499" s="683"/>
      <c r="S499" s="683"/>
      <c r="T499" s="501"/>
      <c r="U499" s="501"/>
      <c r="V499" s="501"/>
      <c r="W499" s="501"/>
      <c r="X499" s="501"/>
      <c r="Y499" s="501"/>
      <c r="Z499" s="501"/>
      <c r="AA499" s="501"/>
      <c r="AB499" s="501"/>
      <c r="AC499" s="501"/>
      <c r="AD499" s="501"/>
      <c r="AE499" s="501"/>
      <c r="AF499" s="501"/>
      <c r="AG499" s="501"/>
      <c r="AH499" s="501"/>
      <c r="AI499" s="501"/>
      <c r="AJ499" s="501"/>
      <c r="AK499" s="501"/>
      <c r="AL499" s="501"/>
      <c r="AM499" s="501"/>
      <c r="AN499" s="501"/>
      <c r="AO499" s="501"/>
      <c r="AP499" s="501"/>
      <c r="AQ499" s="501"/>
      <c r="AR499" s="501"/>
      <c r="AS499" s="501"/>
      <c r="AT499" s="501"/>
      <c r="AU499" s="501"/>
      <c r="AV499" s="501"/>
      <c r="AW499" s="501"/>
      <c r="AX499" s="501"/>
      <c r="AY499" s="501"/>
      <c r="AZ499" s="501"/>
      <c r="BA499" s="501"/>
      <c r="BB499" s="501"/>
      <c r="BC499" s="501"/>
      <c r="BD499" s="501"/>
      <c r="BE499" s="501"/>
      <c r="BF499" s="501"/>
      <c r="BG499" s="501"/>
      <c r="BH499" s="501"/>
      <c r="BI499" s="501"/>
      <c r="BJ499" s="501"/>
      <c r="BK499" s="501"/>
      <c r="BL499" s="501"/>
      <c r="BM499" s="501"/>
      <c r="BN499" s="501"/>
      <c r="BO499" s="501"/>
      <c r="BP499" s="501"/>
      <c r="BQ499" s="501"/>
      <c r="BR499" s="501"/>
      <c r="BS499" s="501"/>
      <c r="BT499" s="501"/>
      <c r="BU499" s="501"/>
      <c r="BV499" s="501"/>
      <c r="BW499" s="501"/>
      <c r="BX499" s="501"/>
      <c r="BY499" s="501"/>
      <c r="BZ499" s="501"/>
      <c r="CA499" s="501"/>
      <c r="CB499" s="501"/>
      <c r="CC499" s="501"/>
      <c r="CD499" s="501"/>
      <c r="CE499" s="501"/>
      <c r="CF499" s="501"/>
      <c r="CG499" s="501"/>
      <c r="CH499" s="501"/>
      <c r="CI499" s="501"/>
      <c r="CJ499" s="501"/>
      <c r="CK499" s="501"/>
      <c r="CL499" s="501"/>
      <c r="CM499" s="501"/>
      <c r="CN499" s="501"/>
      <c r="CO499" s="501"/>
      <c r="CP499" s="501"/>
      <c r="CQ499" s="501"/>
      <c r="CR499" s="501"/>
      <c r="CS499" s="501"/>
      <c r="CT499" s="501"/>
    </row>
    <row r="500">
      <c r="A500" s="569"/>
      <c r="B500" s="569"/>
      <c r="C500" s="569"/>
      <c r="D500" s="498"/>
      <c r="E500" s="499"/>
      <c r="F500" s="499"/>
      <c r="G500" s="766"/>
      <c r="H500" s="766"/>
      <c r="I500" s="766"/>
      <c r="J500" s="766"/>
      <c r="K500" s="683"/>
      <c r="L500" s="683"/>
      <c r="M500" s="683"/>
      <c r="N500" s="683"/>
      <c r="O500" s="683"/>
      <c r="P500" s="683"/>
      <c r="Q500" s="683"/>
      <c r="R500" s="683"/>
      <c r="S500" s="683"/>
      <c r="T500" s="501"/>
      <c r="U500" s="501"/>
      <c r="V500" s="501"/>
      <c r="W500" s="501"/>
      <c r="X500" s="501"/>
      <c r="Y500" s="501"/>
      <c r="Z500" s="501"/>
      <c r="AA500" s="501"/>
      <c r="AB500" s="501"/>
      <c r="AC500" s="501"/>
      <c r="AD500" s="501"/>
      <c r="AE500" s="501"/>
      <c r="AF500" s="501"/>
      <c r="AG500" s="501"/>
      <c r="AH500" s="501"/>
      <c r="AI500" s="501"/>
      <c r="AJ500" s="501"/>
      <c r="AK500" s="501"/>
      <c r="AL500" s="501"/>
      <c r="AM500" s="501"/>
      <c r="AN500" s="501"/>
      <c r="AO500" s="501"/>
      <c r="AP500" s="501"/>
      <c r="AQ500" s="501"/>
      <c r="AR500" s="501"/>
      <c r="AS500" s="501"/>
      <c r="AT500" s="501"/>
      <c r="AU500" s="501"/>
      <c r="AV500" s="501"/>
      <c r="AW500" s="501"/>
      <c r="AX500" s="501"/>
      <c r="AY500" s="501"/>
      <c r="AZ500" s="501"/>
      <c r="BA500" s="501"/>
      <c r="BB500" s="501"/>
      <c r="BC500" s="501"/>
      <c r="BD500" s="501"/>
      <c r="BE500" s="501"/>
      <c r="BF500" s="501"/>
      <c r="BG500" s="501"/>
      <c r="BH500" s="501"/>
      <c r="BI500" s="501"/>
      <c r="BJ500" s="501"/>
      <c r="BK500" s="501"/>
      <c r="BL500" s="501"/>
      <c r="BM500" s="501"/>
      <c r="BN500" s="501"/>
      <c r="BO500" s="501"/>
      <c r="BP500" s="501"/>
      <c r="BQ500" s="501"/>
      <c r="BR500" s="501"/>
      <c r="BS500" s="501"/>
      <c r="BT500" s="501"/>
      <c r="BU500" s="501"/>
      <c r="BV500" s="501"/>
      <c r="BW500" s="501"/>
      <c r="BX500" s="501"/>
      <c r="BY500" s="501"/>
      <c r="BZ500" s="501"/>
      <c r="CA500" s="501"/>
      <c r="CB500" s="501"/>
      <c r="CC500" s="501"/>
      <c r="CD500" s="501"/>
      <c r="CE500" s="501"/>
      <c r="CF500" s="501"/>
      <c r="CG500" s="501"/>
      <c r="CH500" s="501"/>
      <c r="CI500" s="501"/>
      <c r="CJ500" s="501"/>
      <c r="CK500" s="501"/>
      <c r="CL500" s="501"/>
      <c r="CM500" s="501"/>
      <c r="CN500" s="501"/>
      <c r="CO500" s="501"/>
      <c r="CP500" s="501"/>
      <c r="CQ500" s="501"/>
      <c r="CR500" s="501"/>
      <c r="CS500" s="501"/>
      <c r="CT500" s="501"/>
    </row>
    <row r="501">
      <c r="A501" s="569"/>
      <c r="B501" s="569"/>
      <c r="C501" s="569"/>
      <c r="D501" s="498"/>
      <c r="E501" s="499"/>
      <c r="F501" s="499"/>
      <c r="G501" s="766"/>
      <c r="H501" s="766"/>
      <c r="I501" s="766"/>
      <c r="J501" s="766"/>
      <c r="K501" s="683"/>
      <c r="L501" s="683"/>
      <c r="M501" s="683"/>
      <c r="N501" s="683"/>
      <c r="O501" s="683"/>
      <c r="P501" s="683"/>
      <c r="Q501" s="683"/>
      <c r="R501" s="683"/>
      <c r="S501" s="683"/>
      <c r="T501" s="501"/>
      <c r="U501" s="501"/>
      <c r="V501" s="501"/>
      <c r="W501" s="501"/>
      <c r="X501" s="501"/>
      <c r="Y501" s="501"/>
      <c r="Z501" s="501"/>
      <c r="AA501" s="501"/>
      <c r="AB501" s="501"/>
      <c r="AC501" s="501"/>
      <c r="AD501" s="501"/>
      <c r="AE501" s="501"/>
      <c r="AF501" s="501"/>
      <c r="AG501" s="501"/>
      <c r="AH501" s="501"/>
      <c r="AI501" s="501"/>
      <c r="AJ501" s="501"/>
      <c r="AK501" s="501"/>
      <c r="AL501" s="501"/>
      <c r="AM501" s="501"/>
      <c r="AN501" s="501"/>
      <c r="AO501" s="501"/>
      <c r="AP501" s="501"/>
      <c r="AQ501" s="501"/>
      <c r="AR501" s="501"/>
      <c r="AS501" s="501"/>
      <c r="AT501" s="501"/>
      <c r="AU501" s="501"/>
      <c r="AV501" s="501"/>
      <c r="AW501" s="501"/>
      <c r="AX501" s="501"/>
      <c r="AY501" s="501"/>
      <c r="AZ501" s="501"/>
      <c r="BA501" s="501"/>
      <c r="BB501" s="501"/>
      <c r="BC501" s="501"/>
      <c r="BD501" s="501"/>
      <c r="BE501" s="501"/>
      <c r="BF501" s="501"/>
      <c r="BG501" s="501"/>
      <c r="BH501" s="501"/>
      <c r="BI501" s="501"/>
      <c r="BJ501" s="501"/>
      <c r="BK501" s="501"/>
      <c r="BL501" s="501"/>
      <c r="BM501" s="501"/>
      <c r="BN501" s="501"/>
      <c r="BO501" s="501"/>
      <c r="BP501" s="501"/>
      <c r="BQ501" s="501"/>
      <c r="BR501" s="501"/>
      <c r="BS501" s="501"/>
      <c r="BT501" s="501"/>
      <c r="BU501" s="501"/>
      <c r="BV501" s="501"/>
      <c r="BW501" s="501"/>
      <c r="BX501" s="501"/>
      <c r="BY501" s="501"/>
      <c r="BZ501" s="501"/>
      <c r="CA501" s="501"/>
      <c r="CB501" s="501"/>
      <c r="CC501" s="501"/>
      <c r="CD501" s="501"/>
      <c r="CE501" s="501"/>
      <c r="CF501" s="501"/>
      <c r="CG501" s="501"/>
      <c r="CH501" s="501"/>
      <c r="CI501" s="501"/>
      <c r="CJ501" s="501"/>
      <c r="CK501" s="501"/>
      <c r="CL501" s="501"/>
      <c r="CM501" s="501"/>
      <c r="CN501" s="501"/>
      <c r="CO501" s="501"/>
      <c r="CP501" s="501"/>
      <c r="CQ501" s="501"/>
      <c r="CR501" s="501"/>
      <c r="CS501" s="501"/>
      <c r="CT501" s="501"/>
    </row>
    <row r="502">
      <c r="A502" s="569"/>
      <c r="B502" s="569"/>
      <c r="C502" s="569"/>
      <c r="D502" s="498"/>
      <c r="E502" s="499"/>
      <c r="F502" s="499"/>
      <c r="G502" s="766"/>
      <c r="H502" s="766"/>
      <c r="I502" s="766"/>
      <c r="J502" s="766"/>
      <c r="K502" s="683"/>
      <c r="L502" s="683"/>
      <c r="M502" s="683"/>
      <c r="N502" s="683"/>
      <c r="O502" s="683"/>
      <c r="P502" s="683"/>
      <c r="Q502" s="683"/>
      <c r="R502" s="683"/>
      <c r="S502" s="683"/>
      <c r="T502" s="501"/>
      <c r="U502" s="501"/>
      <c r="V502" s="501"/>
      <c r="W502" s="501"/>
      <c r="X502" s="501"/>
      <c r="Y502" s="501"/>
      <c r="Z502" s="501"/>
      <c r="AA502" s="501"/>
      <c r="AB502" s="501"/>
      <c r="AC502" s="501"/>
      <c r="AD502" s="501"/>
      <c r="AE502" s="501"/>
      <c r="AF502" s="501"/>
      <c r="AG502" s="501"/>
      <c r="AH502" s="501"/>
      <c r="AI502" s="501"/>
      <c r="AJ502" s="501"/>
      <c r="AK502" s="501"/>
      <c r="AL502" s="501"/>
      <c r="AM502" s="501"/>
      <c r="AN502" s="501"/>
      <c r="AO502" s="501"/>
      <c r="AP502" s="501"/>
      <c r="AQ502" s="501"/>
      <c r="AR502" s="501"/>
      <c r="AS502" s="501"/>
      <c r="AT502" s="501"/>
      <c r="AU502" s="501"/>
      <c r="AV502" s="501"/>
      <c r="AW502" s="501"/>
      <c r="AX502" s="501"/>
      <c r="AY502" s="501"/>
      <c r="AZ502" s="501"/>
      <c r="BA502" s="501"/>
      <c r="BB502" s="501"/>
      <c r="BC502" s="501"/>
      <c r="BD502" s="501"/>
      <c r="BE502" s="501"/>
      <c r="BF502" s="501"/>
      <c r="BG502" s="501"/>
      <c r="BH502" s="501"/>
      <c r="BI502" s="501"/>
      <c r="BJ502" s="501"/>
      <c r="BK502" s="501"/>
      <c r="BL502" s="501"/>
      <c r="BM502" s="501"/>
      <c r="BN502" s="501"/>
      <c r="BO502" s="501"/>
      <c r="BP502" s="501"/>
      <c r="BQ502" s="501"/>
      <c r="BR502" s="501"/>
      <c r="BS502" s="501"/>
      <c r="BT502" s="501"/>
      <c r="BU502" s="501"/>
      <c r="BV502" s="501"/>
      <c r="BW502" s="501"/>
      <c r="BX502" s="501"/>
      <c r="BY502" s="501"/>
      <c r="BZ502" s="501"/>
      <c r="CA502" s="501"/>
      <c r="CB502" s="501"/>
      <c r="CC502" s="501"/>
      <c r="CD502" s="501"/>
      <c r="CE502" s="501"/>
      <c r="CF502" s="501"/>
      <c r="CG502" s="501"/>
      <c r="CH502" s="501"/>
      <c r="CI502" s="501"/>
      <c r="CJ502" s="501"/>
      <c r="CK502" s="501"/>
      <c r="CL502" s="501"/>
      <c r="CM502" s="501"/>
      <c r="CN502" s="501"/>
      <c r="CO502" s="501"/>
      <c r="CP502" s="501"/>
      <c r="CQ502" s="501"/>
      <c r="CR502" s="501"/>
      <c r="CS502" s="501"/>
      <c r="CT502" s="501"/>
    </row>
    <row r="503">
      <c r="A503" s="569"/>
      <c r="B503" s="569"/>
      <c r="C503" s="569"/>
      <c r="D503" s="498"/>
      <c r="E503" s="499"/>
      <c r="F503" s="499"/>
      <c r="G503" s="766"/>
      <c r="H503" s="766"/>
      <c r="I503" s="766"/>
      <c r="J503" s="766"/>
      <c r="K503" s="683"/>
      <c r="L503" s="683"/>
      <c r="M503" s="683"/>
      <c r="N503" s="683"/>
      <c r="O503" s="683"/>
      <c r="P503" s="683"/>
      <c r="Q503" s="683"/>
      <c r="R503" s="683"/>
      <c r="S503" s="683"/>
      <c r="T503" s="501"/>
      <c r="U503" s="501"/>
      <c r="V503" s="501"/>
      <c r="W503" s="501"/>
      <c r="X503" s="501"/>
      <c r="Y503" s="501"/>
      <c r="Z503" s="501"/>
      <c r="AA503" s="501"/>
      <c r="AB503" s="501"/>
      <c r="AC503" s="501"/>
      <c r="AD503" s="501"/>
      <c r="AE503" s="501"/>
      <c r="AF503" s="501"/>
      <c r="AG503" s="501"/>
      <c r="AH503" s="501"/>
      <c r="AI503" s="501"/>
      <c r="AJ503" s="501"/>
      <c r="AK503" s="501"/>
      <c r="AL503" s="501"/>
      <c r="AM503" s="501"/>
      <c r="AN503" s="501"/>
      <c r="AO503" s="501"/>
      <c r="AP503" s="501"/>
      <c r="AQ503" s="501"/>
      <c r="AR503" s="501"/>
      <c r="AS503" s="501"/>
      <c r="AT503" s="501"/>
      <c r="AU503" s="501"/>
      <c r="AV503" s="501"/>
      <c r="AW503" s="501"/>
      <c r="AX503" s="501"/>
      <c r="AY503" s="501"/>
      <c r="AZ503" s="501"/>
      <c r="BA503" s="501"/>
      <c r="BB503" s="501"/>
      <c r="BC503" s="501"/>
      <c r="BD503" s="501"/>
      <c r="BE503" s="501"/>
      <c r="BF503" s="501"/>
      <c r="BG503" s="501"/>
      <c r="BH503" s="501"/>
      <c r="BI503" s="501"/>
      <c r="BJ503" s="501"/>
      <c r="BK503" s="501"/>
      <c r="BL503" s="501"/>
      <c r="BM503" s="501"/>
      <c r="BN503" s="501"/>
      <c r="BO503" s="501"/>
      <c r="BP503" s="501"/>
      <c r="BQ503" s="501"/>
      <c r="BR503" s="501"/>
      <c r="BS503" s="501"/>
      <c r="BT503" s="501"/>
      <c r="BU503" s="501"/>
      <c r="BV503" s="501"/>
      <c r="BW503" s="501"/>
      <c r="BX503" s="501"/>
      <c r="BY503" s="501"/>
      <c r="BZ503" s="501"/>
      <c r="CA503" s="501"/>
      <c r="CB503" s="501"/>
      <c r="CC503" s="501"/>
      <c r="CD503" s="501"/>
      <c r="CE503" s="501"/>
      <c r="CF503" s="501"/>
      <c r="CG503" s="501"/>
      <c r="CH503" s="501"/>
      <c r="CI503" s="501"/>
      <c r="CJ503" s="501"/>
      <c r="CK503" s="501"/>
      <c r="CL503" s="501"/>
      <c r="CM503" s="501"/>
      <c r="CN503" s="501"/>
      <c r="CO503" s="501"/>
      <c r="CP503" s="501"/>
      <c r="CQ503" s="501"/>
      <c r="CR503" s="501"/>
      <c r="CS503" s="501"/>
      <c r="CT503" s="501"/>
    </row>
    <row r="504">
      <c r="A504" s="569"/>
      <c r="B504" s="569"/>
      <c r="C504" s="569"/>
      <c r="D504" s="498"/>
      <c r="E504" s="499"/>
      <c r="F504" s="499"/>
      <c r="G504" s="766"/>
      <c r="H504" s="766"/>
      <c r="I504" s="766"/>
      <c r="J504" s="766"/>
      <c r="K504" s="683"/>
      <c r="L504" s="683"/>
      <c r="M504" s="683"/>
      <c r="N504" s="683"/>
      <c r="O504" s="683"/>
      <c r="P504" s="683"/>
      <c r="Q504" s="683"/>
      <c r="R504" s="683"/>
      <c r="S504" s="683"/>
      <c r="T504" s="501"/>
      <c r="U504" s="501"/>
      <c r="V504" s="501"/>
      <c r="W504" s="501"/>
      <c r="X504" s="501"/>
      <c r="Y504" s="501"/>
      <c r="Z504" s="501"/>
      <c r="AA504" s="501"/>
      <c r="AB504" s="501"/>
      <c r="AC504" s="501"/>
      <c r="AD504" s="501"/>
      <c r="AE504" s="501"/>
      <c r="AF504" s="501"/>
      <c r="AG504" s="501"/>
      <c r="AH504" s="501"/>
      <c r="AI504" s="501"/>
      <c r="AJ504" s="501"/>
      <c r="AK504" s="501"/>
      <c r="AL504" s="501"/>
      <c r="AM504" s="501"/>
      <c r="AN504" s="501"/>
      <c r="AO504" s="501"/>
      <c r="AP504" s="501"/>
      <c r="AQ504" s="501"/>
      <c r="AR504" s="501"/>
      <c r="AS504" s="501"/>
      <c r="AT504" s="501"/>
      <c r="AU504" s="501"/>
      <c r="AV504" s="501"/>
      <c r="AW504" s="501"/>
      <c r="AX504" s="501"/>
      <c r="AY504" s="501"/>
      <c r="AZ504" s="501"/>
      <c r="BA504" s="501"/>
      <c r="BB504" s="501"/>
      <c r="BC504" s="501"/>
      <c r="BD504" s="501"/>
      <c r="BE504" s="501"/>
      <c r="BF504" s="501"/>
      <c r="BG504" s="501"/>
      <c r="BH504" s="501"/>
      <c r="BI504" s="501"/>
      <c r="BJ504" s="501"/>
      <c r="BK504" s="501"/>
      <c r="BL504" s="501"/>
      <c r="BM504" s="501"/>
      <c r="BN504" s="501"/>
      <c r="BO504" s="501"/>
      <c r="BP504" s="501"/>
      <c r="BQ504" s="501"/>
      <c r="BR504" s="501"/>
      <c r="BS504" s="501"/>
      <c r="BT504" s="501"/>
      <c r="BU504" s="501"/>
      <c r="BV504" s="501"/>
      <c r="BW504" s="501"/>
      <c r="BX504" s="501"/>
      <c r="BY504" s="501"/>
      <c r="BZ504" s="501"/>
      <c r="CA504" s="501"/>
      <c r="CB504" s="501"/>
      <c r="CC504" s="501"/>
      <c r="CD504" s="501"/>
      <c r="CE504" s="501"/>
      <c r="CF504" s="501"/>
      <c r="CG504" s="501"/>
      <c r="CH504" s="501"/>
      <c r="CI504" s="501"/>
      <c r="CJ504" s="501"/>
      <c r="CK504" s="501"/>
      <c r="CL504" s="501"/>
      <c r="CM504" s="501"/>
      <c r="CN504" s="501"/>
      <c r="CO504" s="501"/>
      <c r="CP504" s="501"/>
      <c r="CQ504" s="501"/>
      <c r="CR504" s="501"/>
      <c r="CS504" s="501"/>
      <c r="CT504" s="501"/>
    </row>
    <row r="505">
      <c r="A505" s="569"/>
      <c r="B505" s="569"/>
      <c r="C505" s="569"/>
      <c r="D505" s="498"/>
      <c r="E505" s="499"/>
      <c r="F505" s="499"/>
      <c r="G505" s="766"/>
      <c r="H505" s="766"/>
      <c r="I505" s="766"/>
      <c r="J505" s="766"/>
      <c r="K505" s="683"/>
      <c r="L505" s="683"/>
      <c r="M505" s="683"/>
      <c r="N505" s="683"/>
      <c r="O505" s="683"/>
      <c r="P505" s="683"/>
      <c r="Q505" s="683"/>
      <c r="R505" s="683"/>
      <c r="S505" s="683"/>
      <c r="T505" s="501"/>
      <c r="U505" s="501"/>
      <c r="V505" s="501"/>
      <c r="W505" s="501"/>
      <c r="X505" s="501"/>
      <c r="Y505" s="501"/>
      <c r="Z505" s="501"/>
      <c r="AA505" s="501"/>
      <c r="AB505" s="501"/>
      <c r="AC505" s="501"/>
      <c r="AD505" s="501"/>
      <c r="AE505" s="501"/>
      <c r="AF505" s="501"/>
      <c r="AG505" s="501"/>
      <c r="AH505" s="501"/>
      <c r="AI505" s="501"/>
      <c r="AJ505" s="501"/>
      <c r="AK505" s="501"/>
      <c r="AL505" s="501"/>
      <c r="AM505" s="501"/>
      <c r="AN505" s="501"/>
      <c r="AO505" s="501"/>
      <c r="AP505" s="501"/>
      <c r="AQ505" s="501"/>
      <c r="AR505" s="501"/>
      <c r="AS505" s="501"/>
      <c r="AT505" s="501"/>
      <c r="AU505" s="501"/>
      <c r="AV505" s="501"/>
      <c r="AW505" s="501"/>
      <c r="AX505" s="501"/>
      <c r="AY505" s="501"/>
      <c r="AZ505" s="501"/>
      <c r="BA505" s="501"/>
      <c r="BB505" s="501"/>
      <c r="BC505" s="501"/>
      <c r="BD505" s="501"/>
      <c r="BE505" s="501"/>
      <c r="BF505" s="501"/>
      <c r="BG505" s="501"/>
      <c r="BH505" s="501"/>
      <c r="BI505" s="501"/>
      <c r="BJ505" s="501"/>
      <c r="BK505" s="501"/>
      <c r="BL505" s="501"/>
      <c r="BM505" s="501"/>
      <c r="BN505" s="501"/>
      <c r="BO505" s="501"/>
      <c r="BP505" s="501"/>
      <c r="BQ505" s="501"/>
      <c r="BR505" s="501"/>
      <c r="BS505" s="501"/>
      <c r="BT505" s="501"/>
      <c r="BU505" s="501"/>
      <c r="BV505" s="501"/>
      <c r="BW505" s="501"/>
      <c r="BX505" s="501"/>
      <c r="BY505" s="501"/>
      <c r="BZ505" s="501"/>
      <c r="CA505" s="501"/>
      <c r="CB505" s="501"/>
      <c r="CC505" s="501"/>
      <c r="CD505" s="501"/>
      <c r="CE505" s="501"/>
      <c r="CF505" s="501"/>
      <c r="CG505" s="501"/>
      <c r="CH505" s="501"/>
      <c r="CI505" s="501"/>
      <c r="CJ505" s="501"/>
      <c r="CK505" s="501"/>
      <c r="CL505" s="501"/>
      <c r="CM505" s="501"/>
      <c r="CN505" s="501"/>
      <c r="CO505" s="501"/>
      <c r="CP505" s="501"/>
      <c r="CQ505" s="501"/>
      <c r="CR505" s="501"/>
      <c r="CS505" s="501"/>
      <c r="CT505" s="501"/>
    </row>
    <row r="506">
      <c r="A506" s="569"/>
      <c r="B506" s="569"/>
      <c r="C506" s="569"/>
      <c r="D506" s="498"/>
      <c r="E506" s="499"/>
      <c r="F506" s="499"/>
      <c r="G506" s="766"/>
      <c r="H506" s="766"/>
      <c r="I506" s="766"/>
      <c r="J506" s="766"/>
      <c r="K506" s="683"/>
      <c r="L506" s="683"/>
      <c r="M506" s="683"/>
      <c r="N506" s="683"/>
      <c r="O506" s="683"/>
      <c r="P506" s="683"/>
      <c r="Q506" s="683"/>
      <c r="R506" s="683"/>
      <c r="S506" s="683"/>
      <c r="T506" s="501"/>
      <c r="U506" s="501"/>
      <c r="V506" s="501"/>
      <c r="W506" s="501"/>
      <c r="X506" s="501"/>
      <c r="Y506" s="501"/>
      <c r="Z506" s="501"/>
      <c r="AA506" s="501"/>
      <c r="AB506" s="501"/>
      <c r="AC506" s="501"/>
      <c r="AD506" s="501"/>
      <c r="AE506" s="501"/>
      <c r="AF506" s="501"/>
      <c r="AG506" s="501"/>
      <c r="AH506" s="501"/>
      <c r="AI506" s="501"/>
      <c r="AJ506" s="501"/>
      <c r="AK506" s="501"/>
      <c r="AL506" s="501"/>
      <c r="AM506" s="501"/>
      <c r="AN506" s="501"/>
      <c r="AO506" s="501"/>
      <c r="AP506" s="501"/>
      <c r="AQ506" s="501"/>
      <c r="AR506" s="501"/>
      <c r="AS506" s="501"/>
      <c r="AT506" s="501"/>
      <c r="AU506" s="501"/>
      <c r="AV506" s="501"/>
      <c r="AW506" s="501"/>
      <c r="AX506" s="501"/>
      <c r="AY506" s="501"/>
      <c r="AZ506" s="501"/>
      <c r="BA506" s="501"/>
      <c r="BB506" s="501"/>
      <c r="BC506" s="501"/>
      <c r="BD506" s="501"/>
      <c r="BE506" s="501"/>
      <c r="BF506" s="501"/>
      <c r="BG506" s="501"/>
      <c r="BH506" s="501"/>
      <c r="BI506" s="501"/>
      <c r="BJ506" s="501"/>
      <c r="BK506" s="501"/>
      <c r="BL506" s="501"/>
      <c r="BM506" s="501"/>
      <c r="BN506" s="501"/>
      <c r="BO506" s="501"/>
      <c r="BP506" s="501"/>
      <c r="BQ506" s="501"/>
      <c r="BR506" s="501"/>
      <c r="BS506" s="501"/>
      <c r="BT506" s="501"/>
      <c r="BU506" s="501"/>
      <c r="BV506" s="501"/>
      <c r="BW506" s="501"/>
      <c r="BX506" s="501"/>
      <c r="BY506" s="501"/>
      <c r="BZ506" s="501"/>
      <c r="CA506" s="501"/>
      <c r="CB506" s="501"/>
      <c r="CC506" s="501"/>
      <c r="CD506" s="501"/>
      <c r="CE506" s="501"/>
      <c r="CF506" s="501"/>
      <c r="CG506" s="501"/>
      <c r="CH506" s="501"/>
      <c r="CI506" s="501"/>
      <c r="CJ506" s="501"/>
      <c r="CK506" s="501"/>
      <c r="CL506" s="501"/>
      <c r="CM506" s="501"/>
      <c r="CN506" s="501"/>
      <c r="CO506" s="501"/>
      <c r="CP506" s="501"/>
      <c r="CQ506" s="501"/>
      <c r="CR506" s="501"/>
      <c r="CS506" s="501"/>
      <c r="CT506" s="501"/>
    </row>
    <row r="507">
      <c r="A507" s="569"/>
      <c r="B507" s="569"/>
      <c r="C507" s="569"/>
      <c r="D507" s="498"/>
      <c r="E507" s="499"/>
      <c r="F507" s="499"/>
      <c r="G507" s="766"/>
      <c r="H507" s="766"/>
      <c r="I507" s="766"/>
      <c r="J507" s="766"/>
      <c r="K507" s="683"/>
      <c r="L507" s="683"/>
      <c r="M507" s="683"/>
      <c r="N507" s="683"/>
      <c r="O507" s="683"/>
      <c r="P507" s="683"/>
      <c r="Q507" s="683"/>
      <c r="R507" s="683"/>
      <c r="S507" s="683"/>
      <c r="T507" s="501"/>
      <c r="U507" s="501"/>
      <c r="V507" s="501"/>
      <c r="W507" s="501"/>
      <c r="X507" s="501"/>
      <c r="Y507" s="501"/>
      <c r="Z507" s="501"/>
      <c r="AA507" s="501"/>
      <c r="AB507" s="501"/>
      <c r="AC507" s="501"/>
      <c r="AD507" s="501"/>
      <c r="AE507" s="501"/>
      <c r="AF507" s="501"/>
      <c r="AG507" s="501"/>
      <c r="AH507" s="501"/>
      <c r="AI507" s="501"/>
      <c r="AJ507" s="501"/>
      <c r="AK507" s="501"/>
      <c r="AL507" s="501"/>
      <c r="AM507" s="501"/>
      <c r="AN507" s="501"/>
      <c r="AO507" s="501"/>
      <c r="AP507" s="501"/>
      <c r="AQ507" s="501"/>
      <c r="AR507" s="501"/>
      <c r="AS507" s="501"/>
      <c r="AT507" s="501"/>
      <c r="AU507" s="501"/>
      <c r="AV507" s="501"/>
      <c r="AW507" s="501"/>
      <c r="AX507" s="501"/>
      <c r="AY507" s="501"/>
      <c r="AZ507" s="501"/>
      <c r="BA507" s="501"/>
      <c r="BB507" s="501"/>
      <c r="BC507" s="501"/>
      <c r="BD507" s="501"/>
      <c r="BE507" s="501"/>
      <c r="BF507" s="501"/>
      <c r="BG507" s="501"/>
      <c r="BH507" s="501"/>
      <c r="BI507" s="501"/>
      <c r="BJ507" s="501"/>
      <c r="BK507" s="501"/>
      <c r="BL507" s="501"/>
      <c r="BM507" s="501"/>
      <c r="BN507" s="501"/>
      <c r="BO507" s="501"/>
      <c r="BP507" s="501"/>
      <c r="BQ507" s="501"/>
      <c r="BR507" s="501"/>
      <c r="BS507" s="501"/>
      <c r="BT507" s="501"/>
      <c r="BU507" s="501"/>
      <c r="BV507" s="501"/>
      <c r="BW507" s="501"/>
      <c r="BX507" s="501"/>
      <c r="BY507" s="501"/>
      <c r="BZ507" s="501"/>
      <c r="CA507" s="501"/>
      <c r="CB507" s="501"/>
      <c r="CC507" s="501"/>
      <c r="CD507" s="501"/>
      <c r="CE507" s="501"/>
      <c r="CF507" s="501"/>
      <c r="CG507" s="501"/>
      <c r="CH507" s="501"/>
      <c r="CI507" s="501"/>
      <c r="CJ507" s="501"/>
      <c r="CK507" s="501"/>
      <c r="CL507" s="501"/>
      <c r="CM507" s="501"/>
      <c r="CN507" s="501"/>
      <c r="CO507" s="501"/>
      <c r="CP507" s="501"/>
      <c r="CQ507" s="501"/>
      <c r="CR507" s="501"/>
      <c r="CS507" s="501"/>
      <c r="CT507" s="501"/>
    </row>
    <row r="508">
      <c r="A508" s="569"/>
      <c r="B508" s="569"/>
      <c r="C508" s="569"/>
      <c r="D508" s="498"/>
      <c r="E508" s="499"/>
      <c r="F508" s="499"/>
      <c r="G508" s="766"/>
      <c r="H508" s="766"/>
      <c r="I508" s="766"/>
      <c r="J508" s="766"/>
      <c r="K508" s="683"/>
      <c r="L508" s="683"/>
      <c r="M508" s="683"/>
      <c r="N508" s="683"/>
      <c r="O508" s="683"/>
      <c r="P508" s="683"/>
      <c r="Q508" s="683"/>
      <c r="R508" s="683"/>
      <c r="S508" s="683"/>
      <c r="T508" s="501"/>
      <c r="U508" s="501"/>
      <c r="V508" s="501"/>
      <c r="W508" s="501"/>
      <c r="X508" s="501"/>
      <c r="Y508" s="501"/>
      <c r="Z508" s="501"/>
      <c r="AA508" s="501"/>
      <c r="AB508" s="501"/>
      <c r="AC508" s="501"/>
      <c r="AD508" s="501"/>
      <c r="AE508" s="501"/>
      <c r="AF508" s="501"/>
      <c r="AG508" s="501"/>
      <c r="AH508" s="501"/>
      <c r="AI508" s="501"/>
      <c r="AJ508" s="501"/>
      <c r="AK508" s="501"/>
      <c r="AL508" s="501"/>
      <c r="AM508" s="501"/>
      <c r="AN508" s="501"/>
      <c r="AO508" s="501"/>
      <c r="AP508" s="501"/>
      <c r="AQ508" s="501"/>
      <c r="AR508" s="501"/>
      <c r="AS508" s="501"/>
      <c r="AT508" s="501"/>
      <c r="AU508" s="501"/>
      <c r="AV508" s="501"/>
      <c r="AW508" s="501"/>
      <c r="AX508" s="501"/>
      <c r="AY508" s="501"/>
      <c r="AZ508" s="501"/>
      <c r="BA508" s="501"/>
      <c r="BB508" s="501"/>
      <c r="BC508" s="501"/>
      <c r="BD508" s="501"/>
      <c r="BE508" s="501"/>
      <c r="BF508" s="501"/>
      <c r="BG508" s="501"/>
      <c r="BH508" s="501"/>
      <c r="BI508" s="501"/>
      <c r="BJ508" s="501"/>
      <c r="BK508" s="501"/>
      <c r="BL508" s="501"/>
      <c r="BM508" s="501"/>
      <c r="BN508" s="501"/>
      <c r="BO508" s="501"/>
      <c r="BP508" s="501"/>
      <c r="BQ508" s="501"/>
      <c r="BR508" s="501"/>
      <c r="BS508" s="501"/>
      <c r="BT508" s="501"/>
      <c r="BU508" s="501"/>
      <c r="BV508" s="501"/>
      <c r="BW508" s="501"/>
      <c r="BX508" s="501"/>
      <c r="BY508" s="501"/>
      <c r="BZ508" s="501"/>
      <c r="CA508" s="501"/>
      <c r="CB508" s="501"/>
      <c r="CC508" s="501"/>
      <c r="CD508" s="501"/>
      <c r="CE508" s="501"/>
      <c r="CF508" s="501"/>
      <c r="CG508" s="501"/>
      <c r="CH508" s="501"/>
      <c r="CI508" s="501"/>
      <c r="CJ508" s="501"/>
      <c r="CK508" s="501"/>
      <c r="CL508" s="501"/>
      <c r="CM508" s="501"/>
      <c r="CN508" s="501"/>
      <c r="CO508" s="501"/>
      <c r="CP508" s="501"/>
      <c r="CQ508" s="501"/>
      <c r="CR508" s="501"/>
      <c r="CS508" s="501"/>
      <c r="CT508" s="501"/>
    </row>
    <row r="509">
      <c r="A509" s="569"/>
      <c r="B509" s="569"/>
      <c r="C509" s="569"/>
      <c r="D509" s="498"/>
      <c r="E509" s="499"/>
      <c r="F509" s="499"/>
      <c r="G509" s="766"/>
      <c r="H509" s="766"/>
      <c r="I509" s="766"/>
      <c r="J509" s="766"/>
      <c r="K509" s="683"/>
      <c r="L509" s="683"/>
      <c r="M509" s="683"/>
      <c r="N509" s="683"/>
      <c r="O509" s="683"/>
      <c r="P509" s="683"/>
      <c r="Q509" s="683"/>
      <c r="R509" s="683"/>
      <c r="S509" s="683"/>
      <c r="T509" s="501"/>
      <c r="U509" s="501"/>
      <c r="V509" s="501"/>
      <c r="W509" s="501"/>
      <c r="X509" s="501"/>
      <c r="Y509" s="501"/>
      <c r="Z509" s="501"/>
      <c r="AA509" s="501"/>
      <c r="AB509" s="501"/>
      <c r="AC509" s="501"/>
      <c r="AD509" s="501"/>
      <c r="AE509" s="501"/>
      <c r="AF509" s="501"/>
      <c r="AG509" s="501"/>
      <c r="AH509" s="501"/>
      <c r="AI509" s="501"/>
      <c r="AJ509" s="501"/>
      <c r="AK509" s="501"/>
      <c r="AL509" s="501"/>
      <c r="AM509" s="501"/>
      <c r="AN509" s="501"/>
      <c r="AO509" s="501"/>
      <c r="AP509" s="501"/>
      <c r="AQ509" s="501"/>
      <c r="AR509" s="501"/>
      <c r="AS509" s="501"/>
      <c r="AT509" s="501"/>
      <c r="AU509" s="501"/>
      <c r="AV509" s="501"/>
      <c r="AW509" s="501"/>
      <c r="AX509" s="501"/>
      <c r="AY509" s="501"/>
      <c r="AZ509" s="501"/>
      <c r="BA509" s="501"/>
      <c r="BB509" s="501"/>
      <c r="BC509" s="501"/>
      <c r="BD509" s="501"/>
      <c r="BE509" s="501"/>
      <c r="BF509" s="501"/>
      <c r="BG509" s="501"/>
      <c r="BH509" s="501"/>
      <c r="BI509" s="501"/>
      <c r="BJ509" s="501"/>
      <c r="BK509" s="501"/>
      <c r="BL509" s="501"/>
      <c r="BM509" s="501"/>
      <c r="BN509" s="501"/>
      <c r="BO509" s="501"/>
      <c r="BP509" s="501"/>
      <c r="BQ509" s="501"/>
      <c r="BR509" s="501"/>
      <c r="BS509" s="501"/>
      <c r="BT509" s="501"/>
      <c r="BU509" s="501"/>
      <c r="BV509" s="501"/>
      <c r="BW509" s="501"/>
      <c r="BX509" s="501"/>
      <c r="BY509" s="501"/>
      <c r="BZ509" s="501"/>
      <c r="CA509" s="501"/>
      <c r="CB509" s="501"/>
      <c r="CC509" s="501"/>
      <c r="CD509" s="501"/>
      <c r="CE509" s="501"/>
      <c r="CF509" s="501"/>
      <c r="CG509" s="501"/>
      <c r="CH509" s="501"/>
      <c r="CI509" s="501"/>
      <c r="CJ509" s="501"/>
      <c r="CK509" s="501"/>
      <c r="CL509" s="501"/>
      <c r="CM509" s="501"/>
      <c r="CN509" s="501"/>
      <c r="CO509" s="501"/>
      <c r="CP509" s="501"/>
      <c r="CQ509" s="501"/>
      <c r="CR509" s="501"/>
      <c r="CS509" s="501"/>
      <c r="CT509" s="501"/>
    </row>
    <row r="510">
      <c r="A510" s="569"/>
      <c r="B510" s="569"/>
      <c r="C510" s="569"/>
      <c r="D510" s="498"/>
      <c r="E510" s="499"/>
      <c r="F510" s="499"/>
      <c r="G510" s="766"/>
      <c r="H510" s="766"/>
      <c r="I510" s="766"/>
      <c r="J510" s="766"/>
      <c r="K510" s="683"/>
      <c r="L510" s="683"/>
      <c r="M510" s="683"/>
      <c r="N510" s="683"/>
      <c r="O510" s="683"/>
      <c r="P510" s="683"/>
      <c r="Q510" s="683"/>
      <c r="R510" s="683"/>
      <c r="S510" s="683"/>
      <c r="T510" s="501"/>
      <c r="U510" s="501"/>
      <c r="V510" s="501"/>
      <c r="W510" s="501"/>
      <c r="X510" s="501"/>
      <c r="Y510" s="501"/>
      <c r="Z510" s="501"/>
      <c r="AA510" s="501"/>
      <c r="AB510" s="501"/>
      <c r="AC510" s="501"/>
      <c r="AD510" s="501"/>
      <c r="AE510" s="501"/>
      <c r="AF510" s="501"/>
      <c r="AG510" s="501"/>
      <c r="AH510" s="501"/>
      <c r="AI510" s="501"/>
      <c r="AJ510" s="501"/>
      <c r="AK510" s="501"/>
      <c r="AL510" s="501"/>
      <c r="AM510" s="501"/>
      <c r="AN510" s="501"/>
      <c r="AO510" s="501"/>
      <c r="AP510" s="501"/>
      <c r="AQ510" s="501"/>
      <c r="AR510" s="501"/>
      <c r="AS510" s="501"/>
      <c r="AT510" s="501"/>
      <c r="AU510" s="501"/>
      <c r="AV510" s="501"/>
      <c r="AW510" s="501"/>
      <c r="AX510" s="501"/>
      <c r="AY510" s="501"/>
      <c r="AZ510" s="501"/>
      <c r="BA510" s="501"/>
      <c r="BB510" s="501"/>
      <c r="BC510" s="501"/>
      <c r="BD510" s="501"/>
      <c r="BE510" s="501"/>
      <c r="BF510" s="501"/>
      <c r="BG510" s="501"/>
      <c r="BH510" s="501"/>
      <c r="BI510" s="501"/>
      <c r="BJ510" s="501"/>
      <c r="BK510" s="501"/>
      <c r="BL510" s="501"/>
      <c r="BM510" s="501"/>
      <c r="BN510" s="501"/>
      <c r="BO510" s="501"/>
      <c r="BP510" s="501"/>
      <c r="BQ510" s="501"/>
      <c r="BR510" s="501"/>
      <c r="BS510" s="501"/>
      <c r="BT510" s="501"/>
      <c r="BU510" s="501"/>
      <c r="BV510" s="501"/>
      <c r="BW510" s="501"/>
      <c r="BX510" s="501"/>
      <c r="BY510" s="501"/>
      <c r="BZ510" s="501"/>
      <c r="CA510" s="501"/>
      <c r="CB510" s="501"/>
      <c r="CC510" s="501"/>
      <c r="CD510" s="501"/>
      <c r="CE510" s="501"/>
      <c r="CF510" s="501"/>
      <c r="CG510" s="501"/>
      <c r="CH510" s="501"/>
      <c r="CI510" s="501"/>
      <c r="CJ510" s="501"/>
      <c r="CK510" s="501"/>
      <c r="CL510" s="501"/>
      <c r="CM510" s="501"/>
      <c r="CN510" s="501"/>
      <c r="CO510" s="501"/>
      <c r="CP510" s="501"/>
      <c r="CQ510" s="501"/>
      <c r="CR510" s="501"/>
      <c r="CS510" s="501"/>
      <c r="CT510" s="501"/>
    </row>
    <row r="511">
      <c r="A511" s="569"/>
      <c r="B511" s="569"/>
      <c r="C511" s="569"/>
      <c r="D511" s="498"/>
      <c r="E511" s="499"/>
      <c r="F511" s="499"/>
      <c r="G511" s="766"/>
      <c r="H511" s="766"/>
      <c r="I511" s="766"/>
      <c r="J511" s="766"/>
      <c r="K511" s="683"/>
      <c r="L511" s="683"/>
      <c r="M511" s="683"/>
      <c r="N511" s="683"/>
      <c r="O511" s="683"/>
      <c r="P511" s="683"/>
      <c r="Q511" s="683"/>
      <c r="R511" s="683"/>
      <c r="S511" s="683"/>
      <c r="T511" s="501"/>
      <c r="U511" s="501"/>
      <c r="V511" s="501"/>
      <c r="W511" s="501"/>
      <c r="X511" s="501"/>
      <c r="Y511" s="501"/>
      <c r="Z511" s="501"/>
      <c r="AA511" s="501"/>
      <c r="AB511" s="501"/>
      <c r="AC511" s="501"/>
      <c r="AD511" s="501"/>
      <c r="AE511" s="501"/>
      <c r="AF511" s="501"/>
      <c r="AG511" s="501"/>
      <c r="AH511" s="501"/>
      <c r="AI511" s="501"/>
      <c r="AJ511" s="501"/>
      <c r="AK511" s="501"/>
      <c r="AL511" s="501"/>
      <c r="AM511" s="501"/>
      <c r="AN511" s="501"/>
      <c r="AO511" s="501"/>
      <c r="AP511" s="501"/>
      <c r="AQ511" s="501"/>
      <c r="AR511" s="501"/>
      <c r="AS511" s="501"/>
      <c r="AT511" s="501"/>
      <c r="AU511" s="501"/>
      <c r="AV511" s="501"/>
      <c r="AW511" s="501"/>
      <c r="AX511" s="501"/>
      <c r="AY511" s="501"/>
      <c r="AZ511" s="501"/>
      <c r="BA511" s="501"/>
      <c r="BB511" s="501"/>
      <c r="BC511" s="501"/>
      <c r="BD511" s="501"/>
      <c r="BE511" s="501"/>
      <c r="BF511" s="501"/>
      <c r="BG511" s="501"/>
      <c r="BH511" s="501"/>
      <c r="BI511" s="501"/>
      <c r="BJ511" s="501"/>
      <c r="BK511" s="501"/>
      <c r="BL511" s="501"/>
      <c r="BM511" s="501"/>
      <c r="BN511" s="501"/>
      <c r="BO511" s="501"/>
      <c r="BP511" s="501"/>
      <c r="BQ511" s="501"/>
      <c r="BR511" s="501"/>
      <c r="BS511" s="501"/>
      <c r="BT511" s="501"/>
      <c r="BU511" s="501"/>
      <c r="BV511" s="501"/>
      <c r="BW511" s="501"/>
      <c r="BX511" s="501"/>
      <c r="BY511" s="501"/>
      <c r="BZ511" s="501"/>
      <c r="CA511" s="501"/>
      <c r="CB511" s="501"/>
      <c r="CC511" s="501"/>
      <c r="CD511" s="501"/>
      <c r="CE511" s="501"/>
      <c r="CF511" s="501"/>
      <c r="CG511" s="501"/>
      <c r="CH511" s="501"/>
      <c r="CI511" s="501"/>
      <c r="CJ511" s="501"/>
      <c r="CK511" s="501"/>
      <c r="CL511" s="501"/>
      <c r="CM511" s="501"/>
      <c r="CN511" s="501"/>
      <c r="CO511" s="501"/>
      <c r="CP511" s="501"/>
      <c r="CQ511" s="501"/>
      <c r="CR511" s="501"/>
      <c r="CS511" s="501"/>
      <c r="CT511" s="501"/>
    </row>
    <row r="512">
      <c r="A512" s="569"/>
      <c r="B512" s="569"/>
      <c r="C512" s="569"/>
      <c r="D512" s="498"/>
      <c r="E512" s="499"/>
      <c r="F512" s="499"/>
      <c r="G512" s="766"/>
      <c r="H512" s="766"/>
      <c r="I512" s="766"/>
      <c r="J512" s="766"/>
      <c r="K512" s="683"/>
      <c r="L512" s="683"/>
      <c r="M512" s="683"/>
      <c r="N512" s="683"/>
      <c r="O512" s="683"/>
      <c r="P512" s="683"/>
      <c r="Q512" s="683"/>
      <c r="R512" s="683"/>
      <c r="S512" s="683"/>
      <c r="T512" s="501"/>
      <c r="U512" s="501"/>
      <c r="V512" s="501"/>
      <c r="W512" s="501"/>
      <c r="X512" s="501"/>
      <c r="Y512" s="501"/>
      <c r="Z512" s="501"/>
      <c r="AA512" s="501"/>
      <c r="AB512" s="501"/>
      <c r="AC512" s="501"/>
      <c r="AD512" s="501"/>
      <c r="AE512" s="501"/>
      <c r="AF512" s="501"/>
      <c r="AG512" s="501"/>
      <c r="AH512" s="501"/>
      <c r="AI512" s="501"/>
      <c r="AJ512" s="501"/>
      <c r="AK512" s="501"/>
      <c r="AL512" s="501"/>
      <c r="AM512" s="501"/>
      <c r="AN512" s="501"/>
      <c r="AO512" s="501"/>
      <c r="AP512" s="501"/>
      <c r="AQ512" s="501"/>
      <c r="AR512" s="501"/>
      <c r="AS512" s="501"/>
      <c r="AT512" s="501"/>
      <c r="AU512" s="501"/>
      <c r="AV512" s="501"/>
      <c r="AW512" s="501"/>
      <c r="AX512" s="501"/>
      <c r="AY512" s="501"/>
      <c r="AZ512" s="501"/>
      <c r="BA512" s="501"/>
      <c r="BB512" s="501"/>
      <c r="BC512" s="501"/>
      <c r="BD512" s="501"/>
      <c r="BE512" s="501"/>
      <c r="BF512" s="501"/>
      <c r="BG512" s="501"/>
      <c r="BH512" s="501"/>
      <c r="BI512" s="501"/>
      <c r="BJ512" s="501"/>
      <c r="BK512" s="501"/>
      <c r="BL512" s="501"/>
      <c r="BM512" s="501"/>
      <c r="BN512" s="501"/>
      <c r="BO512" s="501"/>
      <c r="BP512" s="501"/>
      <c r="BQ512" s="501"/>
      <c r="BR512" s="501"/>
      <c r="BS512" s="501"/>
      <c r="BT512" s="501"/>
      <c r="BU512" s="501"/>
      <c r="BV512" s="501"/>
      <c r="BW512" s="501"/>
      <c r="BX512" s="501"/>
      <c r="BY512" s="501"/>
      <c r="BZ512" s="501"/>
      <c r="CA512" s="501"/>
      <c r="CB512" s="501"/>
      <c r="CC512" s="501"/>
      <c r="CD512" s="501"/>
      <c r="CE512" s="501"/>
      <c r="CF512" s="501"/>
      <c r="CG512" s="501"/>
      <c r="CH512" s="501"/>
      <c r="CI512" s="501"/>
      <c r="CJ512" s="501"/>
      <c r="CK512" s="501"/>
      <c r="CL512" s="501"/>
      <c r="CM512" s="501"/>
      <c r="CN512" s="501"/>
      <c r="CO512" s="501"/>
      <c r="CP512" s="501"/>
      <c r="CQ512" s="501"/>
      <c r="CR512" s="501"/>
      <c r="CS512" s="501"/>
      <c r="CT512" s="501"/>
    </row>
    <row r="513">
      <c r="A513" s="569"/>
      <c r="B513" s="569"/>
      <c r="C513" s="569"/>
      <c r="D513" s="498"/>
      <c r="E513" s="499"/>
      <c r="F513" s="499"/>
      <c r="G513" s="766"/>
      <c r="H513" s="766"/>
      <c r="I513" s="766"/>
      <c r="J513" s="766"/>
      <c r="K513" s="683"/>
      <c r="L513" s="683"/>
      <c r="M513" s="683"/>
      <c r="N513" s="683"/>
      <c r="O513" s="683"/>
      <c r="P513" s="683"/>
      <c r="Q513" s="683"/>
      <c r="R513" s="683"/>
      <c r="S513" s="683"/>
      <c r="T513" s="501"/>
      <c r="U513" s="501"/>
      <c r="V513" s="501"/>
      <c r="W513" s="501"/>
      <c r="X513" s="501"/>
      <c r="Y513" s="501"/>
      <c r="Z513" s="501"/>
      <c r="AA513" s="501"/>
      <c r="AB513" s="501"/>
      <c r="AC513" s="501"/>
      <c r="AD513" s="501"/>
      <c r="AE513" s="501"/>
      <c r="AF513" s="501"/>
      <c r="AG513" s="501"/>
      <c r="AH513" s="501"/>
      <c r="AI513" s="501"/>
      <c r="AJ513" s="501"/>
      <c r="AK513" s="501"/>
      <c r="AL513" s="501"/>
      <c r="AM513" s="501"/>
      <c r="AN513" s="501"/>
      <c r="AO513" s="501"/>
      <c r="AP513" s="501"/>
      <c r="AQ513" s="501"/>
      <c r="AR513" s="501"/>
      <c r="AS513" s="501"/>
      <c r="AT513" s="501"/>
      <c r="AU513" s="501"/>
      <c r="AV513" s="501"/>
      <c r="AW513" s="501"/>
      <c r="AX513" s="501"/>
      <c r="AY513" s="501"/>
      <c r="AZ513" s="501"/>
      <c r="BA513" s="501"/>
      <c r="BB513" s="501"/>
      <c r="BC513" s="501"/>
      <c r="BD513" s="501"/>
      <c r="BE513" s="501"/>
      <c r="BF513" s="501"/>
      <c r="BG513" s="501"/>
      <c r="BH513" s="501"/>
      <c r="BI513" s="501"/>
      <c r="BJ513" s="501"/>
      <c r="BK513" s="501"/>
      <c r="BL513" s="501"/>
      <c r="BM513" s="501"/>
      <c r="BN513" s="501"/>
      <c r="BO513" s="501"/>
      <c r="BP513" s="501"/>
      <c r="BQ513" s="501"/>
      <c r="BR513" s="501"/>
      <c r="BS513" s="501"/>
      <c r="BT513" s="501"/>
      <c r="BU513" s="501"/>
      <c r="BV513" s="501"/>
      <c r="BW513" s="501"/>
      <c r="BX513" s="501"/>
      <c r="BY513" s="501"/>
      <c r="BZ513" s="501"/>
      <c r="CA513" s="501"/>
      <c r="CB513" s="501"/>
      <c r="CC513" s="501"/>
      <c r="CD513" s="501"/>
      <c r="CE513" s="501"/>
      <c r="CF513" s="501"/>
      <c r="CG513" s="501"/>
      <c r="CH513" s="501"/>
      <c r="CI513" s="501"/>
      <c r="CJ513" s="501"/>
      <c r="CK513" s="501"/>
      <c r="CL513" s="501"/>
      <c r="CM513" s="501"/>
      <c r="CN513" s="501"/>
      <c r="CO513" s="501"/>
      <c r="CP513" s="501"/>
      <c r="CQ513" s="501"/>
      <c r="CR513" s="501"/>
      <c r="CS513" s="501"/>
      <c r="CT513" s="501"/>
    </row>
    <row r="514">
      <c r="A514" s="569"/>
      <c r="B514" s="569"/>
      <c r="C514" s="569"/>
      <c r="D514" s="498"/>
      <c r="E514" s="499"/>
      <c r="F514" s="499"/>
      <c r="G514" s="766"/>
      <c r="H514" s="766"/>
      <c r="I514" s="766"/>
      <c r="J514" s="766"/>
      <c r="K514" s="683"/>
      <c r="L514" s="683"/>
      <c r="M514" s="683"/>
      <c r="N514" s="683"/>
      <c r="O514" s="683"/>
      <c r="P514" s="683"/>
      <c r="Q514" s="683"/>
      <c r="R514" s="683"/>
      <c r="S514" s="683"/>
      <c r="T514" s="501"/>
      <c r="U514" s="501"/>
      <c r="V514" s="501"/>
      <c r="W514" s="501"/>
      <c r="X514" s="501"/>
      <c r="Y514" s="501"/>
      <c r="Z514" s="501"/>
      <c r="AA514" s="501"/>
      <c r="AB514" s="501"/>
      <c r="AC514" s="501"/>
      <c r="AD514" s="501"/>
      <c r="AE514" s="501"/>
      <c r="AF514" s="501"/>
      <c r="AG514" s="501"/>
      <c r="AH514" s="501"/>
      <c r="AI514" s="501"/>
      <c r="AJ514" s="501"/>
      <c r="AK514" s="501"/>
      <c r="AL514" s="501"/>
      <c r="AM514" s="501"/>
      <c r="AN514" s="501"/>
      <c r="AO514" s="501"/>
      <c r="AP514" s="501"/>
      <c r="AQ514" s="501"/>
      <c r="AR514" s="501"/>
      <c r="AS514" s="501"/>
      <c r="AT514" s="501"/>
      <c r="AU514" s="501"/>
      <c r="AV514" s="501"/>
      <c r="AW514" s="501"/>
      <c r="AX514" s="501"/>
      <c r="AY514" s="501"/>
      <c r="AZ514" s="501"/>
      <c r="BA514" s="501"/>
      <c r="BB514" s="501"/>
      <c r="BC514" s="501"/>
      <c r="BD514" s="501"/>
      <c r="BE514" s="501"/>
      <c r="BF514" s="501"/>
      <c r="BG514" s="501"/>
      <c r="BH514" s="501"/>
      <c r="BI514" s="501"/>
      <c r="BJ514" s="501"/>
      <c r="BK514" s="501"/>
      <c r="BL514" s="501"/>
      <c r="BM514" s="501"/>
      <c r="BN514" s="501"/>
      <c r="BO514" s="501"/>
      <c r="BP514" s="501"/>
      <c r="BQ514" s="501"/>
      <c r="BR514" s="501"/>
      <c r="BS514" s="501"/>
      <c r="BT514" s="501"/>
      <c r="BU514" s="501"/>
      <c r="BV514" s="501"/>
      <c r="BW514" s="501"/>
      <c r="BX514" s="501"/>
      <c r="BY514" s="501"/>
      <c r="BZ514" s="501"/>
      <c r="CA514" s="501"/>
      <c r="CB514" s="501"/>
      <c r="CC514" s="501"/>
      <c r="CD514" s="501"/>
      <c r="CE514" s="501"/>
      <c r="CF514" s="501"/>
      <c r="CG514" s="501"/>
      <c r="CH514" s="501"/>
      <c r="CI514" s="501"/>
      <c r="CJ514" s="501"/>
      <c r="CK514" s="501"/>
      <c r="CL514" s="501"/>
      <c r="CM514" s="501"/>
      <c r="CN514" s="501"/>
      <c r="CO514" s="501"/>
      <c r="CP514" s="501"/>
      <c r="CQ514" s="501"/>
      <c r="CR514" s="501"/>
      <c r="CS514" s="501"/>
      <c r="CT514" s="501"/>
    </row>
    <row r="515">
      <c r="A515" s="569"/>
      <c r="B515" s="569"/>
      <c r="C515" s="569"/>
      <c r="D515" s="498"/>
      <c r="E515" s="499"/>
      <c r="F515" s="499"/>
      <c r="G515" s="766"/>
      <c r="H515" s="766"/>
      <c r="I515" s="766"/>
      <c r="J515" s="766"/>
      <c r="K515" s="683"/>
      <c r="L515" s="683"/>
      <c r="M515" s="683"/>
      <c r="N515" s="683"/>
      <c r="O515" s="683"/>
      <c r="P515" s="683"/>
      <c r="Q515" s="683"/>
      <c r="R515" s="683"/>
      <c r="S515" s="683"/>
      <c r="T515" s="501"/>
      <c r="U515" s="501"/>
      <c r="V515" s="501"/>
      <c r="W515" s="501"/>
      <c r="X515" s="501"/>
      <c r="Y515" s="501"/>
      <c r="Z515" s="501"/>
      <c r="AA515" s="501"/>
      <c r="AB515" s="501"/>
      <c r="AC515" s="501"/>
      <c r="AD515" s="501"/>
      <c r="AE515" s="501"/>
      <c r="AF515" s="501"/>
      <c r="AG515" s="501"/>
      <c r="AH515" s="501"/>
      <c r="AI515" s="501"/>
      <c r="AJ515" s="501"/>
      <c r="AK515" s="501"/>
      <c r="AL515" s="501"/>
      <c r="AM515" s="501"/>
      <c r="AN515" s="501"/>
      <c r="AO515" s="501"/>
      <c r="AP515" s="501"/>
      <c r="AQ515" s="501"/>
      <c r="AR515" s="501"/>
      <c r="AS515" s="501"/>
      <c r="AT515" s="501"/>
      <c r="AU515" s="501"/>
      <c r="AV515" s="501"/>
      <c r="AW515" s="501"/>
      <c r="AX515" s="501"/>
      <c r="AY515" s="501"/>
      <c r="AZ515" s="501"/>
      <c r="BA515" s="501"/>
      <c r="BB515" s="501"/>
      <c r="BC515" s="501"/>
      <c r="BD515" s="501"/>
      <c r="BE515" s="501"/>
      <c r="BF515" s="501"/>
      <c r="BG515" s="501"/>
      <c r="BH515" s="501"/>
      <c r="BI515" s="501"/>
      <c r="BJ515" s="501"/>
      <c r="BK515" s="501"/>
      <c r="BL515" s="501"/>
      <c r="BM515" s="501"/>
      <c r="BN515" s="501"/>
      <c r="BO515" s="501"/>
      <c r="BP515" s="501"/>
      <c r="BQ515" s="501"/>
      <c r="BR515" s="501"/>
      <c r="BS515" s="501"/>
      <c r="BT515" s="501"/>
      <c r="BU515" s="501"/>
      <c r="BV515" s="501"/>
      <c r="BW515" s="501"/>
      <c r="BX515" s="501"/>
      <c r="BY515" s="501"/>
      <c r="BZ515" s="501"/>
      <c r="CA515" s="501"/>
      <c r="CB515" s="501"/>
      <c r="CC515" s="501"/>
      <c r="CD515" s="501"/>
      <c r="CE515" s="501"/>
      <c r="CF515" s="501"/>
      <c r="CG515" s="501"/>
      <c r="CH515" s="501"/>
      <c r="CI515" s="501"/>
      <c r="CJ515" s="501"/>
      <c r="CK515" s="501"/>
      <c r="CL515" s="501"/>
      <c r="CM515" s="501"/>
      <c r="CN515" s="501"/>
      <c r="CO515" s="501"/>
      <c r="CP515" s="501"/>
      <c r="CQ515" s="501"/>
      <c r="CR515" s="501"/>
      <c r="CS515" s="501"/>
      <c r="CT515" s="501"/>
    </row>
    <row r="516">
      <c r="A516" s="569"/>
      <c r="B516" s="569"/>
      <c r="C516" s="569"/>
      <c r="D516" s="498"/>
      <c r="E516" s="499"/>
      <c r="F516" s="499"/>
      <c r="G516" s="766"/>
      <c r="H516" s="766"/>
      <c r="I516" s="766"/>
      <c r="J516" s="766"/>
      <c r="K516" s="683"/>
      <c r="L516" s="683"/>
      <c r="M516" s="683"/>
      <c r="N516" s="683"/>
      <c r="O516" s="683"/>
      <c r="P516" s="683"/>
      <c r="Q516" s="683"/>
      <c r="R516" s="683"/>
      <c r="S516" s="683"/>
      <c r="T516" s="501"/>
      <c r="U516" s="501"/>
      <c r="V516" s="501"/>
      <c r="W516" s="501"/>
      <c r="X516" s="501"/>
      <c r="Y516" s="501"/>
      <c r="Z516" s="501"/>
      <c r="AA516" s="501"/>
      <c r="AB516" s="501"/>
      <c r="AC516" s="501"/>
      <c r="AD516" s="501"/>
      <c r="AE516" s="501"/>
      <c r="AF516" s="501"/>
      <c r="AG516" s="501"/>
      <c r="AH516" s="501"/>
      <c r="AI516" s="501"/>
      <c r="AJ516" s="501"/>
      <c r="AK516" s="501"/>
      <c r="AL516" s="501"/>
      <c r="AM516" s="501"/>
      <c r="AN516" s="501"/>
      <c r="AO516" s="501"/>
      <c r="AP516" s="501"/>
      <c r="AQ516" s="501"/>
      <c r="AR516" s="501"/>
      <c r="AS516" s="501"/>
      <c r="AT516" s="501"/>
      <c r="AU516" s="501"/>
      <c r="AV516" s="501"/>
      <c r="AW516" s="501"/>
      <c r="AX516" s="501"/>
      <c r="AY516" s="501"/>
      <c r="AZ516" s="501"/>
      <c r="BA516" s="501"/>
      <c r="BB516" s="501"/>
      <c r="BC516" s="501"/>
      <c r="BD516" s="501"/>
      <c r="BE516" s="501"/>
      <c r="BF516" s="501"/>
      <c r="BG516" s="501"/>
      <c r="BH516" s="501"/>
      <c r="BI516" s="501"/>
      <c r="BJ516" s="501"/>
      <c r="BK516" s="501"/>
      <c r="BL516" s="501"/>
      <c r="BM516" s="501"/>
      <c r="BN516" s="501"/>
      <c r="BO516" s="501"/>
      <c r="BP516" s="501"/>
      <c r="BQ516" s="501"/>
      <c r="BR516" s="501"/>
      <c r="BS516" s="501"/>
      <c r="BT516" s="501"/>
      <c r="BU516" s="501"/>
      <c r="BV516" s="501"/>
      <c r="BW516" s="501"/>
      <c r="BX516" s="501"/>
      <c r="BY516" s="501"/>
      <c r="BZ516" s="501"/>
      <c r="CA516" s="501"/>
      <c r="CB516" s="501"/>
      <c r="CC516" s="501"/>
      <c r="CD516" s="501"/>
      <c r="CE516" s="501"/>
      <c r="CF516" s="501"/>
      <c r="CG516" s="501"/>
      <c r="CH516" s="501"/>
      <c r="CI516" s="501"/>
      <c r="CJ516" s="501"/>
      <c r="CK516" s="501"/>
      <c r="CL516" s="501"/>
      <c r="CM516" s="501"/>
      <c r="CN516" s="501"/>
      <c r="CO516" s="501"/>
      <c r="CP516" s="501"/>
      <c r="CQ516" s="501"/>
      <c r="CR516" s="501"/>
      <c r="CS516" s="501"/>
      <c r="CT516" s="501"/>
    </row>
    <row r="517">
      <c r="A517" s="569"/>
      <c r="B517" s="569"/>
      <c r="C517" s="569"/>
      <c r="D517" s="498"/>
      <c r="E517" s="499"/>
      <c r="F517" s="499"/>
      <c r="G517" s="766"/>
      <c r="H517" s="766"/>
      <c r="I517" s="766"/>
      <c r="J517" s="766"/>
      <c r="K517" s="683"/>
      <c r="L517" s="683"/>
      <c r="M517" s="683"/>
      <c r="N517" s="683"/>
      <c r="O517" s="683"/>
      <c r="P517" s="683"/>
      <c r="Q517" s="683"/>
      <c r="R517" s="683"/>
      <c r="S517" s="683"/>
      <c r="T517" s="501"/>
      <c r="U517" s="501"/>
      <c r="V517" s="501"/>
      <c r="W517" s="501"/>
      <c r="X517" s="501"/>
      <c r="Y517" s="501"/>
      <c r="Z517" s="501"/>
      <c r="AA517" s="501"/>
      <c r="AB517" s="501"/>
      <c r="AC517" s="501"/>
      <c r="AD517" s="501"/>
      <c r="AE517" s="501"/>
      <c r="AF517" s="501"/>
      <c r="AG517" s="501"/>
      <c r="AH517" s="501"/>
      <c r="AI517" s="501"/>
      <c r="AJ517" s="501"/>
      <c r="AK517" s="501"/>
      <c r="AL517" s="501"/>
      <c r="AM517" s="501"/>
      <c r="AN517" s="501"/>
      <c r="AO517" s="501"/>
      <c r="AP517" s="501"/>
      <c r="AQ517" s="501"/>
      <c r="AR517" s="501"/>
      <c r="AS517" s="501"/>
      <c r="AT517" s="501"/>
      <c r="AU517" s="501"/>
      <c r="AV517" s="501"/>
      <c r="AW517" s="501"/>
      <c r="AX517" s="501"/>
      <c r="AY517" s="501"/>
      <c r="AZ517" s="501"/>
      <c r="BA517" s="501"/>
      <c r="BB517" s="501"/>
      <c r="BC517" s="501"/>
      <c r="BD517" s="501"/>
      <c r="BE517" s="501"/>
      <c r="BF517" s="501"/>
      <c r="BG517" s="501"/>
      <c r="BH517" s="501"/>
      <c r="BI517" s="501"/>
      <c r="BJ517" s="501"/>
      <c r="BK517" s="501"/>
      <c r="BL517" s="501"/>
      <c r="BM517" s="501"/>
      <c r="BN517" s="501"/>
      <c r="BO517" s="501"/>
      <c r="BP517" s="501"/>
      <c r="BQ517" s="501"/>
      <c r="BR517" s="501"/>
      <c r="BS517" s="501"/>
      <c r="BT517" s="501"/>
      <c r="BU517" s="501"/>
      <c r="BV517" s="501"/>
      <c r="BW517" s="501"/>
      <c r="BX517" s="501"/>
      <c r="BY517" s="501"/>
      <c r="BZ517" s="501"/>
      <c r="CA517" s="501"/>
      <c r="CB517" s="501"/>
      <c r="CC517" s="501"/>
      <c r="CD517" s="501"/>
      <c r="CE517" s="501"/>
      <c r="CF517" s="501"/>
      <c r="CG517" s="501"/>
      <c r="CH517" s="501"/>
      <c r="CI517" s="501"/>
      <c r="CJ517" s="501"/>
      <c r="CK517" s="501"/>
      <c r="CL517" s="501"/>
      <c r="CM517" s="501"/>
      <c r="CN517" s="501"/>
      <c r="CO517" s="501"/>
      <c r="CP517" s="501"/>
      <c r="CQ517" s="501"/>
      <c r="CR517" s="501"/>
      <c r="CS517" s="501"/>
      <c r="CT517" s="501"/>
    </row>
    <row r="518">
      <c r="A518" s="569"/>
      <c r="B518" s="569"/>
      <c r="C518" s="569"/>
      <c r="D518" s="498"/>
      <c r="E518" s="499"/>
      <c r="F518" s="499"/>
      <c r="G518" s="766"/>
      <c r="H518" s="766"/>
      <c r="I518" s="766"/>
      <c r="J518" s="766"/>
      <c r="K518" s="683"/>
      <c r="L518" s="683"/>
      <c r="M518" s="683"/>
      <c r="N518" s="683"/>
      <c r="O518" s="683"/>
      <c r="P518" s="683"/>
      <c r="Q518" s="683"/>
      <c r="R518" s="683"/>
      <c r="S518" s="683"/>
      <c r="T518" s="501"/>
      <c r="U518" s="501"/>
      <c r="V518" s="501"/>
      <c r="W518" s="501"/>
      <c r="X518" s="501"/>
      <c r="Y518" s="501"/>
      <c r="Z518" s="501"/>
      <c r="AA518" s="501"/>
      <c r="AB518" s="501"/>
      <c r="AC518" s="501"/>
      <c r="AD518" s="501"/>
      <c r="AE518" s="501"/>
      <c r="AF518" s="501"/>
      <c r="AG518" s="501"/>
      <c r="AH518" s="501"/>
      <c r="AI518" s="501"/>
      <c r="AJ518" s="501"/>
      <c r="AK518" s="501"/>
      <c r="AL518" s="501"/>
      <c r="AM518" s="501"/>
      <c r="AN518" s="501"/>
      <c r="AO518" s="501"/>
      <c r="AP518" s="501"/>
      <c r="AQ518" s="501"/>
      <c r="AR518" s="501"/>
      <c r="AS518" s="501"/>
      <c r="AT518" s="501"/>
      <c r="AU518" s="501"/>
      <c r="AV518" s="501"/>
      <c r="AW518" s="501"/>
      <c r="AX518" s="501"/>
      <c r="AY518" s="501"/>
      <c r="AZ518" s="501"/>
      <c r="BA518" s="501"/>
      <c r="BB518" s="501"/>
      <c r="BC518" s="501"/>
      <c r="BD518" s="501"/>
      <c r="BE518" s="501"/>
      <c r="BF518" s="501"/>
      <c r="BG518" s="501"/>
      <c r="BH518" s="501"/>
      <c r="BI518" s="501"/>
      <c r="BJ518" s="501"/>
      <c r="BK518" s="501"/>
      <c r="BL518" s="501"/>
      <c r="BM518" s="501"/>
      <c r="BN518" s="501"/>
      <c r="BO518" s="501"/>
      <c r="BP518" s="501"/>
      <c r="BQ518" s="501"/>
      <c r="BR518" s="501"/>
      <c r="BS518" s="501"/>
      <c r="BT518" s="501"/>
      <c r="BU518" s="501"/>
      <c r="BV518" s="501"/>
      <c r="BW518" s="501"/>
      <c r="BX518" s="501"/>
      <c r="BY518" s="501"/>
      <c r="BZ518" s="501"/>
      <c r="CA518" s="501"/>
      <c r="CB518" s="501"/>
      <c r="CC518" s="501"/>
      <c r="CD518" s="501"/>
      <c r="CE518" s="501"/>
      <c r="CF518" s="501"/>
      <c r="CG518" s="501"/>
      <c r="CH518" s="501"/>
      <c r="CI518" s="501"/>
      <c r="CJ518" s="501"/>
      <c r="CK518" s="501"/>
      <c r="CL518" s="501"/>
      <c r="CM518" s="501"/>
      <c r="CN518" s="501"/>
      <c r="CO518" s="501"/>
      <c r="CP518" s="501"/>
      <c r="CQ518" s="501"/>
      <c r="CR518" s="501"/>
      <c r="CS518" s="501"/>
      <c r="CT518" s="501"/>
    </row>
    <row r="519">
      <c r="A519" s="569"/>
      <c r="B519" s="569"/>
      <c r="C519" s="569"/>
      <c r="D519" s="498"/>
      <c r="E519" s="499"/>
      <c r="F519" s="499"/>
      <c r="G519" s="766"/>
      <c r="H519" s="766"/>
      <c r="I519" s="766"/>
      <c r="J519" s="766"/>
      <c r="K519" s="683"/>
      <c r="L519" s="683"/>
      <c r="M519" s="683"/>
      <c r="N519" s="683"/>
      <c r="O519" s="683"/>
      <c r="P519" s="683"/>
      <c r="Q519" s="683"/>
      <c r="R519" s="683"/>
      <c r="S519" s="683"/>
      <c r="T519" s="501"/>
      <c r="U519" s="501"/>
      <c r="V519" s="501"/>
      <c r="W519" s="501"/>
      <c r="X519" s="501"/>
      <c r="Y519" s="501"/>
      <c r="Z519" s="501"/>
      <c r="AA519" s="501"/>
      <c r="AB519" s="501"/>
      <c r="AC519" s="501"/>
      <c r="AD519" s="501"/>
      <c r="AE519" s="501"/>
      <c r="AF519" s="501"/>
      <c r="AG519" s="501"/>
      <c r="AH519" s="501"/>
      <c r="AI519" s="501"/>
      <c r="AJ519" s="501"/>
      <c r="AK519" s="501"/>
      <c r="AL519" s="501"/>
      <c r="AM519" s="501"/>
      <c r="AN519" s="501"/>
      <c r="AO519" s="501"/>
      <c r="AP519" s="501"/>
      <c r="AQ519" s="501"/>
      <c r="AR519" s="501"/>
      <c r="AS519" s="501"/>
      <c r="AT519" s="501"/>
      <c r="AU519" s="501"/>
      <c r="AV519" s="501"/>
      <c r="AW519" s="501"/>
      <c r="AX519" s="501"/>
      <c r="AY519" s="501"/>
      <c r="AZ519" s="501"/>
      <c r="BA519" s="501"/>
      <c r="BB519" s="501"/>
      <c r="BC519" s="501"/>
      <c r="BD519" s="501"/>
      <c r="BE519" s="501"/>
      <c r="BF519" s="501"/>
      <c r="BG519" s="501"/>
      <c r="BH519" s="501"/>
      <c r="BI519" s="501"/>
      <c r="BJ519" s="501"/>
      <c r="BK519" s="501"/>
      <c r="BL519" s="501"/>
      <c r="BM519" s="501"/>
      <c r="BN519" s="501"/>
      <c r="BO519" s="501"/>
      <c r="BP519" s="501"/>
      <c r="BQ519" s="501"/>
      <c r="BR519" s="501"/>
      <c r="BS519" s="501"/>
      <c r="BT519" s="501"/>
      <c r="BU519" s="501"/>
      <c r="BV519" s="501"/>
      <c r="BW519" s="501"/>
      <c r="BX519" s="501"/>
      <c r="BY519" s="501"/>
      <c r="BZ519" s="501"/>
      <c r="CA519" s="501"/>
      <c r="CB519" s="501"/>
      <c r="CC519" s="501"/>
      <c r="CD519" s="501"/>
      <c r="CE519" s="501"/>
      <c r="CF519" s="501"/>
      <c r="CG519" s="501"/>
      <c r="CH519" s="501"/>
      <c r="CI519" s="501"/>
      <c r="CJ519" s="501"/>
      <c r="CK519" s="501"/>
      <c r="CL519" s="501"/>
      <c r="CM519" s="501"/>
      <c r="CN519" s="501"/>
      <c r="CO519" s="501"/>
      <c r="CP519" s="501"/>
      <c r="CQ519" s="501"/>
      <c r="CR519" s="501"/>
      <c r="CS519" s="501"/>
      <c r="CT519" s="501"/>
    </row>
    <row r="520">
      <c r="A520" s="569"/>
      <c r="B520" s="569"/>
      <c r="C520" s="569"/>
      <c r="D520" s="498"/>
      <c r="E520" s="499"/>
      <c r="F520" s="499"/>
      <c r="G520" s="766"/>
      <c r="H520" s="766"/>
      <c r="I520" s="766"/>
      <c r="J520" s="766"/>
      <c r="K520" s="683"/>
      <c r="L520" s="683"/>
      <c r="M520" s="683"/>
      <c r="N520" s="683"/>
      <c r="O520" s="683"/>
      <c r="P520" s="683"/>
      <c r="Q520" s="683"/>
      <c r="R520" s="683"/>
      <c r="S520" s="683"/>
      <c r="T520" s="501"/>
      <c r="U520" s="501"/>
      <c r="V520" s="501"/>
      <c r="W520" s="501"/>
      <c r="X520" s="501"/>
      <c r="Y520" s="501"/>
      <c r="Z520" s="501"/>
      <c r="AA520" s="501"/>
      <c r="AB520" s="501"/>
      <c r="AC520" s="501"/>
      <c r="AD520" s="501"/>
      <c r="AE520" s="501"/>
      <c r="AF520" s="501"/>
      <c r="AG520" s="501"/>
      <c r="AH520" s="501"/>
      <c r="AI520" s="501"/>
      <c r="AJ520" s="501"/>
      <c r="AK520" s="501"/>
      <c r="AL520" s="501"/>
      <c r="AM520" s="501"/>
      <c r="AN520" s="501"/>
      <c r="AO520" s="501"/>
      <c r="AP520" s="501"/>
      <c r="AQ520" s="501"/>
      <c r="AR520" s="501"/>
      <c r="AS520" s="501"/>
      <c r="AT520" s="501"/>
      <c r="AU520" s="501"/>
      <c r="AV520" s="501"/>
      <c r="AW520" s="501"/>
      <c r="AX520" s="501"/>
      <c r="AY520" s="501"/>
      <c r="AZ520" s="501"/>
      <c r="BA520" s="501"/>
      <c r="BB520" s="501"/>
      <c r="BC520" s="501"/>
      <c r="BD520" s="501"/>
      <c r="BE520" s="501"/>
      <c r="BF520" s="501"/>
      <c r="BG520" s="501"/>
      <c r="BH520" s="501"/>
      <c r="BI520" s="501"/>
      <c r="BJ520" s="501"/>
      <c r="BK520" s="501"/>
      <c r="BL520" s="501"/>
      <c r="BM520" s="501"/>
      <c r="BN520" s="501"/>
      <c r="BO520" s="501"/>
      <c r="BP520" s="501"/>
      <c r="BQ520" s="501"/>
      <c r="BR520" s="501"/>
      <c r="BS520" s="501"/>
      <c r="BT520" s="501"/>
      <c r="BU520" s="501"/>
      <c r="BV520" s="501"/>
      <c r="BW520" s="501"/>
      <c r="BX520" s="501"/>
      <c r="BY520" s="501"/>
      <c r="BZ520" s="501"/>
      <c r="CA520" s="501"/>
      <c r="CB520" s="501"/>
      <c r="CC520" s="501"/>
      <c r="CD520" s="501"/>
      <c r="CE520" s="501"/>
      <c r="CF520" s="501"/>
      <c r="CG520" s="501"/>
      <c r="CH520" s="501"/>
      <c r="CI520" s="501"/>
      <c r="CJ520" s="501"/>
      <c r="CK520" s="501"/>
      <c r="CL520" s="501"/>
      <c r="CM520" s="501"/>
      <c r="CN520" s="501"/>
      <c r="CO520" s="501"/>
      <c r="CP520" s="501"/>
      <c r="CQ520" s="501"/>
      <c r="CR520" s="501"/>
      <c r="CS520" s="501"/>
      <c r="CT520" s="501"/>
    </row>
    <row r="521">
      <c r="A521" s="569"/>
      <c r="B521" s="569"/>
      <c r="C521" s="569"/>
      <c r="D521" s="498"/>
      <c r="E521" s="499"/>
      <c r="F521" s="499"/>
      <c r="G521" s="766"/>
      <c r="H521" s="766"/>
      <c r="I521" s="766"/>
      <c r="J521" s="766"/>
      <c r="K521" s="683"/>
      <c r="L521" s="683"/>
      <c r="M521" s="683"/>
      <c r="N521" s="683"/>
      <c r="O521" s="683"/>
      <c r="P521" s="683"/>
      <c r="Q521" s="683"/>
      <c r="R521" s="683"/>
      <c r="S521" s="683"/>
      <c r="T521" s="501"/>
      <c r="U521" s="501"/>
      <c r="V521" s="501"/>
      <c r="W521" s="501"/>
      <c r="X521" s="501"/>
      <c r="Y521" s="501"/>
      <c r="Z521" s="501"/>
      <c r="AA521" s="501"/>
      <c r="AB521" s="501"/>
      <c r="AC521" s="501"/>
      <c r="AD521" s="501"/>
      <c r="AE521" s="501"/>
      <c r="AF521" s="501"/>
      <c r="AG521" s="501"/>
      <c r="AH521" s="501"/>
      <c r="AI521" s="501"/>
      <c r="AJ521" s="501"/>
      <c r="AK521" s="501"/>
      <c r="AL521" s="501"/>
      <c r="AM521" s="501"/>
      <c r="AN521" s="501"/>
      <c r="AO521" s="501"/>
      <c r="AP521" s="501"/>
      <c r="AQ521" s="501"/>
      <c r="AR521" s="501"/>
      <c r="AS521" s="501"/>
      <c r="AT521" s="501"/>
      <c r="AU521" s="501"/>
      <c r="AV521" s="501"/>
      <c r="AW521" s="501"/>
      <c r="AX521" s="501"/>
      <c r="AY521" s="501"/>
      <c r="AZ521" s="501"/>
      <c r="BA521" s="501"/>
      <c r="BB521" s="501"/>
      <c r="BC521" s="501"/>
      <c r="BD521" s="501"/>
      <c r="BE521" s="501"/>
      <c r="BF521" s="501"/>
      <c r="BG521" s="501"/>
      <c r="BH521" s="501"/>
      <c r="BI521" s="501"/>
      <c r="BJ521" s="501"/>
      <c r="BK521" s="501"/>
      <c r="BL521" s="501"/>
      <c r="BM521" s="501"/>
      <c r="BN521" s="501"/>
      <c r="BO521" s="501"/>
      <c r="BP521" s="501"/>
      <c r="BQ521" s="501"/>
      <c r="BR521" s="501"/>
      <c r="BS521" s="501"/>
      <c r="BT521" s="501"/>
      <c r="BU521" s="501"/>
      <c r="BV521" s="501"/>
      <c r="BW521" s="501"/>
      <c r="BX521" s="501"/>
      <c r="BY521" s="501"/>
      <c r="BZ521" s="501"/>
      <c r="CA521" s="501"/>
      <c r="CB521" s="501"/>
      <c r="CC521" s="501"/>
      <c r="CD521" s="501"/>
      <c r="CE521" s="501"/>
      <c r="CF521" s="501"/>
      <c r="CG521" s="501"/>
      <c r="CH521" s="501"/>
      <c r="CI521" s="501"/>
      <c r="CJ521" s="501"/>
      <c r="CK521" s="501"/>
      <c r="CL521" s="501"/>
      <c r="CM521" s="501"/>
      <c r="CN521" s="501"/>
      <c r="CO521" s="501"/>
      <c r="CP521" s="501"/>
      <c r="CQ521" s="501"/>
      <c r="CR521" s="501"/>
      <c r="CS521" s="501"/>
      <c r="CT521" s="501"/>
    </row>
    <row r="522">
      <c r="A522" s="569"/>
      <c r="B522" s="569"/>
      <c r="C522" s="569"/>
      <c r="D522" s="498"/>
      <c r="E522" s="499"/>
      <c r="F522" s="499"/>
      <c r="G522" s="766"/>
      <c r="H522" s="766"/>
      <c r="I522" s="766"/>
      <c r="J522" s="766"/>
      <c r="K522" s="683"/>
      <c r="L522" s="683"/>
      <c r="M522" s="683"/>
      <c r="N522" s="683"/>
      <c r="O522" s="683"/>
      <c r="P522" s="683"/>
      <c r="Q522" s="683"/>
      <c r="R522" s="683"/>
      <c r="S522" s="683"/>
      <c r="T522" s="501"/>
      <c r="U522" s="501"/>
      <c r="V522" s="501"/>
      <c r="W522" s="501"/>
      <c r="X522" s="501"/>
      <c r="Y522" s="501"/>
      <c r="Z522" s="501"/>
      <c r="AA522" s="501"/>
      <c r="AB522" s="501"/>
      <c r="AC522" s="501"/>
      <c r="AD522" s="501"/>
      <c r="AE522" s="501"/>
      <c r="AF522" s="501"/>
      <c r="AG522" s="501"/>
      <c r="AH522" s="501"/>
      <c r="AI522" s="501"/>
      <c r="AJ522" s="501"/>
      <c r="AK522" s="501"/>
      <c r="AL522" s="501"/>
      <c r="AM522" s="501"/>
      <c r="AN522" s="501"/>
      <c r="AO522" s="501"/>
      <c r="AP522" s="501"/>
      <c r="AQ522" s="501"/>
      <c r="AR522" s="501"/>
      <c r="AS522" s="501"/>
      <c r="AT522" s="501"/>
      <c r="AU522" s="501"/>
      <c r="AV522" s="501"/>
      <c r="AW522" s="501"/>
      <c r="AX522" s="501"/>
      <c r="AY522" s="501"/>
      <c r="AZ522" s="501"/>
      <c r="BA522" s="501"/>
      <c r="BB522" s="501"/>
      <c r="BC522" s="501"/>
      <c r="BD522" s="501"/>
      <c r="BE522" s="501"/>
      <c r="BF522" s="501"/>
      <c r="BG522" s="501"/>
      <c r="BH522" s="501"/>
      <c r="BI522" s="501"/>
      <c r="BJ522" s="501"/>
      <c r="BK522" s="501"/>
      <c r="BL522" s="501"/>
      <c r="BM522" s="501"/>
      <c r="BN522" s="501"/>
      <c r="BO522" s="501"/>
      <c r="BP522" s="501"/>
      <c r="BQ522" s="501"/>
      <c r="BR522" s="501"/>
      <c r="BS522" s="501"/>
      <c r="BT522" s="501"/>
      <c r="BU522" s="501"/>
      <c r="BV522" s="501"/>
      <c r="BW522" s="501"/>
      <c r="BX522" s="501"/>
      <c r="BY522" s="501"/>
      <c r="BZ522" s="501"/>
      <c r="CA522" s="501"/>
      <c r="CB522" s="501"/>
      <c r="CC522" s="501"/>
      <c r="CD522" s="501"/>
      <c r="CE522" s="501"/>
      <c r="CF522" s="501"/>
      <c r="CG522" s="501"/>
      <c r="CH522" s="501"/>
      <c r="CI522" s="501"/>
      <c r="CJ522" s="501"/>
      <c r="CK522" s="501"/>
      <c r="CL522" s="501"/>
      <c r="CM522" s="501"/>
      <c r="CN522" s="501"/>
      <c r="CO522" s="501"/>
      <c r="CP522" s="501"/>
      <c r="CQ522" s="501"/>
      <c r="CR522" s="501"/>
      <c r="CS522" s="501"/>
      <c r="CT522" s="501"/>
    </row>
    <row r="523">
      <c r="A523" s="569"/>
      <c r="B523" s="569"/>
      <c r="C523" s="569"/>
      <c r="D523" s="498"/>
      <c r="E523" s="499"/>
      <c r="F523" s="499"/>
      <c r="G523" s="766"/>
      <c r="H523" s="766"/>
      <c r="I523" s="766"/>
      <c r="J523" s="766"/>
      <c r="K523" s="683"/>
      <c r="L523" s="683"/>
      <c r="M523" s="683"/>
      <c r="N523" s="683"/>
      <c r="O523" s="683"/>
      <c r="P523" s="683"/>
      <c r="Q523" s="683"/>
      <c r="R523" s="683"/>
      <c r="S523" s="683"/>
      <c r="T523" s="501"/>
      <c r="U523" s="501"/>
      <c r="V523" s="501"/>
      <c r="W523" s="501"/>
      <c r="X523" s="501"/>
      <c r="Y523" s="501"/>
      <c r="Z523" s="501"/>
      <c r="AA523" s="501"/>
      <c r="AB523" s="501"/>
      <c r="AC523" s="501"/>
      <c r="AD523" s="501"/>
      <c r="AE523" s="501"/>
      <c r="AF523" s="501"/>
      <c r="AG523" s="501"/>
      <c r="AH523" s="501"/>
      <c r="AI523" s="501"/>
      <c r="AJ523" s="501"/>
      <c r="AK523" s="501"/>
      <c r="AL523" s="501"/>
      <c r="AM523" s="501"/>
      <c r="AN523" s="501"/>
      <c r="AO523" s="501"/>
      <c r="AP523" s="501"/>
      <c r="AQ523" s="501"/>
      <c r="AR523" s="501"/>
      <c r="AS523" s="501"/>
      <c r="AT523" s="501"/>
      <c r="AU523" s="501"/>
      <c r="AV523" s="501"/>
      <c r="AW523" s="501"/>
      <c r="AX523" s="501"/>
      <c r="AY523" s="501"/>
      <c r="AZ523" s="501"/>
      <c r="BA523" s="501"/>
      <c r="BB523" s="501"/>
      <c r="BC523" s="501"/>
      <c r="BD523" s="501"/>
      <c r="BE523" s="501"/>
      <c r="BF523" s="501"/>
      <c r="BG523" s="501"/>
      <c r="BH523" s="501"/>
      <c r="BI523" s="501"/>
      <c r="BJ523" s="501"/>
      <c r="BK523" s="501"/>
      <c r="BL523" s="501"/>
      <c r="BM523" s="501"/>
      <c r="BN523" s="501"/>
      <c r="BO523" s="501"/>
      <c r="BP523" s="501"/>
      <c r="BQ523" s="501"/>
      <c r="BR523" s="501"/>
      <c r="BS523" s="501"/>
      <c r="BT523" s="501"/>
      <c r="BU523" s="501"/>
      <c r="BV523" s="501"/>
      <c r="BW523" s="501"/>
      <c r="BX523" s="501"/>
      <c r="BY523" s="501"/>
      <c r="BZ523" s="501"/>
      <c r="CA523" s="501"/>
      <c r="CB523" s="501"/>
      <c r="CC523" s="501"/>
      <c r="CD523" s="501"/>
      <c r="CE523" s="501"/>
      <c r="CF523" s="501"/>
      <c r="CG523" s="501"/>
      <c r="CH523" s="501"/>
      <c r="CI523" s="501"/>
      <c r="CJ523" s="501"/>
      <c r="CK523" s="501"/>
      <c r="CL523" s="501"/>
      <c r="CM523" s="501"/>
      <c r="CN523" s="501"/>
      <c r="CO523" s="501"/>
      <c r="CP523" s="501"/>
      <c r="CQ523" s="501"/>
      <c r="CR523" s="501"/>
      <c r="CS523" s="501"/>
      <c r="CT523" s="501"/>
    </row>
    <row r="524">
      <c r="A524" s="569"/>
      <c r="B524" s="569"/>
      <c r="C524" s="569"/>
      <c r="D524" s="498"/>
      <c r="E524" s="499"/>
      <c r="F524" s="499"/>
      <c r="G524" s="766"/>
      <c r="H524" s="766"/>
      <c r="I524" s="766"/>
      <c r="J524" s="766"/>
      <c r="K524" s="683"/>
      <c r="L524" s="683"/>
      <c r="M524" s="683"/>
      <c r="N524" s="683"/>
      <c r="O524" s="683"/>
      <c r="P524" s="683"/>
      <c r="Q524" s="683"/>
      <c r="R524" s="683"/>
      <c r="S524" s="683"/>
      <c r="T524" s="501"/>
      <c r="U524" s="501"/>
      <c r="V524" s="501"/>
      <c r="W524" s="501"/>
      <c r="X524" s="501"/>
      <c r="Y524" s="501"/>
      <c r="Z524" s="501"/>
      <c r="AA524" s="501"/>
      <c r="AB524" s="501"/>
      <c r="AC524" s="501"/>
      <c r="AD524" s="501"/>
      <c r="AE524" s="501"/>
      <c r="AF524" s="501"/>
      <c r="AG524" s="501"/>
      <c r="AH524" s="501"/>
      <c r="AI524" s="501"/>
      <c r="AJ524" s="501"/>
      <c r="AK524" s="501"/>
      <c r="AL524" s="501"/>
      <c r="AM524" s="501"/>
      <c r="AN524" s="501"/>
      <c r="AO524" s="501"/>
      <c r="AP524" s="501"/>
      <c r="AQ524" s="501"/>
      <c r="AR524" s="501"/>
      <c r="AS524" s="501"/>
      <c r="AT524" s="501"/>
      <c r="AU524" s="501"/>
      <c r="AV524" s="501"/>
      <c r="AW524" s="501"/>
      <c r="AX524" s="501"/>
      <c r="AY524" s="501"/>
      <c r="AZ524" s="501"/>
      <c r="BA524" s="501"/>
      <c r="BB524" s="501"/>
      <c r="BC524" s="501"/>
      <c r="BD524" s="501"/>
      <c r="BE524" s="501"/>
      <c r="BF524" s="501"/>
      <c r="BG524" s="501"/>
      <c r="BH524" s="501"/>
      <c r="BI524" s="501"/>
      <c r="BJ524" s="501"/>
      <c r="BK524" s="501"/>
      <c r="BL524" s="501"/>
      <c r="BM524" s="501"/>
      <c r="BN524" s="501"/>
      <c r="BO524" s="501"/>
      <c r="BP524" s="501"/>
      <c r="BQ524" s="501"/>
      <c r="BR524" s="501"/>
      <c r="BS524" s="501"/>
      <c r="BT524" s="501"/>
      <c r="BU524" s="501"/>
      <c r="BV524" s="501"/>
      <c r="BW524" s="501"/>
      <c r="BX524" s="501"/>
      <c r="BY524" s="501"/>
      <c r="BZ524" s="501"/>
      <c r="CA524" s="501"/>
      <c r="CB524" s="501"/>
      <c r="CC524" s="501"/>
      <c r="CD524" s="501"/>
      <c r="CE524" s="501"/>
      <c r="CF524" s="501"/>
      <c r="CG524" s="501"/>
      <c r="CH524" s="501"/>
      <c r="CI524" s="501"/>
      <c r="CJ524" s="501"/>
      <c r="CK524" s="501"/>
      <c r="CL524" s="501"/>
      <c r="CM524" s="501"/>
      <c r="CN524" s="501"/>
      <c r="CO524" s="501"/>
      <c r="CP524" s="501"/>
      <c r="CQ524" s="501"/>
      <c r="CR524" s="501"/>
      <c r="CS524" s="501"/>
      <c r="CT524" s="501"/>
    </row>
    <row r="525">
      <c r="A525" s="569"/>
      <c r="B525" s="569"/>
      <c r="C525" s="569"/>
      <c r="D525" s="498"/>
      <c r="E525" s="499"/>
      <c r="F525" s="499"/>
      <c r="G525" s="766"/>
      <c r="H525" s="766"/>
      <c r="I525" s="766"/>
      <c r="J525" s="766"/>
      <c r="K525" s="683"/>
      <c r="L525" s="683"/>
      <c r="M525" s="683"/>
      <c r="N525" s="683"/>
      <c r="O525" s="683"/>
      <c r="P525" s="683"/>
      <c r="Q525" s="683"/>
      <c r="R525" s="683"/>
      <c r="S525" s="683"/>
      <c r="T525" s="501"/>
      <c r="U525" s="501"/>
      <c r="V525" s="501"/>
      <c r="W525" s="501"/>
      <c r="X525" s="501"/>
      <c r="Y525" s="501"/>
      <c r="Z525" s="501"/>
      <c r="AA525" s="501"/>
      <c r="AB525" s="501"/>
      <c r="AC525" s="501"/>
      <c r="AD525" s="501"/>
      <c r="AE525" s="501"/>
      <c r="AF525" s="501"/>
      <c r="AG525" s="501"/>
      <c r="AH525" s="501"/>
      <c r="AI525" s="501"/>
      <c r="AJ525" s="501"/>
      <c r="AK525" s="501"/>
      <c r="AL525" s="501"/>
      <c r="AM525" s="501"/>
      <c r="AN525" s="501"/>
      <c r="AO525" s="501"/>
      <c r="AP525" s="501"/>
      <c r="AQ525" s="501"/>
      <c r="AR525" s="501"/>
      <c r="AS525" s="501"/>
      <c r="AT525" s="501"/>
      <c r="AU525" s="501"/>
      <c r="AV525" s="501"/>
      <c r="AW525" s="501"/>
      <c r="AX525" s="501"/>
      <c r="AY525" s="501"/>
      <c r="AZ525" s="501"/>
      <c r="BA525" s="501"/>
      <c r="BB525" s="501"/>
      <c r="BC525" s="501"/>
      <c r="BD525" s="501"/>
      <c r="BE525" s="501"/>
      <c r="BF525" s="501"/>
      <c r="BG525" s="501"/>
      <c r="BH525" s="501"/>
      <c r="BI525" s="501"/>
      <c r="BJ525" s="501"/>
      <c r="BK525" s="501"/>
      <c r="BL525" s="501"/>
      <c r="BM525" s="501"/>
      <c r="BN525" s="501"/>
      <c r="BO525" s="501"/>
      <c r="BP525" s="501"/>
      <c r="BQ525" s="501"/>
      <c r="BR525" s="501"/>
      <c r="BS525" s="501"/>
      <c r="BT525" s="501"/>
      <c r="BU525" s="501"/>
      <c r="BV525" s="501"/>
      <c r="BW525" s="501"/>
      <c r="BX525" s="501"/>
      <c r="BY525" s="501"/>
      <c r="BZ525" s="501"/>
      <c r="CA525" s="501"/>
      <c r="CB525" s="501"/>
      <c r="CC525" s="501"/>
      <c r="CD525" s="501"/>
      <c r="CE525" s="501"/>
      <c r="CF525" s="501"/>
      <c r="CG525" s="501"/>
      <c r="CH525" s="501"/>
      <c r="CI525" s="501"/>
      <c r="CJ525" s="501"/>
      <c r="CK525" s="501"/>
      <c r="CL525" s="501"/>
      <c r="CM525" s="501"/>
      <c r="CN525" s="501"/>
      <c r="CO525" s="501"/>
      <c r="CP525" s="501"/>
      <c r="CQ525" s="501"/>
      <c r="CR525" s="501"/>
      <c r="CS525" s="501"/>
      <c r="CT525" s="501"/>
    </row>
    <row r="526">
      <c r="A526" s="569"/>
      <c r="B526" s="569"/>
      <c r="C526" s="569"/>
      <c r="D526" s="498"/>
      <c r="E526" s="499"/>
      <c r="F526" s="499"/>
      <c r="G526" s="766"/>
      <c r="H526" s="766"/>
      <c r="I526" s="766"/>
      <c r="J526" s="766"/>
      <c r="K526" s="683"/>
      <c r="L526" s="683"/>
      <c r="M526" s="683"/>
      <c r="N526" s="683"/>
      <c r="O526" s="683"/>
      <c r="P526" s="683"/>
      <c r="Q526" s="683"/>
      <c r="R526" s="683"/>
      <c r="S526" s="683"/>
      <c r="T526" s="501"/>
      <c r="U526" s="501"/>
      <c r="V526" s="501"/>
      <c r="W526" s="501"/>
      <c r="X526" s="501"/>
      <c r="Y526" s="501"/>
      <c r="Z526" s="501"/>
      <c r="AA526" s="501"/>
      <c r="AB526" s="501"/>
      <c r="AC526" s="501"/>
      <c r="AD526" s="501"/>
      <c r="AE526" s="501"/>
      <c r="AF526" s="501"/>
      <c r="AG526" s="501"/>
      <c r="AH526" s="501"/>
      <c r="AI526" s="501"/>
      <c r="AJ526" s="501"/>
      <c r="AK526" s="501"/>
      <c r="AL526" s="501"/>
      <c r="AM526" s="501"/>
      <c r="AN526" s="501"/>
      <c r="AO526" s="501"/>
      <c r="AP526" s="501"/>
      <c r="AQ526" s="501"/>
      <c r="AR526" s="501"/>
      <c r="AS526" s="501"/>
      <c r="AT526" s="501"/>
      <c r="AU526" s="501"/>
      <c r="AV526" s="501"/>
      <c r="AW526" s="501"/>
      <c r="AX526" s="501"/>
      <c r="AY526" s="501"/>
      <c r="AZ526" s="501"/>
      <c r="BA526" s="501"/>
      <c r="BB526" s="501"/>
      <c r="BC526" s="501"/>
      <c r="BD526" s="501"/>
      <c r="BE526" s="501"/>
      <c r="BF526" s="501"/>
      <c r="BG526" s="501"/>
      <c r="BH526" s="501"/>
      <c r="BI526" s="501"/>
      <c r="BJ526" s="501"/>
      <c r="BK526" s="501"/>
      <c r="BL526" s="501"/>
      <c r="BM526" s="501"/>
      <c r="BN526" s="501"/>
      <c r="BO526" s="501"/>
      <c r="BP526" s="501"/>
      <c r="BQ526" s="501"/>
      <c r="BR526" s="501"/>
      <c r="BS526" s="501"/>
      <c r="BT526" s="501"/>
      <c r="BU526" s="501"/>
      <c r="BV526" s="501"/>
      <c r="BW526" s="501"/>
      <c r="BX526" s="501"/>
      <c r="BY526" s="501"/>
      <c r="BZ526" s="501"/>
      <c r="CA526" s="501"/>
      <c r="CB526" s="501"/>
      <c r="CC526" s="501"/>
      <c r="CD526" s="501"/>
      <c r="CE526" s="501"/>
      <c r="CF526" s="501"/>
      <c r="CG526" s="501"/>
      <c r="CH526" s="501"/>
      <c r="CI526" s="501"/>
      <c r="CJ526" s="501"/>
      <c r="CK526" s="501"/>
      <c r="CL526" s="501"/>
      <c r="CM526" s="501"/>
      <c r="CN526" s="501"/>
      <c r="CO526" s="501"/>
      <c r="CP526" s="501"/>
      <c r="CQ526" s="501"/>
      <c r="CR526" s="501"/>
      <c r="CS526" s="501"/>
      <c r="CT526" s="501"/>
    </row>
    <row r="527">
      <c r="A527" s="569"/>
      <c r="B527" s="569"/>
      <c r="C527" s="569"/>
      <c r="D527" s="498"/>
      <c r="E527" s="499"/>
      <c r="F527" s="499"/>
      <c r="G527" s="766"/>
      <c r="H527" s="766"/>
      <c r="I527" s="766"/>
      <c r="J527" s="766"/>
      <c r="K527" s="683"/>
      <c r="L527" s="683"/>
      <c r="M527" s="683"/>
      <c r="N527" s="683"/>
      <c r="O527" s="683"/>
      <c r="P527" s="683"/>
      <c r="Q527" s="683"/>
      <c r="R527" s="683"/>
      <c r="S527" s="683"/>
      <c r="T527" s="501"/>
      <c r="U527" s="501"/>
      <c r="V527" s="501"/>
      <c r="W527" s="501"/>
      <c r="X527" s="501"/>
      <c r="Y527" s="501"/>
      <c r="Z527" s="501"/>
      <c r="AA527" s="501"/>
      <c r="AB527" s="501"/>
      <c r="AC527" s="501"/>
      <c r="AD527" s="501"/>
      <c r="AE527" s="501"/>
      <c r="AF527" s="501"/>
      <c r="AG527" s="501"/>
      <c r="AH527" s="501"/>
      <c r="AI527" s="501"/>
      <c r="AJ527" s="501"/>
      <c r="AK527" s="501"/>
      <c r="AL527" s="501"/>
      <c r="AM527" s="501"/>
      <c r="AN527" s="501"/>
      <c r="AO527" s="501"/>
      <c r="AP527" s="501"/>
      <c r="AQ527" s="501"/>
      <c r="AR527" s="501"/>
      <c r="AS527" s="501"/>
      <c r="AT527" s="501"/>
      <c r="AU527" s="501"/>
      <c r="AV527" s="501"/>
      <c r="AW527" s="501"/>
      <c r="AX527" s="501"/>
      <c r="AY527" s="501"/>
      <c r="AZ527" s="501"/>
      <c r="BA527" s="501"/>
      <c r="BB527" s="501"/>
      <c r="BC527" s="501"/>
      <c r="BD527" s="501"/>
      <c r="BE527" s="501"/>
      <c r="BF527" s="501"/>
      <c r="BG527" s="501"/>
      <c r="BH527" s="501"/>
      <c r="BI527" s="501"/>
      <c r="BJ527" s="501"/>
      <c r="BK527" s="501"/>
      <c r="BL527" s="501"/>
      <c r="BM527" s="501"/>
      <c r="BN527" s="501"/>
      <c r="BO527" s="501"/>
      <c r="BP527" s="501"/>
      <c r="BQ527" s="501"/>
      <c r="BR527" s="501"/>
      <c r="BS527" s="501"/>
      <c r="BT527" s="501"/>
      <c r="BU527" s="501"/>
      <c r="BV527" s="501"/>
      <c r="BW527" s="501"/>
      <c r="BX527" s="501"/>
      <c r="BY527" s="501"/>
      <c r="BZ527" s="501"/>
      <c r="CA527" s="501"/>
      <c r="CB527" s="501"/>
      <c r="CC527" s="501"/>
      <c r="CD527" s="501"/>
      <c r="CE527" s="501"/>
      <c r="CF527" s="501"/>
      <c r="CG527" s="501"/>
      <c r="CH527" s="501"/>
      <c r="CI527" s="501"/>
      <c r="CJ527" s="501"/>
      <c r="CK527" s="501"/>
      <c r="CL527" s="501"/>
      <c r="CM527" s="501"/>
      <c r="CN527" s="501"/>
      <c r="CO527" s="501"/>
      <c r="CP527" s="501"/>
      <c r="CQ527" s="501"/>
      <c r="CR527" s="501"/>
      <c r="CS527" s="501"/>
      <c r="CT527" s="501"/>
    </row>
    <row r="528">
      <c r="A528" s="569"/>
      <c r="B528" s="569"/>
      <c r="C528" s="569"/>
      <c r="D528" s="498"/>
      <c r="E528" s="499"/>
      <c r="F528" s="499"/>
      <c r="G528" s="766"/>
      <c r="H528" s="766"/>
      <c r="I528" s="766"/>
      <c r="J528" s="766"/>
      <c r="K528" s="683"/>
      <c r="L528" s="683"/>
      <c r="M528" s="683"/>
      <c r="N528" s="683"/>
      <c r="O528" s="683"/>
      <c r="P528" s="683"/>
      <c r="Q528" s="683"/>
      <c r="R528" s="683"/>
      <c r="S528" s="683"/>
      <c r="T528" s="501"/>
      <c r="U528" s="501"/>
      <c r="V528" s="501"/>
      <c r="W528" s="501"/>
      <c r="X528" s="501"/>
      <c r="Y528" s="501"/>
      <c r="Z528" s="501"/>
      <c r="AA528" s="501"/>
      <c r="AB528" s="501"/>
      <c r="AC528" s="501"/>
      <c r="AD528" s="501"/>
      <c r="AE528" s="501"/>
      <c r="AF528" s="501"/>
      <c r="AG528" s="501"/>
      <c r="AH528" s="501"/>
      <c r="AI528" s="501"/>
      <c r="AJ528" s="501"/>
      <c r="AK528" s="501"/>
      <c r="AL528" s="501"/>
      <c r="AM528" s="501"/>
      <c r="AN528" s="501"/>
      <c r="AO528" s="501"/>
      <c r="AP528" s="501"/>
      <c r="AQ528" s="501"/>
      <c r="AR528" s="501"/>
      <c r="AS528" s="501"/>
      <c r="AT528" s="501"/>
      <c r="AU528" s="501"/>
      <c r="AV528" s="501"/>
      <c r="AW528" s="501"/>
      <c r="AX528" s="501"/>
      <c r="AY528" s="501"/>
      <c r="AZ528" s="501"/>
      <c r="BA528" s="501"/>
      <c r="BB528" s="501"/>
      <c r="BC528" s="501"/>
      <c r="BD528" s="501"/>
      <c r="BE528" s="501"/>
      <c r="BF528" s="501"/>
      <c r="BG528" s="501"/>
      <c r="BH528" s="501"/>
      <c r="BI528" s="501"/>
      <c r="BJ528" s="501"/>
      <c r="BK528" s="501"/>
      <c r="BL528" s="501"/>
      <c r="BM528" s="501"/>
      <c r="BN528" s="501"/>
      <c r="BO528" s="501"/>
      <c r="BP528" s="501"/>
      <c r="BQ528" s="501"/>
      <c r="BR528" s="501"/>
      <c r="BS528" s="501"/>
      <c r="BT528" s="501"/>
      <c r="BU528" s="501"/>
      <c r="BV528" s="501"/>
      <c r="BW528" s="501"/>
      <c r="BX528" s="501"/>
      <c r="BY528" s="501"/>
      <c r="BZ528" s="501"/>
      <c r="CA528" s="501"/>
      <c r="CB528" s="501"/>
      <c r="CC528" s="501"/>
      <c r="CD528" s="501"/>
      <c r="CE528" s="501"/>
      <c r="CF528" s="501"/>
      <c r="CG528" s="501"/>
      <c r="CH528" s="501"/>
      <c r="CI528" s="501"/>
      <c r="CJ528" s="501"/>
      <c r="CK528" s="501"/>
      <c r="CL528" s="501"/>
      <c r="CM528" s="501"/>
      <c r="CN528" s="501"/>
      <c r="CO528" s="501"/>
      <c r="CP528" s="501"/>
      <c r="CQ528" s="501"/>
      <c r="CR528" s="501"/>
      <c r="CS528" s="501"/>
      <c r="CT528" s="501"/>
    </row>
    <row r="529">
      <c r="A529" s="569"/>
      <c r="B529" s="569"/>
      <c r="C529" s="569"/>
      <c r="D529" s="498"/>
      <c r="E529" s="499"/>
      <c r="F529" s="499"/>
      <c r="G529" s="766"/>
      <c r="H529" s="766"/>
      <c r="I529" s="766"/>
      <c r="J529" s="766"/>
      <c r="K529" s="683"/>
      <c r="L529" s="683"/>
      <c r="M529" s="683"/>
      <c r="N529" s="683"/>
      <c r="O529" s="683"/>
      <c r="P529" s="683"/>
      <c r="Q529" s="683"/>
      <c r="R529" s="683"/>
      <c r="S529" s="683"/>
      <c r="T529" s="501"/>
      <c r="U529" s="501"/>
      <c r="V529" s="501"/>
      <c r="W529" s="501"/>
      <c r="X529" s="501"/>
      <c r="Y529" s="501"/>
      <c r="Z529" s="501"/>
      <c r="AA529" s="501"/>
      <c r="AB529" s="501"/>
      <c r="AC529" s="501"/>
      <c r="AD529" s="501"/>
      <c r="AE529" s="501"/>
      <c r="AF529" s="501"/>
      <c r="AG529" s="501"/>
      <c r="AH529" s="501"/>
      <c r="AI529" s="501"/>
      <c r="AJ529" s="501"/>
      <c r="AK529" s="501"/>
      <c r="AL529" s="501"/>
      <c r="AM529" s="501"/>
      <c r="AN529" s="501"/>
      <c r="AO529" s="501"/>
      <c r="AP529" s="501"/>
      <c r="AQ529" s="501"/>
      <c r="AR529" s="501"/>
      <c r="AS529" s="501"/>
      <c r="AT529" s="501"/>
      <c r="AU529" s="501"/>
      <c r="AV529" s="501"/>
      <c r="AW529" s="501"/>
      <c r="AX529" s="501"/>
      <c r="AY529" s="501"/>
      <c r="AZ529" s="501"/>
      <c r="BA529" s="501"/>
      <c r="BB529" s="501"/>
      <c r="BC529" s="501"/>
      <c r="BD529" s="501"/>
      <c r="BE529" s="501"/>
      <c r="BF529" s="501"/>
      <c r="BG529" s="501"/>
      <c r="BH529" s="501"/>
      <c r="BI529" s="501"/>
      <c r="BJ529" s="501"/>
      <c r="BK529" s="501"/>
      <c r="BL529" s="501"/>
      <c r="BM529" s="501"/>
      <c r="BN529" s="501"/>
      <c r="BO529" s="501"/>
      <c r="BP529" s="501"/>
      <c r="BQ529" s="501"/>
      <c r="BR529" s="501"/>
      <c r="BS529" s="501"/>
      <c r="BT529" s="501"/>
      <c r="BU529" s="501"/>
      <c r="BV529" s="501"/>
      <c r="BW529" s="501"/>
      <c r="BX529" s="501"/>
      <c r="BY529" s="501"/>
      <c r="BZ529" s="501"/>
      <c r="CA529" s="501"/>
      <c r="CB529" s="501"/>
      <c r="CC529" s="501"/>
      <c r="CD529" s="501"/>
      <c r="CE529" s="501"/>
      <c r="CF529" s="501"/>
      <c r="CG529" s="501"/>
      <c r="CH529" s="501"/>
      <c r="CI529" s="501"/>
      <c r="CJ529" s="501"/>
      <c r="CK529" s="501"/>
      <c r="CL529" s="501"/>
      <c r="CM529" s="501"/>
      <c r="CN529" s="501"/>
      <c r="CO529" s="501"/>
      <c r="CP529" s="501"/>
      <c r="CQ529" s="501"/>
      <c r="CR529" s="501"/>
      <c r="CS529" s="501"/>
      <c r="CT529" s="501"/>
    </row>
    <row r="530">
      <c r="A530" s="569"/>
      <c r="B530" s="569"/>
      <c r="C530" s="569"/>
      <c r="D530" s="498"/>
      <c r="E530" s="499"/>
      <c r="F530" s="499"/>
      <c r="G530" s="766"/>
      <c r="H530" s="766"/>
      <c r="I530" s="766"/>
      <c r="J530" s="766"/>
      <c r="K530" s="683"/>
      <c r="L530" s="683"/>
      <c r="M530" s="683"/>
      <c r="N530" s="683"/>
      <c r="O530" s="683"/>
      <c r="P530" s="683"/>
      <c r="Q530" s="683"/>
      <c r="R530" s="683"/>
      <c r="S530" s="683"/>
      <c r="T530" s="501"/>
      <c r="U530" s="501"/>
      <c r="V530" s="501"/>
      <c r="W530" s="501"/>
      <c r="X530" s="501"/>
      <c r="Y530" s="501"/>
      <c r="Z530" s="501"/>
      <c r="AA530" s="501"/>
      <c r="AB530" s="501"/>
      <c r="AC530" s="501"/>
      <c r="AD530" s="501"/>
      <c r="AE530" s="501"/>
      <c r="AF530" s="501"/>
      <c r="AG530" s="501"/>
      <c r="AH530" s="501"/>
      <c r="AI530" s="501"/>
      <c r="AJ530" s="501"/>
      <c r="AK530" s="501"/>
      <c r="AL530" s="501"/>
      <c r="AM530" s="501"/>
      <c r="AN530" s="501"/>
      <c r="AO530" s="501"/>
      <c r="AP530" s="501"/>
      <c r="AQ530" s="501"/>
      <c r="AR530" s="501"/>
      <c r="AS530" s="501"/>
      <c r="AT530" s="501"/>
      <c r="AU530" s="501"/>
      <c r="AV530" s="501"/>
      <c r="AW530" s="501"/>
      <c r="AX530" s="501"/>
      <c r="AY530" s="501"/>
      <c r="AZ530" s="501"/>
      <c r="BA530" s="501"/>
      <c r="BB530" s="501"/>
      <c r="BC530" s="501"/>
      <c r="BD530" s="501"/>
      <c r="BE530" s="501"/>
      <c r="BF530" s="501"/>
      <c r="BG530" s="501"/>
      <c r="BH530" s="501"/>
      <c r="BI530" s="501"/>
      <c r="BJ530" s="501"/>
      <c r="BK530" s="501"/>
      <c r="BL530" s="501"/>
      <c r="BM530" s="501"/>
      <c r="BN530" s="501"/>
      <c r="BO530" s="501"/>
      <c r="BP530" s="501"/>
      <c r="BQ530" s="501"/>
      <c r="BR530" s="501"/>
      <c r="BS530" s="501"/>
      <c r="BT530" s="501"/>
      <c r="BU530" s="501"/>
      <c r="BV530" s="501"/>
      <c r="BW530" s="501"/>
      <c r="BX530" s="501"/>
      <c r="BY530" s="501"/>
      <c r="BZ530" s="501"/>
      <c r="CA530" s="501"/>
      <c r="CB530" s="501"/>
      <c r="CC530" s="501"/>
      <c r="CD530" s="501"/>
      <c r="CE530" s="501"/>
      <c r="CF530" s="501"/>
      <c r="CG530" s="501"/>
      <c r="CH530" s="501"/>
      <c r="CI530" s="501"/>
      <c r="CJ530" s="501"/>
      <c r="CK530" s="501"/>
      <c r="CL530" s="501"/>
      <c r="CM530" s="501"/>
      <c r="CN530" s="501"/>
      <c r="CO530" s="501"/>
      <c r="CP530" s="501"/>
      <c r="CQ530" s="501"/>
      <c r="CR530" s="501"/>
      <c r="CS530" s="501"/>
      <c r="CT530" s="501"/>
    </row>
    <row r="531">
      <c r="A531" s="569"/>
      <c r="B531" s="569"/>
      <c r="C531" s="569"/>
      <c r="D531" s="498"/>
      <c r="E531" s="499"/>
      <c r="F531" s="499"/>
      <c r="G531" s="766"/>
      <c r="H531" s="766"/>
      <c r="I531" s="766"/>
      <c r="J531" s="766"/>
      <c r="K531" s="683"/>
      <c r="L531" s="683"/>
      <c r="M531" s="683"/>
      <c r="N531" s="683"/>
      <c r="O531" s="683"/>
      <c r="P531" s="683"/>
      <c r="Q531" s="683"/>
      <c r="R531" s="683"/>
      <c r="S531" s="683"/>
      <c r="T531" s="501"/>
      <c r="U531" s="501"/>
      <c r="V531" s="501"/>
      <c r="W531" s="501"/>
      <c r="X531" s="501"/>
      <c r="Y531" s="501"/>
      <c r="Z531" s="501"/>
      <c r="AA531" s="501"/>
      <c r="AB531" s="501"/>
      <c r="AC531" s="501"/>
      <c r="AD531" s="501"/>
      <c r="AE531" s="501"/>
      <c r="AF531" s="501"/>
      <c r="AG531" s="501"/>
      <c r="AH531" s="501"/>
      <c r="AI531" s="501"/>
      <c r="AJ531" s="501"/>
      <c r="AK531" s="501"/>
      <c r="AL531" s="501"/>
      <c r="AM531" s="501"/>
      <c r="AN531" s="501"/>
      <c r="AO531" s="501"/>
      <c r="AP531" s="501"/>
      <c r="AQ531" s="501"/>
      <c r="AR531" s="501"/>
      <c r="AS531" s="501"/>
      <c r="AT531" s="501"/>
      <c r="AU531" s="501"/>
      <c r="AV531" s="501"/>
      <c r="AW531" s="501"/>
      <c r="AX531" s="501"/>
      <c r="AY531" s="501"/>
      <c r="AZ531" s="501"/>
      <c r="BA531" s="501"/>
      <c r="BB531" s="501"/>
      <c r="BC531" s="501"/>
      <c r="BD531" s="501"/>
      <c r="BE531" s="501"/>
      <c r="BF531" s="501"/>
      <c r="BG531" s="501"/>
      <c r="BH531" s="501"/>
      <c r="BI531" s="501"/>
      <c r="BJ531" s="501"/>
      <c r="BK531" s="501"/>
      <c r="BL531" s="501"/>
      <c r="BM531" s="501"/>
      <c r="BN531" s="501"/>
      <c r="BO531" s="501"/>
      <c r="BP531" s="501"/>
      <c r="BQ531" s="501"/>
      <c r="BR531" s="501"/>
      <c r="BS531" s="501"/>
      <c r="BT531" s="501"/>
      <c r="BU531" s="501"/>
      <c r="BV531" s="501"/>
      <c r="BW531" s="501"/>
      <c r="BX531" s="501"/>
      <c r="BY531" s="501"/>
      <c r="BZ531" s="501"/>
      <c r="CA531" s="501"/>
      <c r="CB531" s="501"/>
      <c r="CC531" s="501"/>
      <c r="CD531" s="501"/>
      <c r="CE531" s="501"/>
      <c r="CF531" s="501"/>
      <c r="CG531" s="501"/>
      <c r="CH531" s="501"/>
      <c r="CI531" s="501"/>
      <c r="CJ531" s="501"/>
      <c r="CK531" s="501"/>
      <c r="CL531" s="501"/>
      <c r="CM531" s="501"/>
      <c r="CN531" s="501"/>
      <c r="CO531" s="501"/>
      <c r="CP531" s="501"/>
      <c r="CQ531" s="501"/>
      <c r="CR531" s="501"/>
      <c r="CS531" s="501"/>
      <c r="CT531" s="501"/>
    </row>
    <row r="532">
      <c r="A532" s="569"/>
      <c r="B532" s="569"/>
      <c r="C532" s="569"/>
      <c r="D532" s="498"/>
      <c r="E532" s="499"/>
      <c r="F532" s="499"/>
      <c r="G532" s="766"/>
      <c r="H532" s="766"/>
      <c r="I532" s="766"/>
      <c r="J532" s="766"/>
      <c r="K532" s="683"/>
      <c r="L532" s="683"/>
      <c r="M532" s="683"/>
      <c r="N532" s="683"/>
      <c r="O532" s="683"/>
      <c r="P532" s="683"/>
      <c r="Q532" s="683"/>
      <c r="R532" s="683"/>
      <c r="S532" s="683"/>
      <c r="T532" s="501"/>
      <c r="U532" s="501"/>
      <c r="V532" s="501"/>
      <c r="W532" s="501"/>
      <c r="X532" s="501"/>
      <c r="Y532" s="501"/>
      <c r="Z532" s="501"/>
      <c r="AA532" s="501"/>
      <c r="AB532" s="501"/>
      <c r="AC532" s="501"/>
      <c r="AD532" s="501"/>
      <c r="AE532" s="501"/>
      <c r="AF532" s="501"/>
      <c r="AG532" s="501"/>
      <c r="AH532" s="501"/>
      <c r="AI532" s="501"/>
      <c r="AJ532" s="501"/>
      <c r="AK532" s="501"/>
      <c r="AL532" s="501"/>
      <c r="AM532" s="501"/>
      <c r="AN532" s="501"/>
      <c r="AO532" s="501"/>
      <c r="AP532" s="501"/>
      <c r="AQ532" s="501"/>
      <c r="AR532" s="501"/>
      <c r="AS532" s="501"/>
      <c r="AT532" s="501"/>
      <c r="AU532" s="501"/>
      <c r="AV532" s="501"/>
      <c r="AW532" s="501"/>
      <c r="AX532" s="501"/>
      <c r="AY532" s="501"/>
      <c r="AZ532" s="501"/>
      <c r="BA532" s="501"/>
      <c r="BB532" s="501"/>
      <c r="BC532" s="501"/>
      <c r="BD532" s="501"/>
      <c r="BE532" s="501"/>
      <c r="BF532" s="501"/>
      <c r="BG532" s="501"/>
      <c r="BH532" s="501"/>
      <c r="BI532" s="501"/>
      <c r="BJ532" s="501"/>
      <c r="BK532" s="501"/>
      <c r="BL532" s="501"/>
      <c r="BM532" s="501"/>
      <c r="BN532" s="501"/>
      <c r="BO532" s="501"/>
      <c r="BP532" s="501"/>
      <c r="BQ532" s="501"/>
      <c r="BR532" s="501"/>
      <c r="BS532" s="501"/>
      <c r="BT532" s="501"/>
      <c r="BU532" s="501"/>
      <c r="BV532" s="501"/>
      <c r="BW532" s="501"/>
      <c r="BX532" s="501"/>
      <c r="BY532" s="501"/>
      <c r="BZ532" s="501"/>
      <c r="CA532" s="501"/>
      <c r="CB532" s="501"/>
      <c r="CC532" s="501"/>
      <c r="CD532" s="501"/>
      <c r="CE532" s="501"/>
      <c r="CF532" s="501"/>
      <c r="CG532" s="501"/>
      <c r="CH532" s="501"/>
      <c r="CI532" s="501"/>
      <c r="CJ532" s="501"/>
      <c r="CK532" s="501"/>
      <c r="CL532" s="501"/>
      <c r="CM532" s="501"/>
      <c r="CN532" s="501"/>
      <c r="CO532" s="501"/>
      <c r="CP532" s="501"/>
      <c r="CQ532" s="501"/>
      <c r="CR532" s="501"/>
      <c r="CS532" s="501"/>
      <c r="CT532" s="501"/>
    </row>
    <row r="533">
      <c r="A533" s="569"/>
      <c r="B533" s="569"/>
      <c r="C533" s="569"/>
      <c r="D533" s="498"/>
      <c r="E533" s="499"/>
      <c r="F533" s="499"/>
      <c r="G533" s="766"/>
      <c r="H533" s="766"/>
      <c r="I533" s="766"/>
      <c r="J533" s="766"/>
      <c r="K533" s="683"/>
      <c r="L533" s="683"/>
      <c r="M533" s="683"/>
      <c r="N533" s="683"/>
      <c r="O533" s="683"/>
      <c r="P533" s="683"/>
      <c r="Q533" s="683"/>
      <c r="R533" s="683"/>
      <c r="S533" s="683"/>
      <c r="T533" s="501"/>
      <c r="U533" s="501"/>
      <c r="V533" s="501"/>
      <c r="W533" s="501"/>
      <c r="X533" s="501"/>
      <c r="Y533" s="501"/>
      <c r="Z533" s="501"/>
      <c r="AA533" s="501"/>
      <c r="AB533" s="501"/>
      <c r="AC533" s="501"/>
      <c r="AD533" s="501"/>
      <c r="AE533" s="501"/>
      <c r="AF533" s="501"/>
      <c r="AG533" s="501"/>
      <c r="AH533" s="501"/>
      <c r="AI533" s="501"/>
      <c r="AJ533" s="501"/>
      <c r="AK533" s="501"/>
      <c r="AL533" s="501"/>
      <c r="AM533" s="501"/>
      <c r="AN533" s="501"/>
      <c r="AO533" s="501"/>
      <c r="AP533" s="501"/>
      <c r="AQ533" s="501"/>
      <c r="AR533" s="501"/>
      <c r="AS533" s="501"/>
      <c r="AT533" s="501"/>
      <c r="AU533" s="501"/>
      <c r="AV533" s="501"/>
      <c r="AW533" s="501"/>
      <c r="AX533" s="501"/>
      <c r="AY533" s="501"/>
      <c r="AZ533" s="501"/>
      <c r="BA533" s="501"/>
      <c r="BB533" s="501"/>
      <c r="BC533" s="501"/>
      <c r="BD533" s="501"/>
      <c r="BE533" s="501"/>
      <c r="BF533" s="501"/>
      <c r="BG533" s="501"/>
      <c r="BH533" s="501"/>
      <c r="BI533" s="501"/>
      <c r="BJ533" s="501"/>
      <c r="BK533" s="501"/>
      <c r="BL533" s="501"/>
      <c r="BM533" s="501"/>
      <c r="BN533" s="501"/>
      <c r="BO533" s="501"/>
      <c r="BP533" s="501"/>
      <c r="BQ533" s="501"/>
      <c r="BR533" s="501"/>
      <c r="BS533" s="501"/>
      <c r="BT533" s="501"/>
      <c r="BU533" s="501"/>
      <c r="BV533" s="501"/>
      <c r="BW533" s="501"/>
      <c r="BX533" s="501"/>
      <c r="BY533" s="501"/>
      <c r="BZ533" s="501"/>
      <c r="CA533" s="501"/>
      <c r="CB533" s="501"/>
      <c r="CC533" s="501"/>
      <c r="CD533" s="501"/>
      <c r="CE533" s="501"/>
      <c r="CF533" s="501"/>
      <c r="CG533" s="501"/>
      <c r="CH533" s="501"/>
      <c r="CI533" s="501"/>
      <c r="CJ533" s="501"/>
      <c r="CK533" s="501"/>
      <c r="CL533" s="501"/>
      <c r="CM533" s="501"/>
      <c r="CN533" s="501"/>
      <c r="CO533" s="501"/>
      <c r="CP533" s="501"/>
      <c r="CQ533" s="501"/>
      <c r="CR533" s="501"/>
      <c r="CS533" s="501"/>
      <c r="CT533" s="501"/>
    </row>
    <row r="534">
      <c r="A534" s="569"/>
      <c r="B534" s="569"/>
      <c r="C534" s="569"/>
      <c r="D534" s="498"/>
      <c r="E534" s="499"/>
      <c r="F534" s="499"/>
      <c r="G534" s="766"/>
      <c r="H534" s="766"/>
      <c r="I534" s="766"/>
      <c r="J534" s="766"/>
      <c r="K534" s="683"/>
      <c r="L534" s="683"/>
      <c r="M534" s="683"/>
      <c r="N534" s="683"/>
      <c r="O534" s="683"/>
      <c r="P534" s="683"/>
      <c r="Q534" s="683"/>
      <c r="R534" s="683"/>
      <c r="S534" s="683"/>
      <c r="T534" s="501"/>
      <c r="U534" s="501"/>
      <c r="V534" s="501"/>
      <c r="W534" s="501"/>
      <c r="X534" s="501"/>
      <c r="Y534" s="501"/>
      <c r="Z534" s="501"/>
      <c r="AA534" s="501"/>
      <c r="AB534" s="501"/>
      <c r="AC534" s="501"/>
      <c r="AD534" s="501"/>
      <c r="AE534" s="501"/>
      <c r="AF534" s="501"/>
      <c r="AG534" s="501"/>
      <c r="AH534" s="501"/>
      <c r="AI534" s="501"/>
      <c r="AJ534" s="501"/>
      <c r="AK534" s="501"/>
      <c r="AL534" s="501"/>
      <c r="AM534" s="501"/>
      <c r="AN534" s="501"/>
      <c r="AO534" s="501"/>
      <c r="AP534" s="501"/>
      <c r="AQ534" s="501"/>
      <c r="AR534" s="501"/>
      <c r="AS534" s="501"/>
      <c r="AT534" s="501"/>
      <c r="AU534" s="501"/>
      <c r="AV534" s="501"/>
      <c r="AW534" s="501"/>
      <c r="AX534" s="501"/>
      <c r="AY534" s="501"/>
      <c r="AZ534" s="501"/>
      <c r="BA534" s="501"/>
      <c r="BB534" s="501"/>
      <c r="BC534" s="501"/>
      <c r="BD534" s="501"/>
      <c r="BE534" s="501"/>
      <c r="BF534" s="501"/>
      <c r="BG534" s="501"/>
      <c r="BH534" s="501"/>
      <c r="BI534" s="501"/>
      <c r="BJ534" s="501"/>
      <c r="BK534" s="501"/>
      <c r="BL534" s="501"/>
      <c r="BM534" s="501"/>
      <c r="BN534" s="501"/>
      <c r="BO534" s="501"/>
      <c r="BP534" s="501"/>
      <c r="BQ534" s="501"/>
      <c r="BR534" s="501"/>
      <c r="BS534" s="501"/>
      <c r="BT534" s="501"/>
      <c r="BU534" s="501"/>
      <c r="BV534" s="501"/>
      <c r="BW534" s="501"/>
      <c r="BX534" s="501"/>
      <c r="BY534" s="501"/>
      <c r="BZ534" s="501"/>
      <c r="CA534" s="501"/>
      <c r="CB534" s="501"/>
      <c r="CC534" s="501"/>
      <c r="CD534" s="501"/>
      <c r="CE534" s="501"/>
      <c r="CF534" s="501"/>
      <c r="CG534" s="501"/>
      <c r="CH534" s="501"/>
      <c r="CI534" s="501"/>
      <c r="CJ534" s="501"/>
      <c r="CK534" s="501"/>
      <c r="CL534" s="501"/>
      <c r="CM534" s="501"/>
      <c r="CN534" s="501"/>
      <c r="CO534" s="501"/>
      <c r="CP534" s="501"/>
      <c r="CQ534" s="501"/>
      <c r="CR534" s="501"/>
      <c r="CS534" s="501"/>
      <c r="CT534" s="501"/>
    </row>
    <row r="535">
      <c r="A535" s="569"/>
      <c r="B535" s="569"/>
      <c r="C535" s="569"/>
      <c r="D535" s="498"/>
      <c r="E535" s="499"/>
      <c r="F535" s="499"/>
      <c r="G535" s="766"/>
      <c r="H535" s="766"/>
      <c r="I535" s="766"/>
      <c r="J535" s="766"/>
      <c r="K535" s="683"/>
      <c r="L535" s="683"/>
      <c r="M535" s="683"/>
      <c r="N535" s="683"/>
      <c r="O535" s="683"/>
      <c r="P535" s="683"/>
      <c r="Q535" s="683"/>
      <c r="R535" s="683"/>
      <c r="S535" s="683"/>
      <c r="T535" s="501"/>
      <c r="U535" s="501"/>
      <c r="V535" s="501"/>
      <c r="W535" s="501"/>
      <c r="X535" s="501"/>
      <c r="Y535" s="501"/>
      <c r="Z535" s="501"/>
      <c r="AA535" s="501"/>
      <c r="AB535" s="501"/>
      <c r="AC535" s="501"/>
      <c r="AD535" s="501"/>
      <c r="AE535" s="501"/>
      <c r="AF535" s="501"/>
      <c r="AG535" s="501"/>
      <c r="AH535" s="501"/>
      <c r="AI535" s="501"/>
      <c r="AJ535" s="501"/>
      <c r="AK535" s="501"/>
      <c r="AL535" s="501"/>
      <c r="AM535" s="501"/>
      <c r="AN535" s="501"/>
      <c r="AO535" s="501"/>
      <c r="AP535" s="501"/>
      <c r="AQ535" s="501"/>
      <c r="AR535" s="501"/>
      <c r="AS535" s="501"/>
      <c r="AT535" s="501"/>
      <c r="AU535" s="501"/>
      <c r="AV535" s="501"/>
      <c r="AW535" s="501"/>
      <c r="AX535" s="501"/>
      <c r="AY535" s="501"/>
      <c r="AZ535" s="501"/>
      <c r="BA535" s="501"/>
      <c r="BB535" s="501"/>
      <c r="BC535" s="501"/>
      <c r="BD535" s="501"/>
      <c r="BE535" s="501"/>
      <c r="BF535" s="501"/>
      <c r="BG535" s="501"/>
      <c r="BH535" s="501"/>
      <c r="BI535" s="501"/>
      <c r="BJ535" s="501"/>
      <c r="BK535" s="501"/>
      <c r="BL535" s="501"/>
      <c r="BM535" s="501"/>
      <c r="BN535" s="501"/>
      <c r="BO535" s="501"/>
      <c r="BP535" s="501"/>
      <c r="BQ535" s="501"/>
      <c r="BR535" s="501"/>
      <c r="BS535" s="501"/>
      <c r="BT535" s="501"/>
      <c r="BU535" s="501"/>
      <c r="BV535" s="501"/>
      <c r="BW535" s="501"/>
      <c r="BX535" s="501"/>
      <c r="BY535" s="501"/>
      <c r="BZ535" s="501"/>
      <c r="CA535" s="501"/>
      <c r="CB535" s="501"/>
      <c r="CC535" s="501"/>
      <c r="CD535" s="501"/>
      <c r="CE535" s="501"/>
      <c r="CF535" s="501"/>
      <c r="CG535" s="501"/>
      <c r="CH535" s="501"/>
      <c r="CI535" s="501"/>
      <c r="CJ535" s="501"/>
      <c r="CK535" s="501"/>
      <c r="CL535" s="501"/>
      <c r="CM535" s="501"/>
      <c r="CN535" s="501"/>
      <c r="CO535" s="501"/>
      <c r="CP535" s="501"/>
      <c r="CQ535" s="501"/>
      <c r="CR535" s="501"/>
      <c r="CS535" s="501"/>
      <c r="CT535" s="501"/>
    </row>
    <row r="536">
      <c r="A536" s="569"/>
      <c r="B536" s="569"/>
      <c r="C536" s="569"/>
      <c r="D536" s="498"/>
      <c r="E536" s="499"/>
      <c r="F536" s="499"/>
      <c r="G536" s="766"/>
      <c r="H536" s="766"/>
      <c r="I536" s="766"/>
      <c r="J536" s="766"/>
      <c r="K536" s="683"/>
      <c r="L536" s="683"/>
      <c r="M536" s="683"/>
      <c r="N536" s="683"/>
      <c r="O536" s="683"/>
      <c r="P536" s="683"/>
      <c r="Q536" s="683"/>
      <c r="R536" s="683"/>
      <c r="S536" s="683"/>
      <c r="T536" s="501"/>
      <c r="U536" s="501"/>
      <c r="V536" s="501"/>
      <c r="W536" s="501"/>
      <c r="X536" s="501"/>
      <c r="Y536" s="501"/>
      <c r="Z536" s="501"/>
      <c r="AA536" s="501"/>
      <c r="AB536" s="501"/>
      <c r="AC536" s="501"/>
      <c r="AD536" s="501"/>
      <c r="AE536" s="501"/>
      <c r="AF536" s="501"/>
      <c r="AG536" s="501"/>
      <c r="AH536" s="501"/>
      <c r="AI536" s="501"/>
      <c r="AJ536" s="501"/>
      <c r="AK536" s="501"/>
      <c r="AL536" s="501"/>
      <c r="AM536" s="501"/>
      <c r="AN536" s="501"/>
      <c r="AO536" s="501"/>
      <c r="AP536" s="501"/>
      <c r="AQ536" s="501"/>
      <c r="AR536" s="501"/>
      <c r="AS536" s="501"/>
      <c r="AT536" s="501"/>
      <c r="AU536" s="501"/>
      <c r="AV536" s="501"/>
      <c r="AW536" s="501"/>
      <c r="AX536" s="501"/>
      <c r="AY536" s="501"/>
      <c r="AZ536" s="501"/>
      <c r="BA536" s="501"/>
      <c r="BB536" s="501"/>
      <c r="BC536" s="501"/>
      <c r="BD536" s="501"/>
      <c r="BE536" s="501"/>
      <c r="BF536" s="501"/>
      <c r="BG536" s="501"/>
      <c r="BH536" s="501"/>
      <c r="BI536" s="501"/>
      <c r="BJ536" s="501"/>
      <c r="BK536" s="501"/>
      <c r="BL536" s="501"/>
      <c r="BM536" s="501"/>
      <c r="BN536" s="501"/>
      <c r="BO536" s="501"/>
      <c r="BP536" s="501"/>
      <c r="BQ536" s="501"/>
      <c r="BR536" s="501"/>
      <c r="BS536" s="501"/>
      <c r="BT536" s="501"/>
      <c r="BU536" s="501"/>
      <c r="BV536" s="501"/>
      <c r="BW536" s="501"/>
      <c r="BX536" s="501"/>
      <c r="BY536" s="501"/>
      <c r="BZ536" s="501"/>
      <c r="CA536" s="501"/>
      <c r="CB536" s="501"/>
      <c r="CC536" s="501"/>
      <c r="CD536" s="501"/>
      <c r="CE536" s="501"/>
      <c r="CF536" s="501"/>
      <c r="CG536" s="501"/>
      <c r="CH536" s="501"/>
      <c r="CI536" s="501"/>
      <c r="CJ536" s="501"/>
      <c r="CK536" s="501"/>
      <c r="CL536" s="501"/>
      <c r="CM536" s="501"/>
      <c r="CN536" s="501"/>
      <c r="CO536" s="501"/>
      <c r="CP536" s="501"/>
      <c r="CQ536" s="501"/>
      <c r="CR536" s="501"/>
      <c r="CS536" s="501"/>
      <c r="CT536" s="501"/>
    </row>
    <row r="537">
      <c r="A537" s="569"/>
      <c r="B537" s="569"/>
      <c r="C537" s="569"/>
      <c r="D537" s="498"/>
      <c r="E537" s="499"/>
      <c r="F537" s="499"/>
      <c r="G537" s="766"/>
      <c r="H537" s="766"/>
      <c r="I537" s="766"/>
      <c r="J537" s="766"/>
      <c r="K537" s="683"/>
      <c r="L537" s="683"/>
      <c r="M537" s="683"/>
      <c r="N537" s="683"/>
      <c r="O537" s="683"/>
      <c r="P537" s="683"/>
      <c r="Q537" s="683"/>
      <c r="R537" s="683"/>
      <c r="S537" s="683"/>
      <c r="T537" s="501"/>
      <c r="U537" s="501"/>
      <c r="V537" s="501"/>
      <c r="W537" s="501"/>
      <c r="X537" s="501"/>
      <c r="Y537" s="501"/>
      <c r="Z537" s="501"/>
      <c r="AA537" s="501"/>
      <c r="AB537" s="501"/>
      <c r="AC537" s="501"/>
      <c r="AD537" s="501"/>
      <c r="AE537" s="501"/>
      <c r="AF537" s="501"/>
      <c r="AG537" s="501"/>
      <c r="AH537" s="501"/>
      <c r="AI537" s="501"/>
      <c r="AJ537" s="501"/>
      <c r="AK537" s="501"/>
      <c r="AL537" s="501"/>
      <c r="AM537" s="501"/>
      <c r="AN537" s="501"/>
      <c r="AO537" s="501"/>
      <c r="AP537" s="501"/>
      <c r="AQ537" s="501"/>
      <c r="AR537" s="501"/>
      <c r="AS537" s="501"/>
      <c r="AT537" s="501"/>
      <c r="AU537" s="501"/>
      <c r="AV537" s="501"/>
      <c r="AW537" s="501"/>
      <c r="AX537" s="501"/>
      <c r="AY537" s="501"/>
      <c r="AZ537" s="501"/>
      <c r="BA537" s="501"/>
      <c r="BB537" s="501"/>
      <c r="BC537" s="501"/>
      <c r="BD537" s="501"/>
      <c r="BE537" s="501"/>
      <c r="BF537" s="501"/>
      <c r="BG537" s="501"/>
      <c r="BH537" s="501"/>
      <c r="BI537" s="501"/>
      <c r="BJ537" s="501"/>
      <c r="BK537" s="501"/>
      <c r="BL537" s="501"/>
      <c r="BM537" s="501"/>
      <c r="BN537" s="501"/>
      <c r="BO537" s="501"/>
      <c r="BP537" s="501"/>
      <c r="BQ537" s="501"/>
      <c r="BR537" s="501"/>
      <c r="BS537" s="501"/>
      <c r="BT537" s="501"/>
      <c r="BU537" s="501"/>
      <c r="BV537" s="501"/>
      <c r="BW537" s="501"/>
      <c r="BX537" s="501"/>
      <c r="BY537" s="501"/>
      <c r="BZ537" s="501"/>
      <c r="CA537" s="501"/>
      <c r="CB537" s="501"/>
      <c r="CC537" s="501"/>
      <c r="CD537" s="501"/>
      <c r="CE537" s="501"/>
      <c r="CF537" s="501"/>
      <c r="CG537" s="501"/>
      <c r="CH537" s="501"/>
      <c r="CI537" s="501"/>
      <c r="CJ537" s="501"/>
      <c r="CK537" s="501"/>
      <c r="CL537" s="501"/>
      <c r="CM537" s="501"/>
      <c r="CN537" s="501"/>
      <c r="CO537" s="501"/>
      <c r="CP537" s="501"/>
      <c r="CQ537" s="501"/>
      <c r="CR537" s="501"/>
      <c r="CS537" s="501"/>
      <c r="CT537" s="501"/>
    </row>
    <row r="538">
      <c r="A538" s="569"/>
      <c r="B538" s="569"/>
      <c r="C538" s="569"/>
      <c r="D538" s="498"/>
      <c r="E538" s="499"/>
      <c r="F538" s="499"/>
      <c r="G538" s="766"/>
      <c r="H538" s="766"/>
      <c r="I538" s="766"/>
      <c r="J538" s="766"/>
      <c r="K538" s="683"/>
      <c r="L538" s="683"/>
      <c r="M538" s="683"/>
      <c r="N538" s="683"/>
      <c r="O538" s="683"/>
      <c r="P538" s="683"/>
      <c r="Q538" s="683"/>
      <c r="R538" s="683"/>
      <c r="S538" s="683"/>
      <c r="T538" s="501"/>
      <c r="U538" s="501"/>
      <c r="V538" s="501"/>
      <c r="W538" s="501"/>
      <c r="X538" s="501"/>
      <c r="Y538" s="501"/>
      <c r="Z538" s="501"/>
      <c r="AA538" s="501"/>
      <c r="AB538" s="501"/>
      <c r="AC538" s="501"/>
      <c r="AD538" s="501"/>
      <c r="AE538" s="501"/>
      <c r="AF538" s="501"/>
      <c r="AG538" s="501"/>
      <c r="AH538" s="501"/>
      <c r="AI538" s="501"/>
      <c r="AJ538" s="501"/>
      <c r="AK538" s="501"/>
      <c r="AL538" s="501"/>
      <c r="AM538" s="501"/>
      <c r="AN538" s="501"/>
      <c r="AO538" s="501"/>
      <c r="AP538" s="501"/>
      <c r="AQ538" s="501"/>
      <c r="AR538" s="501"/>
      <c r="AS538" s="501"/>
      <c r="AT538" s="501"/>
      <c r="AU538" s="501"/>
      <c r="AV538" s="501"/>
      <c r="AW538" s="501"/>
      <c r="AX538" s="501"/>
      <c r="AY538" s="501"/>
      <c r="AZ538" s="501"/>
      <c r="BA538" s="501"/>
      <c r="BB538" s="501"/>
      <c r="BC538" s="501"/>
      <c r="BD538" s="501"/>
      <c r="BE538" s="501"/>
      <c r="BF538" s="501"/>
      <c r="BG538" s="501"/>
      <c r="BH538" s="501"/>
      <c r="BI538" s="501"/>
      <c r="BJ538" s="501"/>
      <c r="BK538" s="501"/>
      <c r="BL538" s="501"/>
      <c r="BM538" s="501"/>
      <c r="BN538" s="501"/>
      <c r="BO538" s="501"/>
      <c r="BP538" s="501"/>
      <c r="BQ538" s="501"/>
      <c r="BR538" s="501"/>
      <c r="BS538" s="501"/>
      <c r="BT538" s="501"/>
      <c r="BU538" s="501"/>
      <c r="BV538" s="501"/>
      <c r="BW538" s="501"/>
      <c r="BX538" s="501"/>
      <c r="BY538" s="501"/>
      <c r="BZ538" s="501"/>
      <c r="CA538" s="501"/>
      <c r="CB538" s="501"/>
      <c r="CC538" s="501"/>
      <c r="CD538" s="501"/>
      <c r="CE538" s="501"/>
      <c r="CF538" s="501"/>
      <c r="CG538" s="501"/>
      <c r="CH538" s="501"/>
      <c r="CI538" s="501"/>
      <c r="CJ538" s="501"/>
      <c r="CK538" s="501"/>
      <c r="CL538" s="501"/>
      <c r="CM538" s="501"/>
      <c r="CN538" s="501"/>
      <c r="CO538" s="501"/>
      <c r="CP538" s="501"/>
      <c r="CQ538" s="501"/>
      <c r="CR538" s="501"/>
      <c r="CS538" s="501"/>
      <c r="CT538" s="501"/>
    </row>
    <row r="539">
      <c r="A539" s="569"/>
      <c r="B539" s="569"/>
      <c r="C539" s="569"/>
      <c r="D539" s="498"/>
      <c r="E539" s="499"/>
      <c r="F539" s="499"/>
      <c r="G539" s="766"/>
      <c r="H539" s="766"/>
      <c r="I539" s="766"/>
      <c r="J539" s="766"/>
      <c r="K539" s="683"/>
      <c r="L539" s="683"/>
      <c r="M539" s="683"/>
      <c r="N539" s="683"/>
      <c r="O539" s="683"/>
      <c r="P539" s="683"/>
      <c r="Q539" s="683"/>
      <c r="R539" s="683"/>
      <c r="S539" s="683"/>
      <c r="T539" s="501"/>
      <c r="U539" s="501"/>
      <c r="V539" s="501"/>
      <c r="W539" s="501"/>
      <c r="X539" s="501"/>
      <c r="Y539" s="501"/>
      <c r="Z539" s="501"/>
      <c r="AA539" s="501"/>
      <c r="AB539" s="501"/>
      <c r="AC539" s="501"/>
      <c r="AD539" s="501"/>
      <c r="AE539" s="501"/>
      <c r="AF539" s="501"/>
      <c r="AG539" s="501"/>
      <c r="AH539" s="501"/>
      <c r="AI539" s="501"/>
      <c r="AJ539" s="501"/>
      <c r="AK539" s="501"/>
      <c r="AL539" s="501"/>
      <c r="AM539" s="501"/>
      <c r="AN539" s="501"/>
      <c r="AO539" s="501"/>
      <c r="AP539" s="501"/>
      <c r="AQ539" s="501"/>
      <c r="AR539" s="501"/>
      <c r="AS539" s="501"/>
      <c r="AT539" s="501"/>
      <c r="AU539" s="501"/>
      <c r="AV539" s="501"/>
      <c r="AW539" s="501"/>
      <c r="AX539" s="501"/>
      <c r="AY539" s="501"/>
      <c r="AZ539" s="501"/>
      <c r="BA539" s="501"/>
      <c r="BB539" s="501"/>
      <c r="BC539" s="501"/>
      <c r="BD539" s="501"/>
      <c r="BE539" s="501"/>
      <c r="BF539" s="501"/>
      <c r="BG539" s="501"/>
      <c r="BH539" s="501"/>
      <c r="BI539" s="501"/>
      <c r="BJ539" s="501"/>
      <c r="BK539" s="501"/>
      <c r="BL539" s="501"/>
      <c r="BM539" s="501"/>
      <c r="BN539" s="501"/>
      <c r="BO539" s="501"/>
      <c r="BP539" s="501"/>
      <c r="BQ539" s="501"/>
      <c r="BR539" s="501"/>
      <c r="BS539" s="501"/>
      <c r="BT539" s="501"/>
      <c r="BU539" s="501"/>
      <c r="BV539" s="501"/>
      <c r="BW539" s="501"/>
      <c r="BX539" s="501"/>
      <c r="BY539" s="501"/>
      <c r="BZ539" s="501"/>
      <c r="CA539" s="501"/>
      <c r="CB539" s="501"/>
      <c r="CC539" s="501"/>
      <c r="CD539" s="501"/>
      <c r="CE539" s="501"/>
      <c r="CF539" s="501"/>
      <c r="CG539" s="501"/>
      <c r="CH539" s="501"/>
      <c r="CI539" s="501"/>
      <c r="CJ539" s="501"/>
      <c r="CK539" s="501"/>
      <c r="CL539" s="501"/>
      <c r="CM539" s="501"/>
      <c r="CN539" s="501"/>
      <c r="CO539" s="501"/>
      <c r="CP539" s="501"/>
      <c r="CQ539" s="501"/>
      <c r="CR539" s="501"/>
      <c r="CS539" s="501"/>
      <c r="CT539" s="501"/>
    </row>
    <row r="540">
      <c r="A540" s="569"/>
      <c r="B540" s="569"/>
      <c r="C540" s="569"/>
      <c r="D540" s="498"/>
      <c r="E540" s="499"/>
      <c r="F540" s="499"/>
      <c r="G540" s="766"/>
      <c r="H540" s="766"/>
      <c r="I540" s="766"/>
      <c r="J540" s="766"/>
      <c r="K540" s="683"/>
      <c r="L540" s="683"/>
      <c r="M540" s="683"/>
      <c r="N540" s="683"/>
      <c r="O540" s="683"/>
      <c r="P540" s="683"/>
      <c r="Q540" s="683"/>
      <c r="R540" s="683"/>
      <c r="S540" s="683"/>
      <c r="T540" s="501"/>
      <c r="U540" s="501"/>
      <c r="V540" s="501"/>
      <c r="W540" s="501"/>
      <c r="X540" s="501"/>
      <c r="Y540" s="501"/>
      <c r="Z540" s="501"/>
      <c r="AA540" s="501"/>
      <c r="AB540" s="501"/>
      <c r="AC540" s="501"/>
      <c r="AD540" s="501"/>
      <c r="AE540" s="501"/>
      <c r="AF540" s="501"/>
      <c r="AG540" s="501"/>
      <c r="AH540" s="501"/>
      <c r="AI540" s="501"/>
      <c r="AJ540" s="501"/>
      <c r="AK540" s="501"/>
      <c r="AL540" s="501"/>
      <c r="AM540" s="501"/>
      <c r="AN540" s="501"/>
      <c r="AO540" s="501"/>
      <c r="AP540" s="501"/>
      <c r="AQ540" s="501"/>
      <c r="AR540" s="501"/>
      <c r="AS540" s="501"/>
      <c r="AT540" s="501"/>
      <c r="AU540" s="501"/>
      <c r="AV540" s="501"/>
      <c r="AW540" s="501"/>
      <c r="AX540" s="501"/>
      <c r="AY540" s="501"/>
      <c r="AZ540" s="501"/>
      <c r="BA540" s="501"/>
      <c r="BB540" s="501"/>
      <c r="BC540" s="501"/>
      <c r="BD540" s="501"/>
      <c r="BE540" s="501"/>
      <c r="BF540" s="501"/>
      <c r="BG540" s="501"/>
      <c r="BH540" s="501"/>
      <c r="BI540" s="501"/>
      <c r="BJ540" s="501"/>
      <c r="BK540" s="501"/>
      <c r="BL540" s="501"/>
      <c r="BM540" s="501"/>
      <c r="BN540" s="501"/>
      <c r="BO540" s="501"/>
      <c r="BP540" s="501"/>
      <c r="BQ540" s="501"/>
      <c r="BR540" s="501"/>
      <c r="BS540" s="501"/>
      <c r="BT540" s="501"/>
      <c r="BU540" s="501"/>
      <c r="BV540" s="501"/>
      <c r="BW540" s="501"/>
      <c r="BX540" s="501"/>
      <c r="BY540" s="501"/>
      <c r="BZ540" s="501"/>
      <c r="CA540" s="501"/>
      <c r="CB540" s="501"/>
      <c r="CC540" s="501"/>
      <c r="CD540" s="501"/>
      <c r="CE540" s="501"/>
      <c r="CF540" s="501"/>
      <c r="CG540" s="501"/>
      <c r="CH540" s="501"/>
      <c r="CI540" s="501"/>
      <c r="CJ540" s="501"/>
      <c r="CK540" s="501"/>
      <c r="CL540" s="501"/>
      <c r="CM540" s="501"/>
      <c r="CN540" s="501"/>
      <c r="CO540" s="501"/>
      <c r="CP540" s="501"/>
      <c r="CQ540" s="501"/>
      <c r="CR540" s="501"/>
      <c r="CS540" s="501"/>
      <c r="CT540" s="501"/>
    </row>
    <row r="541">
      <c r="A541" s="569"/>
      <c r="B541" s="569"/>
      <c r="C541" s="569"/>
      <c r="D541" s="498"/>
      <c r="E541" s="499"/>
      <c r="F541" s="499"/>
      <c r="G541" s="766"/>
      <c r="H541" s="766"/>
      <c r="I541" s="766"/>
      <c r="J541" s="766"/>
      <c r="K541" s="683"/>
      <c r="L541" s="683"/>
      <c r="M541" s="683"/>
      <c r="N541" s="683"/>
      <c r="O541" s="683"/>
      <c r="P541" s="683"/>
      <c r="Q541" s="683"/>
      <c r="R541" s="683"/>
      <c r="S541" s="683"/>
      <c r="T541" s="501"/>
      <c r="U541" s="501"/>
      <c r="V541" s="501"/>
      <c r="W541" s="501"/>
      <c r="X541" s="501"/>
      <c r="Y541" s="501"/>
      <c r="Z541" s="501"/>
      <c r="AA541" s="501"/>
      <c r="AB541" s="501"/>
      <c r="AC541" s="501"/>
      <c r="AD541" s="501"/>
      <c r="AE541" s="501"/>
      <c r="AF541" s="501"/>
      <c r="AG541" s="501"/>
      <c r="AH541" s="501"/>
      <c r="AI541" s="501"/>
      <c r="AJ541" s="501"/>
      <c r="AK541" s="501"/>
      <c r="AL541" s="501"/>
      <c r="AM541" s="501"/>
      <c r="AN541" s="501"/>
      <c r="AO541" s="501"/>
      <c r="AP541" s="501"/>
      <c r="AQ541" s="501"/>
      <c r="AR541" s="501"/>
      <c r="AS541" s="501"/>
      <c r="AT541" s="501"/>
      <c r="AU541" s="501"/>
      <c r="AV541" s="501"/>
      <c r="AW541" s="501"/>
      <c r="AX541" s="501"/>
      <c r="AY541" s="501"/>
      <c r="AZ541" s="501"/>
      <c r="BA541" s="501"/>
      <c r="BB541" s="501"/>
      <c r="BC541" s="501"/>
      <c r="BD541" s="501"/>
      <c r="BE541" s="501"/>
      <c r="BF541" s="501"/>
      <c r="BG541" s="501"/>
      <c r="BH541" s="501"/>
      <c r="BI541" s="501"/>
      <c r="BJ541" s="501"/>
      <c r="BK541" s="501"/>
      <c r="BL541" s="501"/>
      <c r="BM541" s="501"/>
      <c r="BN541" s="501"/>
      <c r="BO541" s="501"/>
      <c r="BP541" s="501"/>
      <c r="BQ541" s="501"/>
      <c r="BR541" s="501"/>
      <c r="BS541" s="501"/>
      <c r="BT541" s="501"/>
      <c r="BU541" s="501"/>
      <c r="BV541" s="501"/>
      <c r="BW541" s="501"/>
      <c r="BX541" s="501"/>
      <c r="BY541" s="501"/>
      <c r="BZ541" s="501"/>
      <c r="CA541" s="501"/>
      <c r="CB541" s="501"/>
      <c r="CC541" s="501"/>
      <c r="CD541" s="501"/>
      <c r="CE541" s="501"/>
      <c r="CF541" s="501"/>
      <c r="CG541" s="501"/>
      <c r="CH541" s="501"/>
      <c r="CI541" s="501"/>
      <c r="CJ541" s="501"/>
      <c r="CK541" s="501"/>
      <c r="CL541" s="501"/>
      <c r="CM541" s="501"/>
      <c r="CN541" s="501"/>
      <c r="CO541" s="501"/>
      <c r="CP541" s="501"/>
      <c r="CQ541" s="501"/>
      <c r="CR541" s="501"/>
      <c r="CS541" s="501"/>
      <c r="CT541" s="501"/>
    </row>
    <row r="542">
      <c r="A542" s="569"/>
      <c r="B542" s="569"/>
      <c r="C542" s="569"/>
      <c r="D542" s="498"/>
      <c r="E542" s="499"/>
      <c r="F542" s="499"/>
      <c r="G542" s="766"/>
      <c r="H542" s="766"/>
      <c r="I542" s="766"/>
      <c r="J542" s="766"/>
      <c r="K542" s="683"/>
      <c r="L542" s="683"/>
      <c r="M542" s="683"/>
      <c r="N542" s="683"/>
      <c r="O542" s="683"/>
      <c r="P542" s="683"/>
      <c r="Q542" s="683"/>
      <c r="R542" s="683"/>
      <c r="S542" s="683"/>
      <c r="T542" s="501"/>
      <c r="U542" s="501"/>
      <c r="V542" s="501"/>
      <c r="W542" s="501"/>
      <c r="X542" s="501"/>
      <c r="Y542" s="501"/>
      <c r="Z542" s="501"/>
      <c r="AA542" s="501"/>
      <c r="AB542" s="501"/>
      <c r="AC542" s="501"/>
      <c r="AD542" s="501"/>
      <c r="AE542" s="501"/>
      <c r="AF542" s="501"/>
      <c r="AG542" s="501"/>
      <c r="AH542" s="501"/>
      <c r="AI542" s="501"/>
      <c r="AJ542" s="501"/>
      <c r="AK542" s="501"/>
      <c r="AL542" s="501"/>
      <c r="AM542" s="501"/>
      <c r="AN542" s="501"/>
      <c r="AO542" s="501"/>
      <c r="AP542" s="501"/>
      <c r="AQ542" s="501"/>
      <c r="AR542" s="501"/>
      <c r="AS542" s="501"/>
      <c r="AT542" s="501"/>
      <c r="AU542" s="501"/>
      <c r="AV542" s="501"/>
      <c r="AW542" s="501"/>
      <c r="AX542" s="501"/>
      <c r="AY542" s="501"/>
      <c r="AZ542" s="501"/>
      <c r="BA542" s="501"/>
      <c r="BB542" s="501"/>
      <c r="BC542" s="501"/>
      <c r="BD542" s="501"/>
      <c r="BE542" s="501"/>
      <c r="BF542" s="501"/>
      <c r="BG542" s="501"/>
      <c r="BH542" s="501"/>
      <c r="BI542" s="501"/>
      <c r="BJ542" s="501"/>
      <c r="BK542" s="501"/>
      <c r="BL542" s="501"/>
      <c r="BM542" s="501"/>
      <c r="BN542" s="501"/>
      <c r="BO542" s="501"/>
      <c r="BP542" s="501"/>
      <c r="BQ542" s="501"/>
      <c r="BR542" s="501"/>
      <c r="BS542" s="501"/>
      <c r="BT542" s="501"/>
      <c r="BU542" s="501"/>
      <c r="BV542" s="501"/>
      <c r="BW542" s="501"/>
      <c r="BX542" s="501"/>
      <c r="BY542" s="501"/>
      <c r="BZ542" s="501"/>
      <c r="CA542" s="501"/>
      <c r="CB542" s="501"/>
      <c r="CC542" s="501"/>
      <c r="CD542" s="501"/>
      <c r="CE542" s="501"/>
      <c r="CF542" s="501"/>
      <c r="CG542" s="501"/>
      <c r="CH542" s="501"/>
      <c r="CI542" s="501"/>
      <c r="CJ542" s="501"/>
      <c r="CK542" s="501"/>
      <c r="CL542" s="501"/>
      <c r="CM542" s="501"/>
      <c r="CN542" s="501"/>
      <c r="CO542" s="501"/>
      <c r="CP542" s="501"/>
      <c r="CQ542" s="501"/>
      <c r="CR542" s="501"/>
      <c r="CS542" s="501"/>
      <c r="CT542" s="501"/>
    </row>
    <row r="543">
      <c r="A543" s="569"/>
      <c r="B543" s="569"/>
      <c r="C543" s="569"/>
      <c r="D543" s="498"/>
      <c r="E543" s="499"/>
      <c r="F543" s="499"/>
      <c r="G543" s="766"/>
      <c r="H543" s="766"/>
      <c r="I543" s="766"/>
      <c r="J543" s="766"/>
      <c r="K543" s="683"/>
      <c r="L543" s="683"/>
      <c r="M543" s="683"/>
      <c r="N543" s="683"/>
      <c r="O543" s="683"/>
      <c r="P543" s="683"/>
      <c r="Q543" s="683"/>
      <c r="R543" s="683"/>
      <c r="S543" s="683"/>
      <c r="T543" s="501"/>
      <c r="U543" s="501"/>
      <c r="V543" s="501"/>
      <c r="W543" s="501"/>
      <c r="X543" s="501"/>
      <c r="Y543" s="501"/>
      <c r="Z543" s="501"/>
      <c r="AA543" s="501"/>
      <c r="AB543" s="501"/>
      <c r="AC543" s="501"/>
      <c r="AD543" s="501"/>
      <c r="AE543" s="501"/>
      <c r="AF543" s="501"/>
      <c r="AG543" s="501"/>
      <c r="AH543" s="501"/>
      <c r="AI543" s="501"/>
      <c r="AJ543" s="501"/>
      <c r="AK543" s="501"/>
      <c r="AL543" s="501"/>
      <c r="AM543" s="501"/>
      <c r="AN543" s="501"/>
      <c r="AO543" s="501"/>
      <c r="AP543" s="501"/>
      <c r="AQ543" s="501"/>
      <c r="AR543" s="501"/>
      <c r="AS543" s="501"/>
      <c r="AT543" s="501"/>
      <c r="AU543" s="501"/>
      <c r="AV543" s="501"/>
      <c r="AW543" s="501"/>
      <c r="AX543" s="501"/>
      <c r="AY543" s="501"/>
      <c r="AZ543" s="501"/>
      <c r="BA543" s="501"/>
      <c r="BB543" s="501"/>
      <c r="BC543" s="501"/>
      <c r="BD543" s="501"/>
      <c r="BE543" s="501"/>
      <c r="BF543" s="501"/>
      <c r="BG543" s="501"/>
      <c r="BH543" s="501"/>
      <c r="BI543" s="501"/>
      <c r="BJ543" s="501"/>
      <c r="BK543" s="501"/>
      <c r="BL543" s="501"/>
      <c r="BM543" s="501"/>
      <c r="BN543" s="501"/>
      <c r="BO543" s="501"/>
      <c r="BP543" s="501"/>
      <c r="BQ543" s="501"/>
      <c r="BR543" s="501"/>
      <c r="BS543" s="501"/>
      <c r="BT543" s="501"/>
      <c r="BU543" s="501"/>
      <c r="BV543" s="501"/>
      <c r="BW543" s="501"/>
      <c r="BX543" s="501"/>
      <c r="BY543" s="501"/>
      <c r="BZ543" s="501"/>
      <c r="CA543" s="501"/>
      <c r="CB543" s="501"/>
      <c r="CC543" s="501"/>
      <c r="CD543" s="501"/>
      <c r="CE543" s="501"/>
      <c r="CF543" s="501"/>
      <c r="CG543" s="501"/>
      <c r="CH543" s="501"/>
      <c r="CI543" s="501"/>
      <c r="CJ543" s="501"/>
      <c r="CK543" s="501"/>
      <c r="CL543" s="501"/>
      <c r="CM543" s="501"/>
      <c r="CN543" s="501"/>
      <c r="CO543" s="501"/>
      <c r="CP543" s="501"/>
      <c r="CQ543" s="501"/>
      <c r="CR543" s="501"/>
      <c r="CS543" s="501"/>
      <c r="CT543" s="501"/>
    </row>
    <row r="544">
      <c r="A544" s="569"/>
      <c r="B544" s="569"/>
      <c r="C544" s="569"/>
      <c r="D544" s="498"/>
      <c r="E544" s="499"/>
      <c r="F544" s="499"/>
      <c r="G544" s="766"/>
      <c r="H544" s="766"/>
      <c r="I544" s="766"/>
      <c r="J544" s="766"/>
      <c r="K544" s="683"/>
      <c r="L544" s="683"/>
      <c r="M544" s="683"/>
      <c r="N544" s="683"/>
      <c r="O544" s="683"/>
      <c r="P544" s="683"/>
      <c r="Q544" s="683"/>
      <c r="R544" s="683"/>
      <c r="S544" s="683"/>
      <c r="T544" s="501"/>
      <c r="U544" s="501"/>
      <c r="V544" s="501"/>
      <c r="W544" s="501"/>
      <c r="X544" s="501"/>
      <c r="Y544" s="501"/>
      <c r="Z544" s="501"/>
      <c r="AA544" s="501"/>
      <c r="AB544" s="501"/>
      <c r="AC544" s="501"/>
      <c r="AD544" s="501"/>
      <c r="AE544" s="501"/>
      <c r="AF544" s="501"/>
      <c r="AG544" s="501"/>
      <c r="AH544" s="501"/>
      <c r="AI544" s="501"/>
      <c r="AJ544" s="501"/>
      <c r="AK544" s="501"/>
      <c r="AL544" s="501"/>
      <c r="AM544" s="501"/>
      <c r="AN544" s="501"/>
      <c r="AO544" s="501"/>
      <c r="AP544" s="501"/>
      <c r="AQ544" s="501"/>
      <c r="AR544" s="501"/>
      <c r="AS544" s="501"/>
      <c r="AT544" s="501"/>
      <c r="AU544" s="501"/>
      <c r="AV544" s="501"/>
      <c r="AW544" s="501"/>
      <c r="AX544" s="501"/>
      <c r="AY544" s="501"/>
      <c r="AZ544" s="501"/>
      <c r="BA544" s="501"/>
      <c r="BB544" s="501"/>
      <c r="BC544" s="501"/>
      <c r="BD544" s="501"/>
      <c r="BE544" s="501"/>
      <c r="BF544" s="501"/>
      <c r="BG544" s="501"/>
      <c r="BH544" s="501"/>
      <c r="BI544" s="501"/>
      <c r="BJ544" s="501"/>
      <c r="BK544" s="501"/>
      <c r="BL544" s="501"/>
      <c r="BM544" s="501"/>
      <c r="BN544" s="501"/>
      <c r="BO544" s="501"/>
      <c r="BP544" s="501"/>
      <c r="BQ544" s="501"/>
      <c r="BR544" s="501"/>
      <c r="BS544" s="501"/>
      <c r="BT544" s="501"/>
      <c r="BU544" s="501"/>
      <c r="BV544" s="501"/>
      <c r="BW544" s="501"/>
      <c r="BX544" s="501"/>
      <c r="BY544" s="501"/>
      <c r="BZ544" s="501"/>
      <c r="CA544" s="501"/>
      <c r="CB544" s="501"/>
      <c r="CC544" s="501"/>
      <c r="CD544" s="501"/>
      <c r="CE544" s="501"/>
      <c r="CF544" s="501"/>
      <c r="CG544" s="501"/>
      <c r="CH544" s="501"/>
      <c r="CI544" s="501"/>
      <c r="CJ544" s="501"/>
      <c r="CK544" s="501"/>
      <c r="CL544" s="501"/>
      <c r="CM544" s="501"/>
      <c r="CN544" s="501"/>
      <c r="CO544" s="501"/>
      <c r="CP544" s="501"/>
      <c r="CQ544" s="501"/>
      <c r="CR544" s="501"/>
      <c r="CS544" s="501"/>
      <c r="CT544" s="501"/>
    </row>
    <row r="545">
      <c r="A545" s="569"/>
      <c r="B545" s="569"/>
      <c r="C545" s="569"/>
      <c r="D545" s="498"/>
      <c r="E545" s="499"/>
      <c r="F545" s="499"/>
      <c r="G545" s="766"/>
      <c r="H545" s="766"/>
      <c r="I545" s="766"/>
      <c r="J545" s="766"/>
      <c r="K545" s="683"/>
      <c r="L545" s="683"/>
      <c r="M545" s="683"/>
      <c r="N545" s="683"/>
      <c r="O545" s="683"/>
      <c r="P545" s="683"/>
      <c r="Q545" s="683"/>
      <c r="R545" s="683"/>
      <c r="S545" s="683"/>
      <c r="T545" s="501"/>
      <c r="U545" s="501"/>
      <c r="V545" s="501"/>
      <c r="W545" s="501"/>
      <c r="X545" s="501"/>
      <c r="Y545" s="501"/>
      <c r="Z545" s="501"/>
      <c r="AA545" s="501"/>
      <c r="AB545" s="501"/>
      <c r="AC545" s="501"/>
      <c r="AD545" s="501"/>
      <c r="AE545" s="501"/>
      <c r="AF545" s="501"/>
      <c r="AG545" s="501"/>
      <c r="AH545" s="501"/>
      <c r="AI545" s="501"/>
      <c r="AJ545" s="501"/>
      <c r="AK545" s="501"/>
      <c r="AL545" s="501"/>
      <c r="AM545" s="501"/>
      <c r="AN545" s="501"/>
      <c r="AO545" s="501"/>
      <c r="AP545" s="501"/>
      <c r="AQ545" s="501"/>
      <c r="AR545" s="501"/>
      <c r="AS545" s="501"/>
      <c r="AT545" s="501"/>
      <c r="AU545" s="501"/>
      <c r="AV545" s="501"/>
      <c r="AW545" s="501"/>
      <c r="AX545" s="501"/>
      <c r="AY545" s="501"/>
      <c r="AZ545" s="501"/>
      <c r="BA545" s="501"/>
      <c r="BB545" s="501"/>
      <c r="BC545" s="501"/>
      <c r="BD545" s="501"/>
      <c r="BE545" s="501"/>
      <c r="BF545" s="501"/>
      <c r="BG545" s="501"/>
      <c r="BH545" s="501"/>
      <c r="BI545" s="501"/>
      <c r="BJ545" s="501"/>
      <c r="BK545" s="501"/>
      <c r="BL545" s="501"/>
      <c r="BM545" s="501"/>
      <c r="BN545" s="501"/>
      <c r="BO545" s="501"/>
      <c r="BP545" s="501"/>
      <c r="BQ545" s="501"/>
      <c r="BR545" s="501"/>
      <c r="BS545" s="501"/>
      <c r="BT545" s="501"/>
      <c r="BU545" s="501"/>
      <c r="BV545" s="501"/>
      <c r="BW545" s="501"/>
      <c r="BX545" s="501"/>
      <c r="BY545" s="501"/>
      <c r="BZ545" s="501"/>
      <c r="CA545" s="501"/>
      <c r="CB545" s="501"/>
      <c r="CC545" s="501"/>
      <c r="CD545" s="501"/>
      <c r="CE545" s="501"/>
      <c r="CF545" s="501"/>
      <c r="CG545" s="501"/>
      <c r="CH545" s="501"/>
      <c r="CI545" s="501"/>
      <c r="CJ545" s="501"/>
      <c r="CK545" s="501"/>
      <c r="CL545" s="501"/>
      <c r="CM545" s="501"/>
      <c r="CN545" s="501"/>
      <c r="CO545" s="501"/>
      <c r="CP545" s="501"/>
      <c r="CQ545" s="501"/>
      <c r="CR545" s="501"/>
      <c r="CS545" s="501"/>
      <c r="CT545" s="501"/>
    </row>
    <row r="546">
      <c r="A546" s="569"/>
      <c r="B546" s="569"/>
      <c r="C546" s="569"/>
      <c r="D546" s="498"/>
      <c r="E546" s="499"/>
      <c r="F546" s="499"/>
      <c r="G546" s="766"/>
      <c r="H546" s="766"/>
      <c r="I546" s="766"/>
      <c r="J546" s="766"/>
      <c r="K546" s="683"/>
      <c r="L546" s="683"/>
      <c r="M546" s="683"/>
      <c r="N546" s="683"/>
      <c r="O546" s="683"/>
      <c r="P546" s="683"/>
      <c r="Q546" s="683"/>
      <c r="R546" s="683"/>
      <c r="S546" s="683"/>
      <c r="T546" s="501"/>
      <c r="U546" s="501"/>
      <c r="V546" s="501"/>
      <c r="W546" s="501"/>
      <c r="X546" s="501"/>
      <c r="Y546" s="501"/>
      <c r="Z546" s="501"/>
      <c r="AA546" s="501"/>
      <c r="AB546" s="501"/>
      <c r="AC546" s="501"/>
      <c r="AD546" s="501"/>
      <c r="AE546" s="501"/>
      <c r="AF546" s="501"/>
      <c r="AG546" s="501"/>
      <c r="AH546" s="501"/>
      <c r="AI546" s="501"/>
      <c r="AJ546" s="501"/>
      <c r="AK546" s="501"/>
      <c r="AL546" s="501"/>
      <c r="AM546" s="501"/>
      <c r="AN546" s="501"/>
      <c r="AO546" s="501"/>
      <c r="AP546" s="501"/>
      <c r="AQ546" s="501"/>
      <c r="AR546" s="501"/>
      <c r="AS546" s="501"/>
      <c r="AT546" s="501"/>
      <c r="AU546" s="501"/>
      <c r="AV546" s="501"/>
      <c r="AW546" s="501"/>
      <c r="AX546" s="501"/>
      <c r="AY546" s="501"/>
      <c r="AZ546" s="501"/>
      <c r="BA546" s="501"/>
      <c r="BB546" s="501"/>
      <c r="BC546" s="501"/>
      <c r="BD546" s="501"/>
      <c r="BE546" s="501"/>
      <c r="BF546" s="501"/>
      <c r="BG546" s="501"/>
      <c r="BH546" s="501"/>
      <c r="BI546" s="501"/>
      <c r="BJ546" s="501"/>
      <c r="BK546" s="501"/>
      <c r="BL546" s="501"/>
      <c r="BM546" s="501"/>
      <c r="BN546" s="501"/>
      <c r="BO546" s="501"/>
      <c r="BP546" s="501"/>
      <c r="BQ546" s="501"/>
      <c r="BR546" s="501"/>
      <c r="BS546" s="501"/>
      <c r="BT546" s="501"/>
      <c r="BU546" s="501"/>
      <c r="BV546" s="501"/>
      <c r="BW546" s="501"/>
      <c r="BX546" s="501"/>
      <c r="BY546" s="501"/>
      <c r="BZ546" s="501"/>
      <c r="CA546" s="501"/>
      <c r="CB546" s="501"/>
      <c r="CC546" s="501"/>
      <c r="CD546" s="501"/>
      <c r="CE546" s="501"/>
      <c r="CF546" s="501"/>
      <c r="CG546" s="501"/>
      <c r="CH546" s="501"/>
      <c r="CI546" s="501"/>
      <c r="CJ546" s="501"/>
      <c r="CK546" s="501"/>
      <c r="CL546" s="501"/>
      <c r="CM546" s="501"/>
      <c r="CN546" s="501"/>
      <c r="CO546" s="501"/>
      <c r="CP546" s="501"/>
      <c r="CQ546" s="501"/>
      <c r="CR546" s="501"/>
      <c r="CS546" s="501"/>
      <c r="CT546" s="501"/>
    </row>
    <row r="547">
      <c r="A547" s="569"/>
      <c r="B547" s="569"/>
      <c r="C547" s="569"/>
      <c r="D547" s="498"/>
      <c r="E547" s="499"/>
      <c r="F547" s="499"/>
      <c r="G547" s="766"/>
      <c r="H547" s="766"/>
      <c r="I547" s="766"/>
      <c r="J547" s="766"/>
      <c r="K547" s="683"/>
      <c r="L547" s="683"/>
      <c r="M547" s="683"/>
      <c r="N547" s="683"/>
      <c r="O547" s="683"/>
      <c r="P547" s="683"/>
      <c r="Q547" s="683"/>
      <c r="R547" s="683"/>
      <c r="S547" s="683"/>
      <c r="T547" s="501"/>
      <c r="U547" s="501"/>
      <c r="V547" s="501"/>
      <c r="W547" s="501"/>
      <c r="X547" s="501"/>
      <c r="Y547" s="501"/>
      <c r="Z547" s="501"/>
      <c r="AA547" s="501"/>
      <c r="AB547" s="501"/>
      <c r="AC547" s="501"/>
      <c r="AD547" s="501"/>
      <c r="AE547" s="501"/>
      <c r="AF547" s="501"/>
      <c r="AG547" s="501"/>
      <c r="AH547" s="501"/>
      <c r="AI547" s="501"/>
      <c r="AJ547" s="501"/>
      <c r="AK547" s="501"/>
      <c r="AL547" s="501"/>
      <c r="AM547" s="501"/>
      <c r="AN547" s="501"/>
      <c r="AO547" s="501"/>
      <c r="AP547" s="501"/>
      <c r="AQ547" s="501"/>
      <c r="AR547" s="501"/>
      <c r="AS547" s="501"/>
      <c r="AT547" s="501"/>
      <c r="AU547" s="501"/>
      <c r="AV547" s="501"/>
      <c r="AW547" s="501"/>
      <c r="AX547" s="501"/>
      <c r="AY547" s="501"/>
      <c r="AZ547" s="501"/>
      <c r="BA547" s="501"/>
      <c r="BB547" s="501"/>
      <c r="BC547" s="501"/>
      <c r="BD547" s="501"/>
      <c r="BE547" s="501"/>
      <c r="BF547" s="501"/>
      <c r="BG547" s="501"/>
      <c r="BH547" s="501"/>
      <c r="BI547" s="501"/>
      <c r="BJ547" s="501"/>
      <c r="BK547" s="501"/>
      <c r="BL547" s="501"/>
      <c r="BM547" s="501"/>
      <c r="BN547" s="501"/>
      <c r="BO547" s="501"/>
      <c r="BP547" s="501"/>
      <c r="BQ547" s="501"/>
      <c r="BR547" s="501"/>
      <c r="BS547" s="501"/>
      <c r="BT547" s="501"/>
      <c r="BU547" s="501"/>
      <c r="BV547" s="501"/>
      <c r="BW547" s="501"/>
      <c r="BX547" s="501"/>
      <c r="BY547" s="501"/>
      <c r="BZ547" s="501"/>
      <c r="CA547" s="501"/>
      <c r="CB547" s="501"/>
      <c r="CC547" s="501"/>
      <c r="CD547" s="501"/>
      <c r="CE547" s="501"/>
      <c r="CF547" s="501"/>
      <c r="CG547" s="501"/>
      <c r="CH547" s="501"/>
      <c r="CI547" s="501"/>
      <c r="CJ547" s="501"/>
      <c r="CK547" s="501"/>
      <c r="CL547" s="501"/>
      <c r="CM547" s="501"/>
      <c r="CN547" s="501"/>
      <c r="CO547" s="501"/>
      <c r="CP547" s="501"/>
      <c r="CQ547" s="501"/>
      <c r="CR547" s="501"/>
      <c r="CS547" s="501"/>
      <c r="CT547" s="501"/>
    </row>
    <row r="548">
      <c r="A548" s="569"/>
      <c r="B548" s="569"/>
      <c r="C548" s="569"/>
      <c r="D548" s="498"/>
      <c r="E548" s="499"/>
      <c r="F548" s="499"/>
      <c r="G548" s="766"/>
      <c r="H548" s="766"/>
      <c r="I548" s="766"/>
      <c r="J548" s="766"/>
      <c r="K548" s="683"/>
      <c r="L548" s="683"/>
      <c r="M548" s="683"/>
      <c r="N548" s="683"/>
      <c r="O548" s="683"/>
      <c r="P548" s="683"/>
      <c r="Q548" s="683"/>
      <c r="R548" s="683"/>
      <c r="S548" s="683"/>
      <c r="T548" s="501"/>
      <c r="U548" s="501"/>
      <c r="V548" s="501"/>
      <c r="W548" s="501"/>
      <c r="X548" s="501"/>
      <c r="Y548" s="501"/>
      <c r="Z548" s="501"/>
      <c r="AA548" s="501"/>
      <c r="AB548" s="501"/>
      <c r="AC548" s="501"/>
      <c r="AD548" s="501"/>
      <c r="AE548" s="501"/>
      <c r="AF548" s="501"/>
      <c r="AG548" s="501"/>
      <c r="AH548" s="501"/>
      <c r="AI548" s="501"/>
      <c r="AJ548" s="501"/>
      <c r="AK548" s="501"/>
      <c r="AL548" s="501"/>
      <c r="AM548" s="501"/>
      <c r="AN548" s="501"/>
      <c r="AO548" s="501"/>
      <c r="AP548" s="501"/>
      <c r="AQ548" s="501"/>
      <c r="AR548" s="501"/>
      <c r="AS548" s="501"/>
      <c r="AT548" s="501"/>
      <c r="AU548" s="501"/>
      <c r="AV548" s="501"/>
      <c r="AW548" s="501"/>
      <c r="AX548" s="501"/>
      <c r="AY548" s="501"/>
      <c r="AZ548" s="501"/>
      <c r="BA548" s="501"/>
      <c r="BB548" s="501"/>
      <c r="BC548" s="501"/>
      <c r="BD548" s="501"/>
      <c r="BE548" s="501"/>
      <c r="BF548" s="501"/>
      <c r="BG548" s="501"/>
      <c r="BH548" s="501"/>
      <c r="BI548" s="501"/>
      <c r="BJ548" s="501"/>
      <c r="BK548" s="501"/>
      <c r="BL548" s="501"/>
      <c r="BM548" s="501"/>
      <c r="BN548" s="501"/>
      <c r="BO548" s="501"/>
      <c r="BP548" s="501"/>
      <c r="BQ548" s="501"/>
      <c r="BR548" s="501"/>
      <c r="BS548" s="501"/>
      <c r="BT548" s="501"/>
      <c r="BU548" s="501"/>
      <c r="BV548" s="501"/>
      <c r="BW548" s="501"/>
      <c r="BX548" s="501"/>
      <c r="BY548" s="501"/>
      <c r="BZ548" s="501"/>
      <c r="CA548" s="501"/>
      <c r="CB548" s="501"/>
      <c r="CC548" s="501"/>
      <c r="CD548" s="501"/>
      <c r="CE548" s="501"/>
      <c r="CF548" s="501"/>
      <c r="CG548" s="501"/>
      <c r="CH548" s="501"/>
      <c r="CI548" s="501"/>
      <c r="CJ548" s="501"/>
      <c r="CK548" s="501"/>
      <c r="CL548" s="501"/>
      <c r="CM548" s="501"/>
      <c r="CN548" s="501"/>
      <c r="CO548" s="501"/>
      <c r="CP548" s="501"/>
      <c r="CQ548" s="501"/>
      <c r="CR548" s="501"/>
      <c r="CS548" s="501"/>
      <c r="CT548" s="501"/>
    </row>
    <row r="549">
      <c r="A549" s="569"/>
      <c r="B549" s="569"/>
      <c r="C549" s="569"/>
      <c r="D549" s="498"/>
      <c r="E549" s="499"/>
      <c r="F549" s="499"/>
      <c r="G549" s="766"/>
      <c r="H549" s="766"/>
      <c r="I549" s="766"/>
      <c r="J549" s="766"/>
      <c r="K549" s="683"/>
      <c r="L549" s="683"/>
      <c r="M549" s="683"/>
      <c r="N549" s="683"/>
      <c r="O549" s="683"/>
      <c r="P549" s="683"/>
      <c r="Q549" s="683"/>
      <c r="R549" s="683"/>
      <c r="S549" s="683"/>
      <c r="T549" s="501"/>
      <c r="U549" s="501"/>
      <c r="V549" s="501"/>
      <c r="W549" s="501"/>
      <c r="X549" s="501"/>
      <c r="Y549" s="501"/>
      <c r="Z549" s="501"/>
      <c r="AA549" s="501"/>
      <c r="AB549" s="501"/>
      <c r="AC549" s="501"/>
      <c r="AD549" s="501"/>
      <c r="AE549" s="501"/>
      <c r="AF549" s="501"/>
      <c r="AG549" s="501"/>
      <c r="AH549" s="501"/>
      <c r="AI549" s="501"/>
      <c r="AJ549" s="501"/>
      <c r="AK549" s="501"/>
      <c r="AL549" s="501"/>
      <c r="AM549" s="501"/>
      <c r="AN549" s="501"/>
      <c r="AO549" s="501"/>
      <c r="AP549" s="501"/>
      <c r="AQ549" s="501"/>
      <c r="AR549" s="501"/>
      <c r="AS549" s="501"/>
      <c r="AT549" s="501"/>
      <c r="AU549" s="501"/>
      <c r="AV549" s="501"/>
      <c r="AW549" s="501"/>
      <c r="AX549" s="501"/>
      <c r="AY549" s="501"/>
      <c r="AZ549" s="501"/>
      <c r="BA549" s="501"/>
      <c r="BB549" s="501"/>
      <c r="BC549" s="501"/>
      <c r="BD549" s="501"/>
      <c r="BE549" s="501"/>
      <c r="BF549" s="501"/>
      <c r="BG549" s="501"/>
      <c r="BH549" s="501"/>
      <c r="BI549" s="501"/>
      <c r="BJ549" s="501"/>
      <c r="BK549" s="501"/>
      <c r="BL549" s="501"/>
      <c r="BM549" s="501"/>
      <c r="BN549" s="501"/>
      <c r="BO549" s="501"/>
      <c r="BP549" s="501"/>
      <c r="BQ549" s="501"/>
      <c r="BR549" s="501"/>
      <c r="BS549" s="501"/>
      <c r="BT549" s="501"/>
      <c r="BU549" s="501"/>
      <c r="BV549" s="501"/>
      <c r="BW549" s="501"/>
      <c r="BX549" s="501"/>
      <c r="BY549" s="501"/>
      <c r="BZ549" s="501"/>
      <c r="CA549" s="501"/>
      <c r="CB549" s="501"/>
      <c r="CC549" s="501"/>
      <c r="CD549" s="501"/>
      <c r="CE549" s="501"/>
      <c r="CF549" s="501"/>
      <c r="CG549" s="501"/>
      <c r="CH549" s="501"/>
      <c r="CI549" s="501"/>
      <c r="CJ549" s="501"/>
      <c r="CK549" s="501"/>
      <c r="CL549" s="501"/>
      <c r="CM549" s="501"/>
      <c r="CN549" s="501"/>
      <c r="CO549" s="501"/>
      <c r="CP549" s="501"/>
      <c r="CQ549" s="501"/>
      <c r="CR549" s="501"/>
      <c r="CS549" s="501"/>
      <c r="CT549" s="501"/>
    </row>
    <row r="550">
      <c r="A550" s="569"/>
      <c r="B550" s="569"/>
      <c r="C550" s="569"/>
      <c r="D550" s="498"/>
      <c r="E550" s="499"/>
      <c r="F550" s="499"/>
      <c r="G550" s="766"/>
      <c r="H550" s="766"/>
      <c r="I550" s="766"/>
      <c r="J550" s="766"/>
      <c r="K550" s="683"/>
      <c r="L550" s="683"/>
      <c r="M550" s="683"/>
      <c r="N550" s="683"/>
      <c r="O550" s="683"/>
      <c r="P550" s="683"/>
      <c r="Q550" s="683"/>
      <c r="R550" s="683"/>
      <c r="S550" s="683"/>
      <c r="T550" s="501"/>
      <c r="U550" s="501"/>
      <c r="V550" s="501"/>
      <c r="W550" s="501"/>
      <c r="X550" s="501"/>
      <c r="Y550" s="501"/>
      <c r="Z550" s="501"/>
      <c r="AA550" s="501"/>
      <c r="AB550" s="501"/>
      <c r="AC550" s="501"/>
      <c r="AD550" s="501"/>
      <c r="AE550" s="501"/>
      <c r="AF550" s="501"/>
      <c r="AG550" s="501"/>
      <c r="AH550" s="501"/>
      <c r="AI550" s="501"/>
      <c r="AJ550" s="501"/>
      <c r="AK550" s="501"/>
      <c r="AL550" s="501"/>
      <c r="AM550" s="501"/>
      <c r="AN550" s="501"/>
      <c r="AO550" s="501"/>
      <c r="AP550" s="501"/>
      <c r="AQ550" s="501"/>
      <c r="AR550" s="501"/>
      <c r="AS550" s="501"/>
      <c r="AT550" s="501"/>
      <c r="AU550" s="501"/>
      <c r="AV550" s="501"/>
      <c r="AW550" s="501"/>
      <c r="AX550" s="501"/>
      <c r="AY550" s="501"/>
      <c r="AZ550" s="501"/>
      <c r="BA550" s="501"/>
      <c r="BB550" s="501"/>
      <c r="BC550" s="501"/>
      <c r="BD550" s="501"/>
      <c r="BE550" s="501"/>
      <c r="BF550" s="501"/>
      <c r="BG550" s="501"/>
      <c r="BH550" s="501"/>
      <c r="BI550" s="501"/>
      <c r="BJ550" s="501"/>
      <c r="BK550" s="501"/>
      <c r="BL550" s="501"/>
      <c r="BM550" s="501"/>
      <c r="BN550" s="501"/>
      <c r="BO550" s="501"/>
      <c r="BP550" s="501"/>
      <c r="BQ550" s="501"/>
      <c r="BR550" s="501"/>
      <c r="BS550" s="501"/>
      <c r="BT550" s="501"/>
      <c r="BU550" s="501"/>
      <c r="BV550" s="501"/>
      <c r="BW550" s="501"/>
      <c r="BX550" s="501"/>
      <c r="BY550" s="501"/>
      <c r="BZ550" s="501"/>
      <c r="CA550" s="501"/>
      <c r="CB550" s="501"/>
      <c r="CC550" s="501"/>
      <c r="CD550" s="501"/>
      <c r="CE550" s="501"/>
      <c r="CF550" s="501"/>
      <c r="CG550" s="501"/>
      <c r="CH550" s="501"/>
      <c r="CI550" s="501"/>
      <c r="CJ550" s="501"/>
      <c r="CK550" s="501"/>
      <c r="CL550" s="501"/>
      <c r="CM550" s="501"/>
      <c r="CN550" s="501"/>
      <c r="CO550" s="501"/>
      <c r="CP550" s="501"/>
      <c r="CQ550" s="501"/>
      <c r="CR550" s="501"/>
      <c r="CS550" s="501"/>
      <c r="CT550" s="501"/>
    </row>
    <row r="551">
      <c r="A551" s="569"/>
      <c r="B551" s="569"/>
      <c r="C551" s="569"/>
      <c r="D551" s="498"/>
      <c r="E551" s="499"/>
      <c r="F551" s="499"/>
      <c r="G551" s="766"/>
      <c r="H551" s="766"/>
      <c r="I551" s="766"/>
      <c r="J551" s="766"/>
      <c r="K551" s="683"/>
      <c r="L551" s="683"/>
      <c r="M551" s="683"/>
      <c r="N551" s="683"/>
      <c r="O551" s="683"/>
      <c r="P551" s="683"/>
      <c r="Q551" s="683"/>
      <c r="R551" s="683"/>
      <c r="S551" s="683"/>
      <c r="T551" s="501"/>
      <c r="U551" s="501"/>
      <c r="V551" s="501"/>
      <c r="W551" s="501"/>
      <c r="X551" s="501"/>
      <c r="Y551" s="501"/>
      <c r="Z551" s="501"/>
      <c r="AA551" s="501"/>
      <c r="AB551" s="501"/>
      <c r="AC551" s="501"/>
      <c r="AD551" s="501"/>
      <c r="AE551" s="501"/>
      <c r="AF551" s="501"/>
      <c r="AG551" s="501"/>
      <c r="AH551" s="501"/>
      <c r="AI551" s="501"/>
      <c r="AJ551" s="501"/>
      <c r="AK551" s="501"/>
      <c r="AL551" s="501"/>
      <c r="AM551" s="501"/>
      <c r="AN551" s="501"/>
      <c r="AO551" s="501"/>
      <c r="AP551" s="501"/>
      <c r="AQ551" s="501"/>
      <c r="AR551" s="501"/>
      <c r="AS551" s="501"/>
      <c r="AT551" s="501"/>
      <c r="AU551" s="501"/>
      <c r="AV551" s="501"/>
      <c r="AW551" s="501"/>
      <c r="AX551" s="501"/>
      <c r="AY551" s="501"/>
      <c r="AZ551" s="501"/>
      <c r="BA551" s="501"/>
      <c r="BB551" s="501"/>
      <c r="BC551" s="501"/>
      <c r="BD551" s="501"/>
      <c r="BE551" s="501"/>
      <c r="BF551" s="501"/>
      <c r="BG551" s="501"/>
      <c r="BH551" s="501"/>
      <c r="BI551" s="501"/>
      <c r="BJ551" s="501"/>
      <c r="BK551" s="501"/>
      <c r="BL551" s="501"/>
      <c r="BM551" s="501"/>
      <c r="BN551" s="501"/>
      <c r="BO551" s="501"/>
      <c r="BP551" s="501"/>
      <c r="BQ551" s="501"/>
      <c r="BR551" s="501"/>
      <c r="BS551" s="501"/>
      <c r="BT551" s="501"/>
      <c r="BU551" s="501"/>
      <c r="BV551" s="501"/>
      <c r="BW551" s="501"/>
      <c r="BX551" s="501"/>
      <c r="BY551" s="501"/>
      <c r="BZ551" s="501"/>
      <c r="CA551" s="501"/>
      <c r="CB551" s="501"/>
      <c r="CC551" s="501"/>
      <c r="CD551" s="501"/>
      <c r="CE551" s="501"/>
      <c r="CF551" s="501"/>
      <c r="CG551" s="501"/>
      <c r="CH551" s="501"/>
      <c r="CI551" s="501"/>
      <c r="CJ551" s="501"/>
      <c r="CK551" s="501"/>
      <c r="CL551" s="501"/>
      <c r="CM551" s="501"/>
      <c r="CN551" s="501"/>
      <c r="CO551" s="501"/>
      <c r="CP551" s="501"/>
      <c r="CQ551" s="501"/>
      <c r="CR551" s="501"/>
      <c r="CS551" s="501"/>
      <c r="CT551" s="501"/>
    </row>
    <row r="552">
      <c r="A552" s="569"/>
      <c r="B552" s="569"/>
      <c r="C552" s="569"/>
      <c r="D552" s="498"/>
      <c r="E552" s="499"/>
      <c r="F552" s="499"/>
      <c r="G552" s="766"/>
      <c r="H552" s="766"/>
      <c r="I552" s="766"/>
      <c r="J552" s="766"/>
      <c r="K552" s="683"/>
      <c r="L552" s="683"/>
      <c r="M552" s="683"/>
      <c r="N552" s="683"/>
      <c r="O552" s="683"/>
      <c r="P552" s="683"/>
      <c r="Q552" s="683"/>
      <c r="R552" s="683"/>
      <c r="S552" s="683"/>
      <c r="T552" s="501"/>
      <c r="U552" s="501"/>
      <c r="V552" s="501"/>
      <c r="W552" s="501"/>
      <c r="X552" s="501"/>
      <c r="Y552" s="501"/>
      <c r="Z552" s="501"/>
      <c r="AA552" s="501"/>
      <c r="AB552" s="501"/>
      <c r="AC552" s="501"/>
      <c r="AD552" s="501"/>
      <c r="AE552" s="501"/>
      <c r="AF552" s="501"/>
      <c r="AG552" s="501"/>
      <c r="AH552" s="501"/>
      <c r="AI552" s="501"/>
      <c r="AJ552" s="501"/>
      <c r="AK552" s="501"/>
      <c r="AL552" s="501"/>
      <c r="AM552" s="501"/>
      <c r="AN552" s="501"/>
      <c r="AO552" s="501"/>
      <c r="AP552" s="501"/>
      <c r="AQ552" s="501"/>
      <c r="AR552" s="501"/>
      <c r="AS552" s="501"/>
      <c r="AT552" s="501"/>
      <c r="AU552" s="501"/>
      <c r="AV552" s="501"/>
      <c r="AW552" s="501"/>
      <c r="AX552" s="501"/>
      <c r="AY552" s="501"/>
      <c r="AZ552" s="501"/>
      <c r="BA552" s="501"/>
      <c r="BB552" s="501"/>
      <c r="BC552" s="501"/>
      <c r="BD552" s="501"/>
      <c r="BE552" s="501"/>
      <c r="BF552" s="501"/>
      <c r="BG552" s="501"/>
      <c r="BH552" s="501"/>
      <c r="BI552" s="501"/>
      <c r="BJ552" s="501"/>
      <c r="BK552" s="501"/>
      <c r="BL552" s="501"/>
      <c r="BM552" s="501"/>
      <c r="BN552" s="501"/>
      <c r="BO552" s="501"/>
      <c r="BP552" s="501"/>
      <c r="BQ552" s="501"/>
      <c r="BR552" s="501"/>
      <c r="BS552" s="501"/>
      <c r="BT552" s="501"/>
      <c r="BU552" s="501"/>
      <c r="BV552" s="501"/>
      <c r="BW552" s="501"/>
      <c r="BX552" s="501"/>
      <c r="BY552" s="501"/>
      <c r="BZ552" s="501"/>
      <c r="CA552" s="501"/>
      <c r="CB552" s="501"/>
      <c r="CC552" s="501"/>
      <c r="CD552" s="501"/>
      <c r="CE552" s="501"/>
      <c r="CF552" s="501"/>
      <c r="CG552" s="501"/>
      <c r="CH552" s="501"/>
      <c r="CI552" s="501"/>
      <c r="CJ552" s="501"/>
      <c r="CK552" s="501"/>
      <c r="CL552" s="501"/>
      <c r="CM552" s="501"/>
      <c r="CN552" s="501"/>
      <c r="CO552" s="501"/>
      <c r="CP552" s="501"/>
      <c r="CQ552" s="501"/>
      <c r="CR552" s="501"/>
      <c r="CS552" s="501"/>
      <c r="CT552" s="501"/>
    </row>
    <row r="553">
      <c r="A553" s="569"/>
      <c r="B553" s="569"/>
      <c r="C553" s="569"/>
      <c r="D553" s="498"/>
      <c r="E553" s="499"/>
      <c r="F553" s="499"/>
      <c r="G553" s="766"/>
      <c r="H553" s="766"/>
      <c r="I553" s="766"/>
      <c r="J553" s="766"/>
      <c r="K553" s="683"/>
      <c r="L553" s="683"/>
      <c r="M553" s="683"/>
      <c r="N553" s="683"/>
      <c r="O553" s="683"/>
      <c r="P553" s="683"/>
      <c r="Q553" s="683"/>
      <c r="R553" s="683"/>
      <c r="S553" s="683"/>
      <c r="T553" s="501"/>
      <c r="U553" s="501"/>
      <c r="V553" s="501"/>
      <c r="W553" s="501"/>
      <c r="X553" s="501"/>
      <c r="Y553" s="501"/>
      <c r="Z553" s="501"/>
      <c r="AA553" s="501"/>
      <c r="AB553" s="501"/>
      <c r="AC553" s="501"/>
      <c r="AD553" s="501"/>
      <c r="AE553" s="501"/>
      <c r="AF553" s="501"/>
      <c r="AG553" s="501"/>
      <c r="AH553" s="501"/>
      <c r="AI553" s="501"/>
      <c r="AJ553" s="501"/>
      <c r="AK553" s="501"/>
      <c r="AL553" s="501"/>
      <c r="AM553" s="501"/>
      <c r="AN553" s="501"/>
      <c r="AO553" s="501"/>
      <c r="AP553" s="501"/>
      <c r="AQ553" s="501"/>
      <c r="AR553" s="501"/>
      <c r="AS553" s="501"/>
      <c r="AT553" s="501"/>
      <c r="AU553" s="501"/>
      <c r="AV553" s="501"/>
      <c r="AW553" s="501"/>
      <c r="AX553" s="501"/>
      <c r="AY553" s="501"/>
      <c r="AZ553" s="501"/>
      <c r="BA553" s="501"/>
      <c r="BB553" s="501"/>
      <c r="BC553" s="501"/>
      <c r="BD553" s="501"/>
      <c r="BE553" s="501"/>
      <c r="BF553" s="501"/>
      <c r="BG553" s="501"/>
      <c r="BH553" s="501"/>
      <c r="BI553" s="501"/>
      <c r="BJ553" s="501"/>
      <c r="BK553" s="501"/>
      <c r="BL553" s="501"/>
      <c r="BM553" s="501"/>
      <c r="BN553" s="501"/>
      <c r="BO553" s="501"/>
      <c r="BP553" s="501"/>
      <c r="BQ553" s="501"/>
      <c r="BR553" s="501"/>
      <c r="BS553" s="501"/>
      <c r="BT553" s="501"/>
      <c r="BU553" s="501"/>
      <c r="BV553" s="501"/>
      <c r="BW553" s="501"/>
      <c r="BX553" s="501"/>
      <c r="BY553" s="501"/>
      <c r="BZ553" s="501"/>
      <c r="CA553" s="501"/>
      <c r="CB553" s="501"/>
      <c r="CC553" s="501"/>
      <c r="CD553" s="501"/>
      <c r="CE553" s="501"/>
      <c r="CF553" s="501"/>
      <c r="CG553" s="501"/>
      <c r="CH553" s="501"/>
      <c r="CI553" s="501"/>
      <c r="CJ553" s="501"/>
      <c r="CK553" s="501"/>
      <c r="CL553" s="501"/>
      <c r="CM553" s="501"/>
      <c r="CN553" s="501"/>
      <c r="CO553" s="501"/>
      <c r="CP553" s="501"/>
      <c r="CQ553" s="501"/>
      <c r="CR553" s="501"/>
      <c r="CS553" s="501"/>
      <c r="CT553" s="501"/>
    </row>
    <row r="554">
      <c r="A554" s="569"/>
      <c r="B554" s="569"/>
      <c r="C554" s="569"/>
      <c r="D554" s="498"/>
      <c r="E554" s="499"/>
      <c r="F554" s="499"/>
      <c r="G554" s="766"/>
      <c r="H554" s="766"/>
      <c r="I554" s="766"/>
      <c r="J554" s="766"/>
      <c r="K554" s="683"/>
      <c r="L554" s="683"/>
      <c r="M554" s="683"/>
      <c r="N554" s="683"/>
      <c r="O554" s="683"/>
      <c r="P554" s="683"/>
      <c r="Q554" s="683"/>
      <c r="R554" s="683"/>
      <c r="S554" s="683"/>
      <c r="T554" s="501"/>
      <c r="U554" s="501"/>
      <c r="V554" s="501"/>
      <c r="W554" s="501"/>
      <c r="X554" s="501"/>
      <c r="Y554" s="501"/>
      <c r="Z554" s="501"/>
      <c r="AA554" s="501"/>
      <c r="AB554" s="501"/>
      <c r="AC554" s="501"/>
      <c r="AD554" s="501"/>
      <c r="AE554" s="501"/>
      <c r="AF554" s="501"/>
      <c r="AG554" s="501"/>
      <c r="AH554" s="501"/>
      <c r="AI554" s="501"/>
      <c r="AJ554" s="501"/>
      <c r="AK554" s="501"/>
      <c r="AL554" s="501"/>
      <c r="AM554" s="501"/>
      <c r="AN554" s="501"/>
      <c r="AO554" s="501"/>
      <c r="AP554" s="501"/>
      <c r="AQ554" s="501"/>
      <c r="AR554" s="501"/>
      <c r="AS554" s="501"/>
      <c r="AT554" s="501"/>
      <c r="AU554" s="501"/>
      <c r="AV554" s="501"/>
      <c r="AW554" s="501"/>
      <c r="AX554" s="501"/>
      <c r="AY554" s="501"/>
      <c r="AZ554" s="501"/>
      <c r="BA554" s="501"/>
      <c r="BB554" s="501"/>
      <c r="BC554" s="501"/>
      <c r="BD554" s="501"/>
      <c r="BE554" s="501"/>
      <c r="BF554" s="501"/>
      <c r="BG554" s="501"/>
      <c r="BH554" s="501"/>
      <c r="BI554" s="501"/>
      <c r="BJ554" s="501"/>
      <c r="BK554" s="501"/>
      <c r="BL554" s="501"/>
      <c r="BM554" s="501"/>
      <c r="BN554" s="501"/>
      <c r="BO554" s="501"/>
      <c r="BP554" s="501"/>
      <c r="BQ554" s="501"/>
      <c r="BR554" s="501"/>
      <c r="BS554" s="501"/>
      <c r="BT554" s="501"/>
      <c r="BU554" s="501"/>
      <c r="BV554" s="501"/>
      <c r="BW554" s="501"/>
      <c r="BX554" s="501"/>
      <c r="BY554" s="501"/>
      <c r="BZ554" s="501"/>
      <c r="CA554" s="501"/>
      <c r="CB554" s="501"/>
      <c r="CC554" s="501"/>
      <c r="CD554" s="501"/>
      <c r="CE554" s="501"/>
      <c r="CF554" s="501"/>
      <c r="CG554" s="501"/>
      <c r="CH554" s="501"/>
      <c r="CI554" s="501"/>
      <c r="CJ554" s="501"/>
      <c r="CK554" s="501"/>
      <c r="CL554" s="501"/>
      <c r="CM554" s="501"/>
      <c r="CN554" s="501"/>
      <c r="CO554" s="501"/>
      <c r="CP554" s="501"/>
      <c r="CQ554" s="501"/>
      <c r="CR554" s="501"/>
      <c r="CS554" s="501"/>
      <c r="CT554" s="501"/>
    </row>
    <row r="555">
      <c r="A555" s="569"/>
      <c r="B555" s="569"/>
      <c r="C555" s="569"/>
      <c r="D555" s="498"/>
      <c r="E555" s="499"/>
      <c r="F555" s="499"/>
      <c r="G555" s="766"/>
      <c r="H555" s="766"/>
      <c r="I555" s="766"/>
      <c r="J555" s="766"/>
      <c r="K555" s="683"/>
      <c r="L555" s="683"/>
      <c r="M555" s="683"/>
      <c r="N555" s="683"/>
      <c r="O555" s="683"/>
      <c r="P555" s="683"/>
      <c r="Q555" s="683"/>
      <c r="R555" s="683"/>
      <c r="S555" s="683"/>
      <c r="T555" s="501"/>
      <c r="U555" s="501"/>
      <c r="V555" s="501"/>
      <c r="W555" s="501"/>
      <c r="X555" s="501"/>
      <c r="Y555" s="501"/>
      <c r="Z555" s="501"/>
      <c r="AA555" s="501"/>
      <c r="AB555" s="501"/>
      <c r="AC555" s="501"/>
      <c r="AD555" s="501"/>
      <c r="AE555" s="501"/>
      <c r="AF555" s="501"/>
      <c r="AG555" s="501"/>
      <c r="AH555" s="501"/>
      <c r="AI555" s="501"/>
      <c r="AJ555" s="501"/>
      <c r="AK555" s="501"/>
      <c r="AL555" s="501"/>
      <c r="AM555" s="501"/>
      <c r="AN555" s="501"/>
      <c r="AO555" s="501"/>
      <c r="AP555" s="501"/>
      <c r="AQ555" s="501"/>
      <c r="AR555" s="501"/>
      <c r="AS555" s="501"/>
      <c r="AT555" s="501"/>
      <c r="AU555" s="501"/>
      <c r="AV555" s="501"/>
      <c r="AW555" s="501"/>
      <c r="AX555" s="501"/>
      <c r="AY555" s="501"/>
      <c r="AZ555" s="501"/>
      <c r="BA555" s="501"/>
      <c r="BB555" s="501"/>
      <c r="BC555" s="501"/>
      <c r="BD555" s="501"/>
      <c r="BE555" s="501"/>
      <c r="BF555" s="501"/>
      <c r="BG555" s="501"/>
      <c r="BH555" s="501"/>
      <c r="BI555" s="501"/>
      <c r="BJ555" s="501"/>
      <c r="BK555" s="501"/>
      <c r="BL555" s="501"/>
      <c r="BM555" s="501"/>
      <c r="BN555" s="501"/>
      <c r="BO555" s="501"/>
      <c r="BP555" s="501"/>
      <c r="BQ555" s="501"/>
      <c r="BR555" s="501"/>
      <c r="BS555" s="501"/>
      <c r="BT555" s="501"/>
      <c r="BU555" s="501"/>
      <c r="BV555" s="501"/>
      <c r="BW555" s="501"/>
      <c r="BX555" s="501"/>
      <c r="BY555" s="501"/>
      <c r="BZ555" s="501"/>
      <c r="CA555" s="501"/>
      <c r="CB555" s="501"/>
      <c r="CC555" s="501"/>
      <c r="CD555" s="501"/>
      <c r="CE555" s="501"/>
      <c r="CF555" s="501"/>
      <c r="CG555" s="501"/>
      <c r="CH555" s="501"/>
      <c r="CI555" s="501"/>
      <c r="CJ555" s="501"/>
      <c r="CK555" s="501"/>
      <c r="CL555" s="501"/>
      <c r="CM555" s="501"/>
      <c r="CN555" s="501"/>
      <c r="CO555" s="501"/>
      <c r="CP555" s="501"/>
      <c r="CQ555" s="501"/>
      <c r="CR555" s="501"/>
      <c r="CS555" s="501"/>
      <c r="CT555" s="501"/>
    </row>
    <row r="556">
      <c r="A556" s="569"/>
      <c r="B556" s="569"/>
      <c r="C556" s="569"/>
      <c r="D556" s="498"/>
      <c r="E556" s="499"/>
      <c r="F556" s="499"/>
      <c r="G556" s="766"/>
      <c r="H556" s="766"/>
      <c r="I556" s="766"/>
      <c r="J556" s="766"/>
      <c r="K556" s="683"/>
      <c r="L556" s="683"/>
      <c r="M556" s="683"/>
      <c r="N556" s="683"/>
      <c r="O556" s="683"/>
      <c r="P556" s="683"/>
      <c r="Q556" s="683"/>
      <c r="R556" s="683"/>
      <c r="S556" s="683"/>
      <c r="T556" s="501"/>
      <c r="U556" s="501"/>
      <c r="V556" s="501"/>
      <c r="W556" s="501"/>
      <c r="X556" s="501"/>
      <c r="Y556" s="501"/>
      <c r="Z556" s="501"/>
      <c r="AA556" s="501"/>
      <c r="AB556" s="501"/>
      <c r="AC556" s="501"/>
      <c r="AD556" s="501"/>
      <c r="AE556" s="501"/>
      <c r="AF556" s="501"/>
      <c r="AG556" s="501"/>
      <c r="AH556" s="501"/>
      <c r="AI556" s="501"/>
      <c r="AJ556" s="501"/>
      <c r="AK556" s="501"/>
      <c r="AL556" s="501"/>
      <c r="AM556" s="501"/>
      <c r="AN556" s="501"/>
      <c r="AO556" s="501"/>
      <c r="AP556" s="501"/>
      <c r="AQ556" s="501"/>
      <c r="AR556" s="501"/>
      <c r="AS556" s="501"/>
      <c r="AT556" s="501"/>
      <c r="AU556" s="501"/>
      <c r="AV556" s="501"/>
      <c r="AW556" s="501"/>
      <c r="AX556" s="501"/>
      <c r="AY556" s="501"/>
      <c r="AZ556" s="501"/>
      <c r="BA556" s="501"/>
      <c r="BB556" s="501"/>
      <c r="BC556" s="501"/>
      <c r="BD556" s="501"/>
      <c r="BE556" s="501"/>
      <c r="BF556" s="501"/>
      <c r="BG556" s="501"/>
      <c r="BH556" s="501"/>
      <c r="BI556" s="501"/>
      <c r="BJ556" s="501"/>
      <c r="BK556" s="501"/>
      <c r="BL556" s="501"/>
      <c r="BM556" s="501"/>
      <c r="BN556" s="501"/>
      <c r="BO556" s="501"/>
      <c r="BP556" s="501"/>
      <c r="BQ556" s="501"/>
      <c r="BR556" s="501"/>
      <c r="BS556" s="501"/>
      <c r="BT556" s="501"/>
      <c r="BU556" s="501"/>
      <c r="BV556" s="501"/>
      <c r="BW556" s="501"/>
      <c r="BX556" s="501"/>
      <c r="BY556" s="501"/>
      <c r="BZ556" s="501"/>
      <c r="CA556" s="501"/>
      <c r="CB556" s="501"/>
      <c r="CC556" s="501"/>
      <c r="CD556" s="501"/>
      <c r="CE556" s="501"/>
      <c r="CF556" s="501"/>
      <c r="CG556" s="501"/>
      <c r="CH556" s="501"/>
      <c r="CI556" s="501"/>
      <c r="CJ556" s="501"/>
      <c r="CK556" s="501"/>
      <c r="CL556" s="501"/>
      <c r="CM556" s="501"/>
      <c r="CN556" s="501"/>
      <c r="CO556" s="501"/>
      <c r="CP556" s="501"/>
      <c r="CQ556" s="501"/>
      <c r="CR556" s="501"/>
      <c r="CS556" s="501"/>
      <c r="CT556" s="501"/>
    </row>
    <row r="557">
      <c r="A557" s="569"/>
      <c r="B557" s="569"/>
      <c r="C557" s="569"/>
      <c r="D557" s="498"/>
      <c r="E557" s="499"/>
      <c r="F557" s="499"/>
      <c r="G557" s="766"/>
      <c r="H557" s="766"/>
      <c r="I557" s="766"/>
      <c r="J557" s="766"/>
      <c r="K557" s="683"/>
      <c r="L557" s="683"/>
      <c r="M557" s="683"/>
      <c r="N557" s="683"/>
      <c r="O557" s="683"/>
      <c r="P557" s="683"/>
      <c r="Q557" s="683"/>
      <c r="R557" s="683"/>
      <c r="S557" s="683"/>
      <c r="T557" s="501"/>
      <c r="U557" s="501"/>
      <c r="V557" s="501"/>
      <c r="W557" s="501"/>
      <c r="X557" s="501"/>
      <c r="Y557" s="501"/>
      <c r="Z557" s="501"/>
      <c r="AA557" s="501"/>
      <c r="AB557" s="501"/>
      <c r="AC557" s="501"/>
      <c r="AD557" s="501"/>
      <c r="AE557" s="501"/>
      <c r="AF557" s="501"/>
      <c r="AG557" s="501"/>
      <c r="AH557" s="501"/>
      <c r="AI557" s="501"/>
      <c r="AJ557" s="501"/>
      <c r="AK557" s="501"/>
      <c r="AL557" s="501"/>
      <c r="AM557" s="501"/>
      <c r="AN557" s="501"/>
      <c r="AO557" s="501"/>
      <c r="AP557" s="501"/>
      <c r="AQ557" s="501"/>
      <c r="AR557" s="501"/>
      <c r="AS557" s="501"/>
      <c r="AT557" s="501"/>
      <c r="AU557" s="501"/>
      <c r="AV557" s="501"/>
      <c r="AW557" s="501"/>
      <c r="AX557" s="501"/>
      <c r="AY557" s="501"/>
      <c r="AZ557" s="501"/>
      <c r="BA557" s="501"/>
      <c r="BB557" s="501"/>
      <c r="BC557" s="501"/>
      <c r="BD557" s="501"/>
      <c r="BE557" s="501"/>
      <c r="BF557" s="501"/>
      <c r="BG557" s="501"/>
      <c r="BH557" s="501"/>
      <c r="BI557" s="501"/>
      <c r="BJ557" s="501"/>
      <c r="BK557" s="501"/>
      <c r="BL557" s="501"/>
      <c r="BM557" s="501"/>
      <c r="BN557" s="501"/>
      <c r="BO557" s="501"/>
      <c r="BP557" s="501"/>
      <c r="BQ557" s="501"/>
      <c r="BR557" s="501"/>
      <c r="BS557" s="501"/>
      <c r="BT557" s="501"/>
      <c r="BU557" s="501"/>
      <c r="BV557" s="501"/>
      <c r="BW557" s="501"/>
      <c r="BX557" s="501"/>
      <c r="BY557" s="501"/>
      <c r="BZ557" s="501"/>
      <c r="CA557" s="501"/>
      <c r="CB557" s="501"/>
      <c r="CC557" s="501"/>
      <c r="CD557" s="501"/>
      <c r="CE557" s="501"/>
      <c r="CF557" s="501"/>
      <c r="CG557" s="501"/>
      <c r="CH557" s="501"/>
      <c r="CI557" s="501"/>
      <c r="CJ557" s="501"/>
      <c r="CK557" s="501"/>
      <c r="CL557" s="501"/>
      <c r="CM557" s="501"/>
      <c r="CN557" s="501"/>
      <c r="CO557" s="501"/>
      <c r="CP557" s="501"/>
      <c r="CQ557" s="501"/>
      <c r="CR557" s="501"/>
      <c r="CS557" s="501"/>
      <c r="CT557" s="501"/>
    </row>
    <row r="558">
      <c r="A558" s="569"/>
      <c r="B558" s="569"/>
      <c r="C558" s="569"/>
      <c r="D558" s="498"/>
      <c r="E558" s="499"/>
      <c r="F558" s="499"/>
      <c r="G558" s="766"/>
      <c r="H558" s="766"/>
      <c r="I558" s="766"/>
      <c r="J558" s="766"/>
      <c r="K558" s="683"/>
      <c r="L558" s="683"/>
      <c r="M558" s="683"/>
      <c r="N558" s="683"/>
      <c r="O558" s="683"/>
      <c r="P558" s="683"/>
      <c r="Q558" s="683"/>
      <c r="R558" s="683"/>
      <c r="S558" s="683"/>
      <c r="T558" s="501"/>
      <c r="U558" s="501"/>
      <c r="V558" s="501"/>
      <c r="W558" s="501"/>
      <c r="X558" s="501"/>
      <c r="Y558" s="501"/>
      <c r="Z558" s="501"/>
      <c r="AA558" s="501"/>
      <c r="AB558" s="501"/>
      <c r="AC558" s="501"/>
      <c r="AD558" s="501"/>
      <c r="AE558" s="501"/>
      <c r="AF558" s="501"/>
      <c r="AG558" s="501"/>
      <c r="AH558" s="501"/>
      <c r="AI558" s="501"/>
      <c r="AJ558" s="501"/>
      <c r="AK558" s="501"/>
      <c r="AL558" s="501"/>
      <c r="AM558" s="501"/>
      <c r="AN558" s="501"/>
      <c r="AO558" s="501"/>
      <c r="AP558" s="501"/>
      <c r="AQ558" s="501"/>
      <c r="AR558" s="501"/>
      <c r="AS558" s="501"/>
      <c r="AT558" s="501"/>
      <c r="AU558" s="501"/>
      <c r="AV558" s="501"/>
      <c r="AW558" s="501"/>
      <c r="AX558" s="501"/>
      <c r="AY558" s="501"/>
      <c r="AZ558" s="501"/>
      <c r="BA558" s="501"/>
      <c r="BB558" s="501"/>
      <c r="BC558" s="501"/>
      <c r="BD558" s="501"/>
      <c r="BE558" s="501"/>
      <c r="BF558" s="501"/>
      <c r="BG558" s="501"/>
      <c r="BH558" s="501"/>
      <c r="BI558" s="501"/>
      <c r="BJ558" s="501"/>
      <c r="BK558" s="501"/>
      <c r="BL558" s="501"/>
      <c r="BM558" s="501"/>
      <c r="BN558" s="501"/>
      <c r="BO558" s="501"/>
      <c r="BP558" s="501"/>
      <c r="BQ558" s="501"/>
      <c r="BR558" s="501"/>
      <c r="BS558" s="501"/>
      <c r="BT558" s="501"/>
      <c r="BU558" s="501"/>
      <c r="BV558" s="501"/>
      <c r="BW558" s="501"/>
      <c r="BX558" s="501"/>
      <c r="BY558" s="501"/>
      <c r="BZ558" s="501"/>
      <c r="CA558" s="501"/>
      <c r="CB558" s="501"/>
      <c r="CC558" s="501"/>
      <c r="CD558" s="501"/>
      <c r="CE558" s="501"/>
      <c r="CF558" s="501"/>
      <c r="CG558" s="501"/>
      <c r="CH558" s="501"/>
      <c r="CI558" s="501"/>
      <c r="CJ558" s="501"/>
      <c r="CK558" s="501"/>
      <c r="CL558" s="501"/>
      <c r="CM558" s="501"/>
      <c r="CN558" s="501"/>
      <c r="CO558" s="501"/>
      <c r="CP558" s="501"/>
      <c r="CQ558" s="501"/>
      <c r="CR558" s="501"/>
      <c r="CS558" s="501"/>
      <c r="CT558" s="501"/>
    </row>
    <row r="559">
      <c r="A559" s="569"/>
      <c r="B559" s="569"/>
      <c r="C559" s="569"/>
      <c r="D559" s="498"/>
      <c r="E559" s="499"/>
      <c r="F559" s="499"/>
      <c r="G559" s="766"/>
      <c r="H559" s="766"/>
      <c r="I559" s="766"/>
      <c r="J559" s="766"/>
      <c r="K559" s="683"/>
      <c r="L559" s="683"/>
      <c r="M559" s="683"/>
      <c r="N559" s="683"/>
      <c r="O559" s="683"/>
      <c r="P559" s="683"/>
      <c r="Q559" s="683"/>
      <c r="R559" s="683"/>
      <c r="S559" s="683"/>
      <c r="T559" s="501"/>
      <c r="U559" s="501"/>
      <c r="V559" s="501"/>
      <c r="W559" s="501"/>
      <c r="X559" s="501"/>
      <c r="Y559" s="501"/>
      <c r="Z559" s="501"/>
      <c r="AA559" s="501"/>
      <c r="AB559" s="501"/>
      <c r="AC559" s="501"/>
      <c r="AD559" s="501"/>
      <c r="AE559" s="501"/>
      <c r="AF559" s="501"/>
      <c r="AG559" s="501"/>
      <c r="AH559" s="501"/>
      <c r="AI559" s="501"/>
      <c r="AJ559" s="501"/>
      <c r="AK559" s="501"/>
      <c r="AL559" s="501"/>
      <c r="AM559" s="501"/>
      <c r="AN559" s="501"/>
      <c r="AO559" s="501"/>
      <c r="AP559" s="501"/>
      <c r="AQ559" s="501"/>
      <c r="AR559" s="501"/>
      <c r="AS559" s="501"/>
      <c r="AT559" s="501"/>
      <c r="AU559" s="501"/>
      <c r="AV559" s="501"/>
      <c r="AW559" s="501"/>
      <c r="AX559" s="501"/>
      <c r="AY559" s="501"/>
      <c r="AZ559" s="501"/>
      <c r="BA559" s="501"/>
      <c r="BB559" s="501"/>
      <c r="BC559" s="501"/>
      <c r="BD559" s="501"/>
      <c r="BE559" s="501"/>
      <c r="BF559" s="501"/>
      <c r="BG559" s="501"/>
      <c r="BH559" s="501"/>
      <c r="BI559" s="501"/>
      <c r="BJ559" s="501"/>
      <c r="BK559" s="501"/>
      <c r="BL559" s="501"/>
      <c r="BM559" s="501"/>
      <c r="BN559" s="501"/>
      <c r="BO559" s="501"/>
      <c r="BP559" s="501"/>
      <c r="BQ559" s="501"/>
      <c r="BR559" s="501"/>
      <c r="BS559" s="501"/>
      <c r="BT559" s="501"/>
      <c r="BU559" s="501"/>
      <c r="BV559" s="501"/>
      <c r="BW559" s="501"/>
      <c r="BX559" s="501"/>
      <c r="BY559" s="501"/>
      <c r="BZ559" s="501"/>
      <c r="CA559" s="501"/>
      <c r="CB559" s="501"/>
      <c r="CC559" s="501"/>
      <c r="CD559" s="501"/>
      <c r="CE559" s="501"/>
      <c r="CF559" s="501"/>
      <c r="CG559" s="501"/>
      <c r="CH559" s="501"/>
      <c r="CI559" s="501"/>
      <c r="CJ559" s="501"/>
      <c r="CK559" s="501"/>
      <c r="CL559" s="501"/>
      <c r="CM559" s="501"/>
      <c r="CN559" s="501"/>
      <c r="CO559" s="501"/>
      <c r="CP559" s="501"/>
      <c r="CQ559" s="501"/>
      <c r="CR559" s="501"/>
      <c r="CS559" s="501"/>
      <c r="CT559" s="501"/>
    </row>
    <row r="560">
      <c r="A560" s="569"/>
      <c r="B560" s="569"/>
      <c r="C560" s="569"/>
      <c r="D560" s="498"/>
      <c r="E560" s="499"/>
      <c r="F560" s="499"/>
      <c r="G560" s="766"/>
      <c r="H560" s="766"/>
      <c r="I560" s="766"/>
      <c r="J560" s="766"/>
      <c r="K560" s="683"/>
      <c r="L560" s="683"/>
      <c r="M560" s="683"/>
      <c r="N560" s="683"/>
      <c r="O560" s="683"/>
      <c r="P560" s="683"/>
      <c r="Q560" s="683"/>
      <c r="R560" s="683"/>
      <c r="S560" s="683"/>
      <c r="T560" s="501"/>
      <c r="U560" s="501"/>
      <c r="V560" s="501"/>
      <c r="W560" s="501"/>
      <c r="X560" s="501"/>
      <c r="Y560" s="501"/>
      <c r="Z560" s="501"/>
      <c r="AA560" s="501"/>
      <c r="AB560" s="501"/>
      <c r="AC560" s="501"/>
      <c r="AD560" s="501"/>
      <c r="AE560" s="501"/>
      <c r="AF560" s="501"/>
      <c r="AG560" s="501"/>
      <c r="AH560" s="501"/>
      <c r="AI560" s="501"/>
      <c r="AJ560" s="501"/>
      <c r="AK560" s="501"/>
      <c r="AL560" s="501"/>
      <c r="AM560" s="501"/>
      <c r="AN560" s="501"/>
      <c r="AO560" s="501"/>
      <c r="AP560" s="501"/>
      <c r="AQ560" s="501"/>
      <c r="AR560" s="501"/>
      <c r="AS560" s="501"/>
      <c r="AT560" s="501"/>
      <c r="AU560" s="501"/>
      <c r="AV560" s="501"/>
      <c r="AW560" s="501"/>
      <c r="AX560" s="501"/>
      <c r="AY560" s="501"/>
      <c r="AZ560" s="501"/>
      <c r="BA560" s="501"/>
      <c r="BB560" s="501"/>
      <c r="BC560" s="501"/>
      <c r="BD560" s="501"/>
      <c r="BE560" s="501"/>
      <c r="BF560" s="501"/>
      <c r="BG560" s="501"/>
      <c r="BH560" s="501"/>
      <c r="BI560" s="501"/>
      <c r="BJ560" s="501"/>
      <c r="BK560" s="501"/>
      <c r="BL560" s="501"/>
      <c r="BM560" s="501"/>
      <c r="BN560" s="501"/>
      <c r="BO560" s="501"/>
      <c r="BP560" s="501"/>
      <c r="BQ560" s="501"/>
      <c r="BR560" s="501"/>
      <c r="BS560" s="501"/>
      <c r="BT560" s="501"/>
      <c r="BU560" s="501"/>
      <c r="BV560" s="501"/>
      <c r="BW560" s="501"/>
      <c r="BX560" s="501"/>
      <c r="BY560" s="501"/>
      <c r="BZ560" s="501"/>
      <c r="CA560" s="501"/>
      <c r="CB560" s="501"/>
      <c r="CC560" s="501"/>
      <c r="CD560" s="501"/>
      <c r="CE560" s="501"/>
      <c r="CF560" s="501"/>
      <c r="CG560" s="501"/>
      <c r="CH560" s="501"/>
      <c r="CI560" s="501"/>
      <c r="CJ560" s="501"/>
      <c r="CK560" s="501"/>
      <c r="CL560" s="501"/>
      <c r="CM560" s="501"/>
      <c r="CN560" s="501"/>
      <c r="CO560" s="501"/>
      <c r="CP560" s="501"/>
      <c r="CQ560" s="501"/>
      <c r="CR560" s="501"/>
      <c r="CS560" s="501"/>
      <c r="CT560" s="501"/>
    </row>
    <row r="561">
      <c r="A561" s="569"/>
      <c r="B561" s="569"/>
      <c r="C561" s="569"/>
      <c r="D561" s="498"/>
      <c r="E561" s="499"/>
      <c r="F561" s="499"/>
      <c r="G561" s="766"/>
      <c r="H561" s="766"/>
      <c r="I561" s="766"/>
      <c r="J561" s="766"/>
      <c r="K561" s="683"/>
      <c r="L561" s="683"/>
      <c r="M561" s="683"/>
      <c r="N561" s="683"/>
      <c r="O561" s="683"/>
      <c r="P561" s="683"/>
      <c r="Q561" s="683"/>
      <c r="R561" s="683"/>
      <c r="S561" s="683"/>
      <c r="T561" s="501"/>
      <c r="U561" s="501"/>
      <c r="V561" s="501"/>
      <c r="W561" s="501"/>
      <c r="X561" s="501"/>
      <c r="Y561" s="501"/>
      <c r="Z561" s="501"/>
      <c r="AA561" s="501"/>
      <c r="AB561" s="501"/>
      <c r="AC561" s="501"/>
      <c r="AD561" s="501"/>
      <c r="AE561" s="501"/>
      <c r="AF561" s="501"/>
      <c r="AG561" s="501"/>
      <c r="AH561" s="501"/>
      <c r="AI561" s="501"/>
      <c r="AJ561" s="501"/>
      <c r="AK561" s="501"/>
      <c r="AL561" s="501"/>
      <c r="AM561" s="501"/>
      <c r="AN561" s="501"/>
      <c r="AO561" s="501"/>
      <c r="AP561" s="501"/>
      <c r="AQ561" s="501"/>
      <c r="AR561" s="501"/>
      <c r="AS561" s="501"/>
      <c r="AT561" s="501"/>
      <c r="AU561" s="501"/>
      <c r="AV561" s="501"/>
      <c r="AW561" s="501"/>
      <c r="AX561" s="501"/>
      <c r="AY561" s="501"/>
      <c r="AZ561" s="501"/>
      <c r="BA561" s="501"/>
      <c r="BB561" s="501"/>
      <c r="BC561" s="501"/>
      <c r="BD561" s="501"/>
      <c r="BE561" s="501"/>
      <c r="BF561" s="501"/>
      <c r="BG561" s="501"/>
      <c r="BH561" s="501"/>
      <c r="BI561" s="501"/>
      <c r="BJ561" s="501"/>
      <c r="BK561" s="501"/>
      <c r="BL561" s="501"/>
      <c r="BM561" s="501"/>
      <c r="BN561" s="501"/>
      <c r="BO561" s="501"/>
      <c r="BP561" s="501"/>
      <c r="BQ561" s="501"/>
      <c r="BR561" s="501"/>
      <c r="BS561" s="501"/>
      <c r="BT561" s="501"/>
      <c r="BU561" s="501"/>
      <c r="BV561" s="501"/>
      <c r="BW561" s="501"/>
      <c r="BX561" s="501"/>
      <c r="BY561" s="501"/>
      <c r="BZ561" s="501"/>
      <c r="CA561" s="501"/>
      <c r="CB561" s="501"/>
      <c r="CC561" s="501"/>
      <c r="CD561" s="501"/>
      <c r="CE561" s="501"/>
      <c r="CF561" s="501"/>
      <c r="CG561" s="501"/>
      <c r="CH561" s="501"/>
      <c r="CI561" s="501"/>
      <c r="CJ561" s="501"/>
      <c r="CK561" s="501"/>
      <c r="CL561" s="501"/>
      <c r="CM561" s="501"/>
      <c r="CN561" s="501"/>
      <c r="CO561" s="501"/>
      <c r="CP561" s="501"/>
      <c r="CQ561" s="501"/>
      <c r="CR561" s="501"/>
      <c r="CS561" s="501"/>
      <c r="CT561" s="501"/>
    </row>
    <row r="562">
      <c r="A562" s="569"/>
      <c r="B562" s="569"/>
      <c r="C562" s="569"/>
      <c r="D562" s="498"/>
      <c r="E562" s="499"/>
      <c r="F562" s="499"/>
      <c r="G562" s="766"/>
      <c r="H562" s="766"/>
      <c r="I562" s="766"/>
      <c r="J562" s="766"/>
      <c r="K562" s="683"/>
      <c r="L562" s="683"/>
      <c r="M562" s="683"/>
      <c r="N562" s="683"/>
      <c r="O562" s="683"/>
      <c r="P562" s="683"/>
      <c r="Q562" s="683"/>
      <c r="R562" s="683"/>
      <c r="S562" s="683"/>
      <c r="T562" s="501"/>
      <c r="U562" s="501"/>
      <c r="V562" s="501"/>
      <c r="W562" s="501"/>
      <c r="X562" s="501"/>
      <c r="Y562" s="501"/>
      <c r="Z562" s="501"/>
      <c r="AA562" s="501"/>
      <c r="AB562" s="501"/>
      <c r="AC562" s="501"/>
      <c r="AD562" s="501"/>
      <c r="AE562" s="501"/>
      <c r="AF562" s="501"/>
      <c r="AG562" s="501"/>
      <c r="AH562" s="501"/>
      <c r="AI562" s="501"/>
      <c r="AJ562" s="501"/>
      <c r="AK562" s="501"/>
      <c r="AL562" s="501"/>
      <c r="AM562" s="501"/>
      <c r="AN562" s="501"/>
      <c r="AO562" s="501"/>
      <c r="AP562" s="501"/>
      <c r="AQ562" s="501"/>
      <c r="AR562" s="501"/>
      <c r="AS562" s="501"/>
      <c r="AT562" s="501"/>
      <c r="AU562" s="501"/>
      <c r="AV562" s="501"/>
      <c r="AW562" s="501"/>
      <c r="AX562" s="501"/>
      <c r="AY562" s="501"/>
      <c r="AZ562" s="501"/>
      <c r="BA562" s="501"/>
      <c r="BB562" s="501"/>
      <c r="BC562" s="501"/>
      <c r="BD562" s="501"/>
      <c r="BE562" s="501"/>
      <c r="BF562" s="501"/>
      <c r="BG562" s="501"/>
      <c r="BH562" s="501"/>
      <c r="BI562" s="501"/>
      <c r="BJ562" s="501"/>
      <c r="BK562" s="501"/>
      <c r="BL562" s="501"/>
      <c r="BM562" s="501"/>
      <c r="BN562" s="501"/>
      <c r="BO562" s="501"/>
      <c r="BP562" s="501"/>
      <c r="BQ562" s="501"/>
      <c r="BR562" s="501"/>
      <c r="BS562" s="501"/>
      <c r="BT562" s="501"/>
      <c r="BU562" s="501"/>
      <c r="BV562" s="501"/>
      <c r="BW562" s="501"/>
      <c r="BX562" s="501"/>
      <c r="BY562" s="501"/>
      <c r="BZ562" s="501"/>
      <c r="CA562" s="501"/>
      <c r="CB562" s="501"/>
      <c r="CC562" s="501"/>
      <c r="CD562" s="501"/>
      <c r="CE562" s="501"/>
      <c r="CF562" s="501"/>
      <c r="CG562" s="501"/>
      <c r="CH562" s="501"/>
      <c r="CI562" s="501"/>
      <c r="CJ562" s="501"/>
      <c r="CK562" s="501"/>
      <c r="CL562" s="501"/>
      <c r="CM562" s="501"/>
      <c r="CN562" s="501"/>
      <c r="CO562" s="501"/>
      <c r="CP562" s="501"/>
      <c r="CQ562" s="501"/>
      <c r="CR562" s="501"/>
      <c r="CS562" s="501"/>
      <c r="CT562" s="501"/>
    </row>
    <row r="563">
      <c r="A563" s="569"/>
      <c r="B563" s="569"/>
      <c r="C563" s="569"/>
      <c r="D563" s="498"/>
      <c r="E563" s="499"/>
      <c r="F563" s="499"/>
      <c r="G563" s="766"/>
      <c r="H563" s="766"/>
      <c r="I563" s="766"/>
      <c r="J563" s="766"/>
      <c r="K563" s="683"/>
      <c r="L563" s="683"/>
      <c r="M563" s="683"/>
      <c r="N563" s="683"/>
      <c r="O563" s="683"/>
      <c r="P563" s="683"/>
      <c r="Q563" s="683"/>
      <c r="R563" s="683"/>
      <c r="S563" s="683"/>
      <c r="T563" s="501"/>
      <c r="U563" s="501"/>
      <c r="V563" s="501"/>
      <c r="W563" s="501"/>
      <c r="X563" s="501"/>
      <c r="Y563" s="501"/>
      <c r="Z563" s="501"/>
      <c r="AA563" s="501"/>
      <c r="AB563" s="501"/>
      <c r="AC563" s="501"/>
      <c r="AD563" s="501"/>
      <c r="AE563" s="501"/>
      <c r="AF563" s="501"/>
      <c r="AG563" s="501"/>
      <c r="AH563" s="501"/>
      <c r="AI563" s="501"/>
      <c r="AJ563" s="501"/>
      <c r="AK563" s="501"/>
      <c r="AL563" s="501"/>
      <c r="AM563" s="501"/>
      <c r="AN563" s="501"/>
      <c r="AO563" s="501"/>
      <c r="AP563" s="501"/>
      <c r="AQ563" s="501"/>
      <c r="AR563" s="501"/>
      <c r="AS563" s="501"/>
      <c r="AT563" s="501"/>
      <c r="AU563" s="501"/>
      <c r="AV563" s="501"/>
      <c r="AW563" s="501"/>
      <c r="AX563" s="501"/>
      <c r="AY563" s="501"/>
      <c r="AZ563" s="501"/>
      <c r="BA563" s="501"/>
      <c r="BB563" s="501"/>
      <c r="BC563" s="501"/>
      <c r="BD563" s="501"/>
      <c r="BE563" s="501"/>
      <c r="BF563" s="501"/>
      <c r="BG563" s="501"/>
      <c r="BH563" s="501"/>
      <c r="BI563" s="501"/>
      <c r="BJ563" s="501"/>
      <c r="BK563" s="501"/>
      <c r="BL563" s="501"/>
      <c r="BM563" s="501"/>
      <c r="BN563" s="501"/>
      <c r="BO563" s="501"/>
      <c r="BP563" s="501"/>
      <c r="BQ563" s="501"/>
      <c r="BR563" s="501"/>
      <c r="BS563" s="501"/>
      <c r="BT563" s="501"/>
      <c r="BU563" s="501"/>
      <c r="BV563" s="501"/>
      <c r="BW563" s="501"/>
      <c r="BX563" s="501"/>
      <c r="BY563" s="501"/>
      <c r="BZ563" s="501"/>
      <c r="CA563" s="501"/>
      <c r="CB563" s="501"/>
      <c r="CC563" s="501"/>
      <c r="CD563" s="501"/>
      <c r="CE563" s="501"/>
      <c r="CF563" s="501"/>
      <c r="CG563" s="501"/>
      <c r="CH563" s="501"/>
      <c r="CI563" s="501"/>
      <c r="CJ563" s="501"/>
      <c r="CK563" s="501"/>
      <c r="CL563" s="501"/>
      <c r="CM563" s="501"/>
      <c r="CN563" s="501"/>
      <c r="CO563" s="501"/>
      <c r="CP563" s="501"/>
      <c r="CQ563" s="501"/>
      <c r="CR563" s="501"/>
      <c r="CS563" s="501"/>
      <c r="CT563" s="501"/>
    </row>
    <row r="564">
      <c r="A564" s="569"/>
      <c r="B564" s="569"/>
      <c r="C564" s="569"/>
      <c r="D564" s="498"/>
      <c r="E564" s="499"/>
      <c r="F564" s="499"/>
      <c r="G564" s="766"/>
      <c r="H564" s="766"/>
      <c r="I564" s="766"/>
      <c r="J564" s="766"/>
      <c r="K564" s="683"/>
      <c r="L564" s="683"/>
      <c r="M564" s="683"/>
      <c r="N564" s="683"/>
      <c r="O564" s="683"/>
      <c r="P564" s="683"/>
      <c r="Q564" s="683"/>
      <c r="R564" s="683"/>
      <c r="S564" s="683"/>
      <c r="T564" s="501"/>
      <c r="U564" s="501"/>
      <c r="V564" s="501"/>
      <c r="W564" s="501"/>
      <c r="X564" s="501"/>
      <c r="Y564" s="501"/>
      <c r="Z564" s="501"/>
      <c r="AA564" s="501"/>
      <c r="AB564" s="501"/>
      <c r="AC564" s="501"/>
      <c r="AD564" s="501"/>
      <c r="AE564" s="501"/>
      <c r="AF564" s="501"/>
      <c r="AG564" s="501"/>
      <c r="AH564" s="501"/>
      <c r="AI564" s="501"/>
      <c r="AJ564" s="501"/>
      <c r="AK564" s="501"/>
      <c r="AL564" s="501"/>
      <c r="AM564" s="501"/>
      <c r="AN564" s="501"/>
      <c r="AO564" s="501"/>
      <c r="AP564" s="501"/>
      <c r="AQ564" s="501"/>
      <c r="AR564" s="501"/>
      <c r="AS564" s="501"/>
      <c r="AT564" s="501"/>
      <c r="AU564" s="501"/>
      <c r="AV564" s="501"/>
      <c r="AW564" s="501"/>
      <c r="AX564" s="501"/>
      <c r="AY564" s="501"/>
      <c r="AZ564" s="501"/>
      <c r="BA564" s="501"/>
      <c r="BB564" s="501"/>
      <c r="BC564" s="501"/>
      <c r="BD564" s="501"/>
      <c r="BE564" s="501"/>
      <c r="BF564" s="501"/>
      <c r="BG564" s="501"/>
      <c r="BH564" s="501"/>
      <c r="BI564" s="501"/>
      <c r="BJ564" s="501"/>
      <c r="BK564" s="501"/>
      <c r="BL564" s="501"/>
      <c r="BM564" s="501"/>
      <c r="BN564" s="501"/>
      <c r="BO564" s="501"/>
      <c r="BP564" s="501"/>
      <c r="BQ564" s="501"/>
      <c r="BR564" s="501"/>
      <c r="BS564" s="501"/>
      <c r="BT564" s="501"/>
      <c r="BU564" s="501"/>
      <c r="BV564" s="501"/>
      <c r="BW564" s="501"/>
      <c r="BX564" s="501"/>
      <c r="BY564" s="501"/>
      <c r="BZ564" s="501"/>
      <c r="CA564" s="501"/>
      <c r="CB564" s="501"/>
      <c r="CC564" s="501"/>
      <c r="CD564" s="501"/>
      <c r="CE564" s="501"/>
      <c r="CF564" s="501"/>
      <c r="CG564" s="501"/>
      <c r="CH564" s="501"/>
      <c r="CI564" s="501"/>
      <c r="CJ564" s="501"/>
      <c r="CK564" s="501"/>
      <c r="CL564" s="501"/>
      <c r="CM564" s="501"/>
      <c r="CN564" s="501"/>
      <c r="CO564" s="501"/>
      <c r="CP564" s="501"/>
      <c r="CQ564" s="501"/>
      <c r="CR564" s="501"/>
      <c r="CS564" s="501"/>
      <c r="CT564" s="501"/>
    </row>
    <row r="565">
      <c r="A565" s="569"/>
      <c r="B565" s="569"/>
      <c r="C565" s="569"/>
      <c r="D565" s="498"/>
      <c r="E565" s="499"/>
      <c r="F565" s="499"/>
      <c r="G565" s="766"/>
      <c r="H565" s="766"/>
      <c r="I565" s="766"/>
      <c r="J565" s="766"/>
      <c r="K565" s="683"/>
      <c r="L565" s="683"/>
      <c r="M565" s="683"/>
      <c r="N565" s="683"/>
      <c r="O565" s="683"/>
      <c r="P565" s="683"/>
      <c r="Q565" s="683"/>
      <c r="R565" s="683"/>
      <c r="S565" s="683"/>
      <c r="T565" s="501"/>
      <c r="U565" s="501"/>
      <c r="V565" s="501"/>
      <c r="W565" s="501"/>
      <c r="X565" s="501"/>
      <c r="Y565" s="501"/>
      <c r="Z565" s="501"/>
      <c r="AA565" s="501"/>
      <c r="AB565" s="501"/>
      <c r="AC565" s="501"/>
      <c r="AD565" s="501"/>
      <c r="AE565" s="501"/>
      <c r="AF565" s="501"/>
      <c r="AG565" s="501"/>
      <c r="AH565" s="501"/>
      <c r="AI565" s="501"/>
      <c r="AJ565" s="501"/>
      <c r="AK565" s="501"/>
      <c r="AL565" s="501"/>
      <c r="AM565" s="501"/>
      <c r="AN565" s="501"/>
      <c r="AO565" s="501"/>
      <c r="AP565" s="501"/>
      <c r="AQ565" s="501"/>
      <c r="AR565" s="501"/>
      <c r="AS565" s="501"/>
      <c r="AT565" s="501"/>
      <c r="AU565" s="501"/>
      <c r="AV565" s="501"/>
      <c r="AW565" s="501"/>
      <c r="AX565" s="501"/>
      <c r="AY565" s="501"/>
      <c r="AZ565" s="501"/>
      <c r="BA565" s="501"/>
      <c r="BB565" s="501"/>
      <c r="BC565" s="501"/>
      <c r="BD565" s="501"/>
      <c r="BE565" s="501"/>
      <c r="BF565" s="501"/>
      <c r="BG565" s="501"/>
      <c r="BH565" s="501"/>
      <c r="BI565" s="501"/>
      <c r="BJ565" s="501"/>
      <c r="BK565" s="501"/>
      <c r="BL565" s="501"/>
      <c r="BM565" s="501"/>
      <c r="BN565" s="501"/>
      <c r="BO565" s="501"/>
      <c r="BP565" s="501"/>
      <c r="BQ565" s="501"/>
      <c r="BR565" s="501"/>
      <c r="BS565" s="501"/>
      <c r="BT565" s="501"/>
      <c r="BU565" s="501"/>
      <c r="BV565" s="501"/>
      <c r="BW565" s="501"/>
      <c r="BX565" s="501"/>
      <c r="BY565" s="501"/>
      <c r="BZ565" s="501"/>
      <c r="CA565" s="501"/>
      <c r="CB565" s="501"/>
      <c r="CC565" s="501"/>
      <c r="CD565" s="501"/>
      <c r="CE565" s="501"/>
      <c r="CF565" s="501"/>
      <c r="CG565" s="501"/>
      <c r="CH565" s="501"/>
      <c r="CI565" s="501"/>
      <c r="CJ565" s="501"/>
      <c r="CK565" s="501"/>
      <c r="CL565" s="501"/>
      <c r="CM565" s="501"/>
      <c r="CN565" s="501"/>
      <c r="CO565" s="501"/>
      <c r="CP565" s="501"/>
      <c r="CQ565" s="501"/>
      <c r="CR565" s="501"/>
      <c r="CS565" s="501"/>
      <c r="CT565" s="501"/>
    </row>
    <row r="566">
      <c r="A566" s="569"/>
      <c r="B566" s="569"/>
      <c r="C566" s="569"/>
      <c r="D566" s="498"/>
      <c r="E566" s="499"/>
      <c r="F566" s="499"/>
      <c r="G566" s="766"/>
      <c r="H566" s="766"/>
      <c r="I566" s="766"/>
      <c r="J566" s="766"/>
      <c r="K566" s="683"/>
      <c r="L566" s="683"/>
      <c r="M566" s="683"/>
      <c r="N566" s="683"/>
      <c r="O566" s="683"/>
      <c r="P566" s="683"/>
      <c r="Q566" s="683"/>
      <c r="R566" s="683"/>
      <c r="S566" s="683"/>
      <c r="T566" s="501"/>
      <c r="U566" s="501"/>
      <c r="V566" s="501"/>
      <c r="W566" s="501"/>
      <c r="X566" s="501"/>
      <c r="Y566" s="501"/>
      <c r="Z566" s="501"/>
      <c r="AA566" s="501"/>
      <c r="AB566" s="501"/>
      <c r="AC566" s="501"/>
      <c r="AD566" s="501"/>
      <c r="AE566" s="501"/>
      <c r="AF566" s="501"/>
      <c r="AG566" s="501"/>
      <c r="AH566" s="501"/>
      <c r="AI566" s="501"/>
      <c r="AJ566" s="501"/>
      <c r="AK566" s="501"/>
      <c r="AL566" s="501"/>
      <c r="AM566" s="501"/>
      <c r="AN566" s="501"/>
      <c r="AO566" s="501"/>
      <c r="AP566" s="501"/>
      <c r="AQ566" s="501"/>
      <c r="AR566" s="501"/>
      <c r="AS566" s="501"/>
      <c r="AT566" s="501"/>
      <c r="AU566" s="501"/>
      <c r="AV566" s="501"/>
      <c r="AW566" s="501"/>
      <c r="AX566" s="501"/>
      <c r="AY566" s="501"/>
      <c r="AZ566" s="501"/>
      <c r="BA566" s="501"/>
      <c r="BB566" s="501"/>
      <c r="BC566" s="501"/>
      <c r="BD566" s="501"/>
      <c r="BE566" s="501"/>
      <c r="BF566" s="501"/>
      <c r="BG566" s="501"/>
      <c r="BH566" s="501"/>
      <c r="BI566" s="501"/>
      <c r="BJ566" s="501"/>
      <c r="BK566" s="501"/>
      <c r="BL566" s="501"/>
      <c r="BM566" s="501"/>
      <c r="BN566" s="501"/>
      <c r="BO566" s="501"/>
      <c r="BP566" s="501"/>
      <c r="BQ566" s="501"/>
      <c r="BR566" s="501"/>
      <c r="BS566" s="501"/>
      <c r="BT566" s="501"/>
      <c r="BU566" s="501"/>
      <c r="BV566" s="501"/>
      <c r="BW566" s="501"/>
      <c r="BX566" s="501"/>
      <c r="BY566" s="501"/>
      <c r="BZ566" s="501"/>
      <c r="CA566" s="501"/>
      <c r="CB566" s="501"/>
      <c r="CC566" s="501"/>
      <c r="CD566" s="501"/>
      <c r="CE566" s="501"/>
      <c r="CF566" s="501"/>
      <c r="CG566" s="501"/>
      <c r="CH566" s="501"/>
      <c r="CI566" s="501"/>
      <c r="CJ566" s="501"/>
      <c r="CK566" s="501"/>
      <c r="CL566" s="501"/>
      <c r="CM566" s="501"/>
      <c r="CN566" s="501"/>
      <c r="CO566" s="501"/>
      <c r="CP566" s="501"/>
      <c r="CQ566" s="501"/>
      <c r="CR566" s="501"/>
      <c r="CS566" s="501"/>
      <c r="CT566" s="501"/>
    </row>
    <row r="567">
      <c r="A567" s="569"/>
      <c r="B567" s="569"/>
      <c r="C567" s="569"/>
      <c r="D567" s="498"/>
      <c r="E567" s="499"/>
      <c r="F567" s="499"/>
      <c r="G567" s="766"/>
      <c r="H567" s="766"/>
      <c r="I567" s="766"/>
      <c r="J567" s="766"/>
      <c r="K567" s="683"/>
      <c r="L567" s="683"/>
      <c r="M567" s="683"/>
      <c r="N567" s="683"/>
      <c r="O567" s="683"/>
      <c r="P567" s="683"/>
      <c r="Q567" s="683"/>
      <c r="R567" s="683"/>
      <c r="S567" s="683"/>
      <c r="T567" s="501"/>
      <c r="U567" s="501"/>
      <c r="V567" s="501"/>
      <c r="W567" s="501"/>
      <c r="X567" s="501"/>
      <c r="Y567" s="501"/>
      <c r="Z567" s="501"/>
      <c r="AA567" s="501"/>
      <c r="AB567" s="501"/>
      <c r="AC567" s="501"/>
      <c r="AD567" s="501"/>
      <c r="AE567" s="501"/>
      <c r="AF567" s="501"/>
      <c r="AG567" s="501"/>
      <c r="AH567" s="501"/>
      <c r="AI567" s="501"/>
      <c r="AJ567" s="501"/>
      <c r="AK567" s="501"/>
      <c r="AL567" s="501"/>
      <c r="AM567" s="501"/>
      <c r="AN567" s="501"/>
      <c r="AO567" s="501"/>
      <c r="AP567" s="501"/>
      <c r="AQ567" s="501"/>
      <c r="AR567" s="501"/>
      <c r="AS567" s="501"/>
      <c r="AT567" s="501"/>
      <c r="AU567" s="501"/>
      <c r="AV567" s="501"/>
      <c r="AW567" s="501"/>
      <c r="AX567" s="501"/>
      <c r="AY567" s="501"/>
      <c r="AZ567" s="501"/>
      <c r="BA567" s="501"/>
      <c r="BB567" s="501"/>
      <c r="BC567" s="501"/>
      <c r="BD567" s="501"/>
      <c r="BE567" s="501"/>
      <c r="BF567" s="501"/>
      <c r="BG567" s="501"/>
      <c r="BH567" s="501"/>
      <c r="BI567" s="501"/>
      <c r="BJ567" s="501"/>
      <c r="BK567" s="501"/>
      <c r="BL567" s="501"/>
      <c r="BM567" s="501"/>
      <c r="BN567" s="501"/>
      <c r="BO567" s="501"/>
      <c r="BP567" s="501"/>
      <c r="BQ567" s="501"/>
      <c r="BR567" s="501"/>
      <c r="BS567" s="501"/>
      <c r="BT567" s="501"/>
      <c r="BU567" s="501"/>
      <c r="BV567" s="501"/>
      <c r="BW567" s="501"/>
      <c r="BX567" s="501"/>
      <c r="BY567" s="501"/>
      <c r="BZ567" s="501"/>
      <c r="CA567" s="501"/>
      <c r="CB567" s="501"/>
      <c r="CC567" s="501"/>
      <c r="CD567" s="501"/>
      <c r="CE567" s="501"/>
      <c r="CF567" s="501"/>
      <c r="CG567" s="501"/>
      <c r="CH567" s="501"/>
      <c r="CI567" s="501"/>
      <c r="CJ567" s="501"/>
      <c r="CK567" s="501"/>
      <c r="CL567" s="501"/>
      <c r="CM567" s="501"/>
      <c r="CN567" s="501"/>
      <c r="CO567" s="501"/>
      <c r="CP567" s="501"/>
      <c r="CQ567" s="501"/>
      <c r="CR567" s="501"/>
      <c r="CS567" s="501"/>
      <c r="CT567" s="501"/>
    </row>
    <row r="568">
      <c r="A568" s="569"/>
      <c r="B568" s="569"/>
      <c r="C568" s="569"/>
      <c r="D568" s="498"/>
      <c r="E568" s="499"/>
      <c r="F568" s="499"/>
      <c r="G568" s="766"/>
      <c r="H568" s="766"/>
      <c r="I568" s="766"/>
      <c r="J568" s="766"/>
      <c r="K568" s="683"/>
      <c r="L568" s="683"/>
      <c r="M568" s="683"/>
      <c r="N568" s="683"/>
      <c r="O568" s="683"/>
      <c r="P568" s="683"/>
      <c r="Q568" s="683"/>
      <c r="R568" s="683"/>
      <c r="S568" s="683"/>
      <c r="T568" s="501"/>
      <c r="U568" s="501"/>
      <c r="V568" s="501"/>
      <c r="W568" s="501"/>
      <c r="X568" s="501"/>
      <c r="Y568" s="501"/>
      <c r="Z568" s="501"/>
      <c r="AA568" s="501"/>
      <c r="AB568" s="501"/>
      <c r="AC568" s="501"/>
      <c r="AD568" s="501"/>
      <c r="AE568" s="501"/>
      <c r="AF568" s="501"/>
      <c r="AG568" s="501"/>
      <c r="AH568" s="501"/>
      <c r="AI568" s="501"/>
      <c r="AJ568" s="501"/>
      <c r="AK568" s="501"/>
      <c r="AL568" s="501"/>
      <c r="AM568" s="501"/>
      <c r="AN568" s="501"/>
      <c r="AO568" s="501"/>
      <c r="AP568" s="501"/>
      <c r="AQ568" s="501"/>
      <c r="AR568" s="501"/>
      <c r="AS568" s="501"/>
      <c r="AT568" s="501"/>
      <c r="AU568" s="501"/>
      <c r="AV568" s="501"/>
      <c r="AW568" s="501"/>
      <c r="AX568" s="501"/>
      <c r="AY568" s="501"/>
      <c r="AZ568" s="501"/>
      <c r="BA568" s="501"/>
      <c r="BB568" s="501"/>
      <c r="BC568" s="501"/>
      <c r="BD568" s="501"/>
      <c r="BE568" s="501"/>
      <c r="BF568" s="501"/>
      <c r="BG568" s="501"/>
      <c r="BH568" s="501"/>
      <c r="BI568" s="501"/>
      <c r="BJ568" s="501"/>
      <c r="BK568" s="501"/>
      <c r="BL568" s="501"/>
      <c r="BM568" s="501"/>
      <c r="BN568" s="501"/>
      <c r="BO568" s="501"/>
      <c r="BP568" s="501"/>
      <c r="BQ568" s="501"/>
      <c r="BR568" s="501"/>
      <c r="BS568" s="501"/>
      <c r="BT568" s="501"/>
      <c r="BU568" s="501"/>
      <c r="BV568" s="501"/>
      <c r="BW568" s="501"/>
      <c r="BX568" s="501"/>
      <c r="BY568" s="501"/>
      <c r="BZ568" s="501"/>
      <c r="CA568" s="501"/>
      <c r="CB568" s="501"/>
      <c r="CC568" s="501"/>
      <c r="CD568" s="501"/>
      <c r="CE568" s="501"/>
      <c r="CF568" s="501"/>
      <c r="CG568" s="501"/>
      <c r="CH568" s="501"/>
      <c r="CI568" s="501"/>
      <c r="CJ568" s="501"/>
      <c r="CK568" s="501"/>
      <c r="CL568" s="501"/>
      <c r="CM568" s="501"/>
      <c r="CN568" s="501"/>
      <c r="CO568" s="501"/>
      <c r="CP568" s="501"/>
      <c r="CQ568" s="501"/>
      <c r="CR568" s="501"/>
      <c r="CS568" s="501"/>
      <c r="CT568" s="501"/>
    </row>
    <row r="569">
      <c r="A569" s="569"/>
      <c r="B569" s="569"/>
      <c r="C569" s="569"/>
      <c r="D569" s="498"/>
      <c r="E569" s="499"/>
      <c r="F569" s="499"/>
      <c r="G569" s="766"/>
      <c r="H569" s="766"/>
      <c r="I569" s="766"/>
      <c r="J569" s="766"/>
      <c r="K569" s="683"/>
      <c r="L569" s="683"/>
      <c r="M569" s="683"/>
      <c r="N569" s="683"/>
      <c r="O569" s="683"/>
      <c r="P569" s="683"/>
      <c r="Q569" s="683"/>
      <c r="R569" s="683"/>
      <c r="S569" s="683"/>
      <c r="T569" s="501"/>
      <c r="U569" s="501"/>
      <c r="V569" s="501"/>
      <c r="W569" s="501"/>
      <c r="X569" s="501"/>
      <c r="Y569" s="501"/>
      <c r="Z569" s="501"/>
      <c r="AA569" s="501"/>
      <c r="AB569" s="501"/>
      <c r="AC569" s="501"/>
      <c r="AD569" s="501"/>
      <c r="AE569" s="501"/>
      <c r="AF569" s="501"/>
      <c r="AG569" s="501"/>
      <c r="AH569" s="501"/>
      <c r="AI569" s="501"/>
      <c r="AJ569" s="501"/>
      <c r="AK569" s="501"/>
      <c r="AL569" s="501"/>
      <c r="AM569" s="501"/>
      <c r="AN569" s="501"/>
      <c r="AO569" s="501"/>
      <c r="AP569" s="501"/>
      <c r="AQ569" s="501"/>
      <c r="AR569" s="501"/>
      <c r="AS569" s="501"/>
      <c r="AT569" s="501"/>
      <c r="AU569" s="501"/>
      <c r="AV569" s="501"/>
      <c r="AW569" s="501"/>
      <c r="AX569" s="501"/>
      <c r="AY569" s="501"/>
      <c r="AZ569" s="501"/>
      <c r="BA569" s="501"/>
      <c r="BB569" s="501"/>
      <c r="BC569" s="501"/>
      <c r="BD569" s="501"/>
      <c r="BE569" s="501"/>
      <c r="BF569" s="501"/>
      <c r="BG569" s="501"/>
      <c r="BH569" s="501"/>
      <c r="BI569" s="501"/>
      <c r="BJ569" s="501"/>
      <c r="BK569" s="501"/>
      <c r="BL569" s="501"/>
      <c r="BM569" s="501"/>
      <c r="BN569" s="501"/>
      <c r="BO569" s="501"/>
      <c r="BP569" s="501"/>
      <c r="BQ569" s="501"/>
      <c r="BR569" s="501"/>
      <c r="BS569" s="501"/>
      <c r="BT569" s="501"/>
      <c r="BU569" s="501"/>
      <c r="BV569" s="501"/>
      <c r="BW569" s="501"/>
      <c r="BX569" s="501"/>
      <c r="BY569" s="501"/>
      <c r="BZ569" s="501"/>
      <c r="CA569" s="501"/>
      <c r="CB569" s="501"/>
      <c r="CC569" s="501"/>
      <c r="CD569" s="501"/>
      <c r="CE569" s="501"/>
      <c r="CF569" s="501"/>
      <c r="CG569" s="501"/>
      <c r="CH569" s="501"/>
      <c r="CI569" s="501"/>
      <c r="CJ569" s="501"/>
      <c r="CK569" s="501"/>
      <c r="CL569" s="501"/>
      <c r="CM569" s="501"/>
      <c r="CN569" s="501"/>
      <c r="CO569" s="501"/>
      <c r="CP569" s="501"/>
      <c r="CQ569" s="501"/>
      <c r="CR569" s="501"/>
      <c r="CS569" s="501"/>
      <c r="CT569" s="501"/>
    </row>
    <row r="570">
      <c r="A570" s="569"/>
      <c r="B570" s="569"/>
      <c r="C570" s="569"/>
      <c r="D570" s="498"/>
      <c r="E570" s="499"/>
      <c r="F570" s="499"/>
      <c r="G570" s="766"/>
      <c r="H570" s="766"/>
      <c r="I570" s="766"/>
      <c r="J570" s="766"/>
      <c r="K570" s="683"/>
      <c r="L570" s="683"/>
      <c r="M570" s="683"/>
      <c r="N570" s="683"/>
      <c r="O570" s="683"/>
      <c r="P570" s="683"/>
      <c r="Q570" s="683"/>
      <c r="R570" s="683"/>
      <c r="S570" s="683"/>
      <c r="T570" s="501"/>
      <c r="U570" s="501"/>
      <c r="V570" s="501"/>
      <c r="W570" s="501"/>
      <c r="X570" s="501"/>
      <c r="Y570" s="501"/>
      <c r="Z570" s="501"/>
      <c r="AA570" s="501"/>
      <c r="AB570" s="501"/>
      <c r="AC570" s="501"/>
      <c r="AD570" s="501"/>
      <c r="AE570" s="501"/>
      <c r="AF570" s="501"/>
      <c r="AG570" s="501"/>
      <c r="AH570" s="501"/>
      <c r="AI570" s="501"/>
      <c r="AJ570" s="501"/>
      <c r="AK570" s="501"/>
      <c r="AL570" s="501"/>
      <c r="AM570" s="501"/>
      <c r="AN570" s="501"/>
      <c r="AO570" s="501"/>
      <c r="AP570" s="501"/>
      <c r="AQ570" s="501"/>
      <c r="AR570" s="501"/>
      <c r="AS570" s="501"/>
      <c r="AT570" s="501"/>
      <c r="AU570" s="501"/>
      <c r="AV570" s="501"/>
      <c r="AW570" s="501"/>
      <c r="AX570" s="501"/>
      <c r="AY570" s="501"/>
      <c r="AZ570" s="501"/>
      <c r="BA570" s="501"/>
      <c r="BB570" s="501"/>
      <c r="BC570" s="501"/>
      <c r="BD570" s="501"/>
      <c r="BE570" s="501"/>
      <c r="BF570" s="501"/>
      <c r="BG570" s="501"/>
      <c r="BH570" s="501"/>
      <c r="BI570" s="501"/>
      <c r="BJ570" s="501"/>
      <c r="BK570" s="501"/>
      <c r="BL570" s="501"/>
      <c r="BM570" s="501"/>
      <c r="BN570" s="501"/>
      <c r="BO570" s="501"/>
      <c r="BP570" s="501"/>
      <c r="BQ570" s="501"/>
      <c r="BR570" s="501"/>
      <c r="BS570" s="501"/>
      <c r="BT570" s="501"/>
      <c r="BU570" s="501"/>
      <c r="BV570" s="501"/>
      <c r="BW570" s="501"/>
      <c r="BX570" s="501"/>
      <c r="BY570" s="501"/>
      <c r="BZ570" s="501"/>
      <c r="CA570" s="501"/>
      <c r="CB570" s="501"/>
      <c r="CC570" s="501"/>
      <c r="CD570" s="501"/>
      <c r="CE570" s="501"/>
      <c r="CF570" s="501"/>
      <c r="CG570" s="501"/>
      <c r="CH570" s="501"/>
      <c r="CI570" s="501"/>
      <c r="CJ570" s="501"/>
      <c r="CK570" s="501"/>
      <c r="CL570" s="501"/>
      <c r="CM570" s="501"/>
      <c r="CN570" s="501"/>
      <c r="CO570" s="501"/>
      <c r="CP570" s="501"/>
      <c r="CQ570" s="501"/>
      <c r="CR570" s="501"/>
      <c r="CS570" s="501"/>
      <c r="CT570" s="501"/>
    </row>
    <row r="571">
      <c r="A571" s="569"/>
      <c r="B571" s="569"/>
      <c r="C571" s="569"/>
      <c r="D571" s="498"/>
      <c r="E571" s="499"/>
      <c r="F571" s="499"/>
      <c r="G571" s="766"/>
      <c r="H571" s="766"/>
      <c r="I571" s="766"/>
      <c r="J571" s="766"/>
      <c r="K571" s="683"/>
      <c r="L571" s="683"/>
      <c r="M571" s="683"/>
      <c r="N571" s="683"/>
      <c r="O571" s="683"/>
      <c r="P571" s="683"/>
      <c r="Q571" s="683"/>
      <c r="R571" s="683"/>
      <c r="S571" s="683"/>
      <c r="T571" s="501"/>
      <c r="U571" s="501"/>
      <c r="V571" s="501"/>
      <c r="W571" s="501"/>
      <c r="X571" s="501"/>
      <c r="Y571" s="501"/>
      <c r="Z571" s="501"/>
      <c r="AA571" s="501"/>
      <c r="AB571" s="501"/>
      <c r="AC571" s="501"/>
      <c r="AD571" s="501"/>
      <c r="AE571" s="501"/>
      <c r="AF571" s="501"/>
      <c r="AG571" s="501"/>
      <c r="AH571" s="501"/>
      <c r="AI571" s="501"/>
      <c r="AJ571" s="501"/>
      <c r="AK571" s="501"/>
      <c r="AL571" s="501"/>
      <c r="AM571" s="501"/>
      <c r="AN571" s="501"/>
      <c r="AO571" s="501"/>
      <c r="AP571" s="501"/>
      <c r="AQ571" s="501"/>
      <c r="AR571" s="501"/>
      <c r="AS571" s="501"/>
      <c r="AT571" s="501"/>
      <c r="AU571" s="501"/>
      <c r="AV571" s="501"/>
      <c r="AW571" s="501"/>
      <c r="AX571" s="501"/>
      <c r="AY571" s="501"/>
      <c r="AZ571" s="501"/>
      <c r="BA571" s="501"/>
      <c r="BB571" s="501"/>
      <c r="BC571" s="501"/>
      <c r="BD571" s="501"/>
      <c r="BE571" s="501"/>
      <c r="BF571" s="501"/>
      <c r="BG571" s="501"/>
      <c r="BH571" s="501"/>
      <c r="BI571" s="501"/>
      <c r="BJ571" s="501"/>
      <c r="BK571" s="501"/>
      <c r="BL571" s="501"/>
      <c r="BM571" s="501"/>
      <c r="BN571" s="501"/>
      <c r="BO571" s="501"/>
      <c r="BP571" s="501"/>
      <c r="BQ571" s="501"/>
      <c r="BR571" s="501"/>
      <c r="BS571" s="501"/>
      <c r="BT571" s="501"/>
      <c r="BU571" s="501"/>
      <c r="BV571" s="501"/>
      <c r="BW571" s="501"/>
      <c r="BX571" s="501"/>
      <c r="BY571" s="501"/>
      <c r="BZ571" s="501"/>
      <c r="CA571" s="501"/>
      <c r="CB571" s="501"/>
      <c r="CC571" s="501"/>
      <c r="CD571" s="501"/>
      <c r="CE571" s="501"/>
      <c r="CF571" s="501"/>
      <c r="CG571" s="501"/>
      <c r="CH571" s="501"/>
      <c r="CI571" s="501"/>
      <c r="CJ571" s="501"/>
      <c r="CK571" s="501"/>
      <c r="CL571" s="501"/>
      <c r="CM571" s="501"/>
      <c r="CN571" s="501"/>
      <c r="CO571" s="501"/>
      <c r="CP571" s="501"/>
      <c r="CQ571" s="501"/>
      <c r="CR571" s="501"/>
      <c r="CS571" s="501"/>
      <c r="CT571" s="501"/>
    </row>
    <row r="572">
      <c r="A572" s="569"/>
      <c r="B572" s="569"/>
      <c r="C572" s="569"/>
      <c r="D572" s="498"/>
      <c r="E572" s="499"/>
      <c r="F572" s="499"/>
      <c r="G572" s="766"/>
      <c r="H572" s="766"/>
      <c r="I572" s="766"/>
      <c r="J572" s="766"/>
      <c r="K572" s="683"/>
      <c r="L572" s="683"/>
      <c r="M572" s="683"/>
      <c r="N572" s="683"/>
      <c r="O572" s="683"/>
      <c r="P572" s="683"/>
      <c r="Q572" s="683"/>
      <c r="R572" s="683"/>
      <c r="S572" s="683"/>
      <c r="T572" s="501"/>
      <c r="U572" s="501"/>
      <c r="V572" s="501"/>
      <c r="W572" s="501"/>
      <c r="X572" s="501"/>
      <c r="Y572" s="501"/>
      <c r="Z572" s="501"/>
      <c r="AA572" s="501"/>
      <c r="AB572" s="501"/>
      <c r="AC572" s="501"/>
      <c r="AD572" s="501"/>
      <c r="AE572" s="501"/>
      <c r="AF572" s="501"/>
      <c r="AG572" s="501"/>
      <c r="AH572" s="501"/>
      <c r="AI572" s="501"/>
      <c r="AJ572" s="501"/>
      <c r="AK572" s="501"/>
      <c r="AL572" s="501"/>
      <c r="AM572" s="501"/>
      <c r="AN572" s="501"/>
      <c r="AO572" s="501"/>
      <c r="AP572" s="501"/>
      <c r="AQ572" s="501"/>
      <c r="AR572" s="501"/>
      <c r="AS572" s="501"/>
      <c r="AT572" s="501"/>
      <c r="AU572" s="501"/>
      <c r="AV572" s="501"/>
      <c r="AW572" s="501"/>
      <c r="AX572" s="501"/>
      <c r="AY572" s="501"/>
      <c r="AZ572" s="501"/>
      <c r="BA572" s="501"/>
      <c r="BB572" s="501"/>
      <c r="BC572" s="501"/>
      <c r="BD572" s="501"/>
      <c r="BE572" s="501"/>
      <c r="BF572" s="501"/>
      <c r="BG572" s="501"/>
      <c r="BH572" s="501"/>
      <c r="BI572" s="501"/>
      <c r="BJ572" s="501"/>
      <c r="BK572" s="501"/>
      <c r="BL572" s="501"/>
      <c r="BM572" s="501"/>
      <c r="BN572" s="501"/>
      <c r="BO572" s="501"/>
      <c r="BP572" s="501"/>
      <c r="BQ572" s="501"/>
      <c r="BR572" s="501"/>
      <c r="BS572" s="501"/>
      <c r="BT572" s="501"/>
      <c r="BU572" s="501"/>
      <c r="BV572" s="501"/>
      <c r="BW572" s="501"/>
      <c r="BX572" s="501"/>
      <c r="BY572" s="501"/>
      <c r="BZ572" s="501"/>
      <c r="CA572" s="501"/>
      <c r="CB572" s="501"/>
      <c r="CC572" s="501"/>
      <c r="CD572" s="501"/>
      <c r="CE572" s="501"/>
      <c r="CF572" s="501"/>
      <c r="CG572" s="501"/>
      <c r="CH572" s="501"/>
      <c r="CI572" s="501"/>
      <c r="CJ572" s="501"/>
      <c r="CK572" s="501"/>
      <c r="CL572" s="501"/>
      <c r="CM572" s="501"/>
      <c r="CN572" s="501"/>
      <c r="CO572" s="501"/>
      <c r="CP572" s="501"/>
      <c r="CQ572" s="501"/>
      <c r="CR572" s="501"/>
      <c r="CS572" s="501"/>
      <c r="CT572" s="501"/>
    </row>
    <row r="573">
      <c r="A573" s="569"/>
      <c r="B573" s="569"/>
      <c r="C573" s="569"/>
      <c r="D573" s="498"/>
      <c r="E573" s="499"/>
      <c r="F573" s="499"/>
      <c r="G573" s="766"/>
      <c r="H573" s="766"/>
      <c r="I573" s="766"/>
      <c r="J573" s="766"/>
      <c r="K573" s="683"/>
      <c r="L573" s="683"/>
      <c r="M573" s="683"/>
      <c r="N573" s="683"/>
      <c r="O573" s="683"/>
      <c r="P573" s="683"/>
      <c r="Q573" s="683"/>
      <c r="R573" s="683"/>
      <c r="S573" s="683"/>
      <c r="T573" s="501"/>
      <c r="U573" s="501"/>
      <c r="V573" s="501"/>
      <c r="W573" s="501"/>
      <c r="X573" s="501"/>
      <c r="Y573" s="501"/>
      <c r="Z573" s="501"/>
      <c r="AA573" s="501"/>
      <c r="AB573" s="501"/>
      <c r="AC573" s="501"/>
      <c r="AD573" s="501"/>
      <c r="AE573" s="501"/>
      <c r="AF573" s="501"/>
      <c r="AG573" s="501"/>
      <c r="AH573" s="501"/>
      <c r="AI573" s="501"/>
      <c r="AJ573" s="501"/>
      <c r="AK573" s="501"/>
      <c r="AL573" s="501"/>
      <c r="AM573" s="501"/>
      <c r="AN573" s="501"/>
      <c r="AO573" s="501"/>
      <c r="AP573" s="501"/>
      <c r="AQ573" s="501"/>
      <c r="AR573" s="501"/>
      <c r="AS573" s="501"/>
      <c r="AT573" s="501"/>
      <c r="AU573" s="501"/>
      <c r="AV573" s="501"/>
      <c r="AW573" s="501"/>
      <c r="AX573" s="501"/>
      <c r="AY573" s="501"/>
      <c r="AZ573" s="501"/>
      <c r="BA573" s="501"/>
      <c r="BB573" s="501"/>
      <c r="BC573" s="501"/>
      <c r="BD573" s="501"/>
      <c r="BE573" s="501"/>
      <c r="BF573" s="501"/>
      <c r="BG573" s="501"/>
      <c r="BH573" s="501"/>
      <c r="BI573" s="501"/>
      <c r="BJ573" s="501"/>
      <c r="BK573" s="501"/>
      <c r="BL573" s="501"/>
      <c r="BM573" s="501"/>
      <c r="BN573" s="501"/>
      <c r="BO573" s="501"/>
      <c r="BP573" s="501"/>
      <c r="BQ573" s="501"/>
      <c r="BR573" s="501"/>
      <c r="BS573" s="501"/>
      <c r="BT573" s="501"/>
      <c r="BU573" s="501"/>
      <c r="BV573" s="501"/>
      <c r="BW573" s="501"/>
      <c r="BX573" s="501"/>
      <c r="BY573" s="501"/>
      <c r="BZ573" s="501"/>
      <c r="CA573" s="501"/>
      <c r="CB573" s="501"/>
      <c r="CC573" s="501"/>
      <c r="CD573" s="501"/>
      <c r="CE573" s="501"/>
      <c r="CF573" s="501"/>
      <c r="CG573" s="501"/>
      <c r="CH573" s="501"/>
      <c r="CI573" s="501"/>
      <c r="CJ573" s="501"/>
      <c r="CK573" s="501"/>
      <c r="CL573" s="501"/>
      <c r="CM573" s="501"/>
      <c r="CN573" s="501"/>
      <c r="CO573" s="501"/>
      <c r="CP573" s="501"/>
      <c r="CQ573" s="501"/>
      <c r="CR573" s="501"/>
      <c r="CS573" s="501"/>
      <c r="CT573" s="501"/>
    </row>
    <row r="574">
      <c r="A574" s="569"/>
      <c r="B574" s="569"/>
      <c r="C574" s="569"/>
      <c r="D574" s="498"/>
      <c r="E574" s="499"/>
      <c r="F574" s="499"/>
      <c r="G574" s="766"/>
      <c r="H574" s="766"/>
      <c r="I574" s="766"/>
      <c r="J574" s="766"/>
      <c r="K574" s="683"/>
      <c r="L574" s="683"/>
      <c r="M574" s="683"/>
      <c r="N574" s="683"/>
      <c r="O574" s="683"/>
      <c r="P574" s="683"/>
      <c r="Q574" s="683"/>
      <c r="R574" s="683"/>
      <c r="S574" s="683"/>
      <c r="T574" s="501"/>
      <c r="U574" s="501"/>
      <c r="V574" s="501"/>
      <c r="W574" s="501"/>
      <c r="X574" s="501"/>
      <c r="Y574" s="501"/>
      <c r="Z574" s="501"/>
      <c r="AA574" s="501"/>
      <c r="AB574" s="501"/>
      <c r="AC574" s="501"/>
      <c r="AD574" s="501"/>
      <c r="AE574" s="501"/>
      <c r="AF574" s="501"/>
      <c r="AG574" s="501"/>
      <c r="AH574" s="501"/>
      <c r="AI574" s="501"/>
      <c r="AJ574" s="501"/>
      <c r="AK574" s="501"/>
      <c r="AL574" s="501"/>
      <c r="AM574" s="501"/>
      <c r="AN574" s="501"/>
      <c r="AO574" s="501"/>
      <c r="AP574" s="501"/>
      <c r="AQ574" s="501"/>
      <c r="AR574" s="501"/>
      <c r="AS574" s="501"/>
      <c r="AT574" s="501"/>
      <c r="AU574" s="501"/>
      <c r="AV574" s="501"/>
      <c r="AW574" s="501"/>
      <c r="AX574" s="501"/>
      <c r="AY574" s="501"/>
      <c r="AZ574" s="501"/>
      <c r="BA574" s="501"/>
      <c r="BB574" s="501"/>
      <c r="BC574" s="501"/>
      <c r="BD574" s="501"/>
      <c r="BE574" s="501"/>
      <c r="BF574" s="501"/>
      <c r="BG574" s="501"/>
      <c r="BH574" s="501"/>
      <c r="BI574" s="501"/>
      <c r="BJ574" s="501"/>
      <c r="BK574" s="501"/>
      <c r="BL574" s="501"/>
      <c r="BM574" s="501"/>
      <c r="BN574" s="501"/>
      <c r="BO574" s="501"/>
      <c r="BP574" s="501"/>
      <c r="BQ574" s="501"/>
      <c r="BR574" s="501"/>
      <c r="BS574" s="501"/>
      <c r="BT574" s="501"/>
      <c r="BU574" s="501"/>
      <c r="BV574" s="501"/>
      <c r="BW574" s="501"/>
      <c r="BX574" s="501"/>
      <c r="BY574" s="501"/>
      <c r="BZ574" s="501"/>
      <c r="CA574" s="501"/>
      <c r="CB574" s="501"/>
      <c r="CC574" s="501"/>
      <c r="CD574" s="501"/>
      <c r="CE574" s="501"/>
      <c r="CF574" s="501"/>
      <c r="CG574" s="501"/>
      <c r="CH574" s="501"/>
      <c r="CI574" s="501"/>
      <c r="CJ574" s="501"/>
      <c r="CK574" s="501"/>
      <c r="CL574" s="501"/>
      <c r="CM574" s="501"/>
      <c r="CN574" s="501"/>
      <c r="CO574" s="501"/>
      <c r="CP574" s="501"/>
      <c r="CQ574" s="501"/>
      <c r="CR574" s="501"/>
      <c r="CS574" s="501"/>
      <c r="CT574" s="501"/>
    </row>
    <row r="575">
      <c r="A575" s="569"/>
      <c r="B575" s="569"/>
      <c r="C575" s="569"/>
      <c r="D575" s="498"/>
      <c r="E575" s="499"/>
      <c r="F575" s="499"/>
      <c r="G575" s="766"/>
      <c r="H575" s="766"/>
      <c r="I575" s="766"/>
      <c r="J575" s="766"/>
      <c r="K575" s="683"/>
      <c r="L575" s="683"/>
      <c r="M575" s="683"/>
      <c r="N575" s="683"/>
      <c r="O575" s="683"/>
      <c r="P575" s="683"/>
      <c r="Q575" s="683"/>
      <c r="R575" s="683"/>
      <c r="S575" s="683"/>
      <c r="T575" s="501"/>
      <c r="U575" s="501"/>
      <c r="V575" s="501"/>
      <c r="W575" s="501"/>
      <c r="X575" s="501"/>
      <c r="Y575" s="501"/>
      <c r="Z575" s="501"/>
      <c r="AA575" s="501"/>
      <c r="AB575" s="501"/>
      <c r="AC575" s="501"/>
      <c r="AD575" s="501"/>
      <c r="AE575" s="501"/>
      <c r="AF575" s="501"/>
      <c r="AG575" s="501"/>
      <c r="AH575" s="501"/>
      <c r="AI575" s="501"/>
      <c r="AJ575" s="501"/>
      <c r="AK575" s="501"/>
      <c r="AL575" s="501"/>
      <c r="AM575" s="501"/>
      <c r="AN575" s="501"/>
      <c r="AO575" s="501"/>
      <c r="AP575" s="501"/>
      <c r="AQ575" s="501"/>
      <c r="AR575" s="501"/>
      <c r="AS575" s="501"/>
      <c r="AT575" s="501"/>
      <c r="AU575" s="501"/>
      <c r="AV575" s="501"/>
      <c r="AW575" s="501"/>
      <c r="AX575" s="501"/>
      <c r="AY575" s="501"/>
      <c r="AZ575" s="501"/>
      <c r="BA575" s="501"/>
      <c r="BB575" s="501"/>
      <c r="BC575" s="501"/>
      <c r="BD575" s="501"/>
      <c r="BE575" s="501"/>
      <c r="BF575" s="501"/>
      <c r="BG575" s="501"/>
      <c r="BH575" s="501"/>
      <c r="BI575" s="501"/>
      <c r="BJ575" s="501"/>
      <c r="BK575" s="501"/>
      <c r="BL575" s="501"/>
      <c r="BM575" s="501"/>
      <c r="BN575" s="501"/>
      <c r="BO575" s="501"/>
      <c r="BP575" s="501"/>
      <c r="BQ575" s="501"/>
      <c r="BR575" s="501"/>
      <c r="BS575" s="501"/>
      <c r="BT575" s="501"/>
      <c r="BU575" s="501"/>
      <c r="BV575" s="501"/>
      <c r="BW575" s="501"/>
      <c r="BX575" s="501"/>
      <c r="BY575" s="501"/>
      <c r="BZ575" s="501"/>
      <c r="CA575" s="501"/>
      <c r="CB575" s="501"/>
      <c r="CC575" s="501"/>
      <c r="CD575" s="501"/>
      <c r="CE575" s="501"/>
      <c r="CF575" s="501"/>
      <c r="CG575" s="501"/>
      <c r="CH575" s="501"/>
      <c r="CI575" s="501"/>
      <c r="CJ575" s="501"/>
      <c r="CK575" s="501"/>
      <c r="CL575" s="501"/>
      <c r="CM575" s="501"/>
      <c r="CN575" s="501"/>
      <c r="CO575" s="501"/>
      <c r="CP575" s="501"/>
      <c r="CQ575" s="501"/>
      <c r="CR575" s="501"/>
      <c r="CS575" s="501"/>
      <c r="CT575" s="501"/>
    </row>
    <row r="576">
      <c r="A576" s="569"/>
      <c r="B576" s="569"/>
      <c r="C576" s="569"/>
      <c r="D576" s="498"/>
      <c r="E576" s="499"/>
      <c r="F576" s="499"/>
      <c r="G576" s="766"/>
      <c r="H576" s="766"/>
      <c r="I576" s="766"/>
      <c r="J576" s="766"/>
      <c r="K576" s="683"/>
      <c r="L576" s="683"/>
      <c r="M576" s="683"/>
      <c r="N576" s="683"/>
      <c r="O576" s="683"/>
      <c r="P576" s="683"/>
      <c r="Q576" s="683"/>
      <c r="R576" s="683"/>
      <c r="S576" s="683"/>
      <c r="T576" s="501"/>
      <c r="U576" s="501"/>
      <c r="V576" s="501"/>
      <c r="W576" s="501"/>
      <c r="X576" s="501"/>
      <c r="Y576" s="501"/>
      <c r="Z576" s="501"/>
      <c r="AA576" s="501"/>
      <c r="AB576" s="501"/>
      <c r="AC576" s="501"/>
      <c r="AD576" s="501"/>
      <c r="AE576" s="501"/>
      <c r="AF576" s="501"/>
      <c r="AG576" s="501"/>
      <c r="AH576" s="501"/>
      <c r="AI576" s="501"/>
      <c r="AJ576" s="501"/>
      <c r="AK576" s="501"/>
      <c r="AL576" s="501"/>
      <c r="AM576" s="501"/>
      <c r="AN576" s="501"/>
      <c r="AO576" s="501"/>
      <c r="AP576" s="501"/>
      <c r="AQ576" s="501"/>
      <c r="AR576" s="501"/>
      <c r="AS576" s="501"/>
      <c r="AT576" s="501"/>
      <c r="AU576" s="501"/>
      <c r="AV576" s="501"/>
      <c r="AW576" s="501"/>
      <c r="AX576" s="501"/>
      <c r="AY576" s="501"/>
      <c r="AZ576" s="501"/>
      <c r="BA576" s="501"/>
      <c r="BB576" s="501"/>
      <c r="BC576" s="501"/>
      <c r="BD576" s="501"/>
      <c r="BE576" s="501"/>
      <c r="BF576" s="501"/>
      <c r="BG576" s="501"/>
      <c r="BH576" s="501"/>
      <c r="BI576" s="501"/>
      <c r="BJ576" s="501"/>
      <c r="BK576" s="501"/>
      <c r="BL576" s="501"/>
      <c r="BM576" s="501"/>
      <c r="BN576" s="501"/>
      <c r="BO576" s="501"/>
      <c r="BP576" s="501"/>
      <c r="BQ576" s="501"/>
      <c r="BR576" s="501"/>
      <c r="BS576" s="501"/>
      <c r="BT576" s="501"/>
      <c r="BU576" s="501"/>
      <c r="BV576" s="501"/>
      <c r="BW576" s="501"/>
      <c r="BX576" s="501"/>
      <c r="BY576" s="501"/>
      <c r="BZ576" s="501"/>
      <c r="CA576" s="501"/>
      <c r="CB576" s="501"/>
      <c r="CC576" s="501"/>
      <c r="CD576" s="501"/>
      <c r="CE576" s="501"/>
      <c r="CF576" s="501"/>
      <c r="CG576" s="501"/>
      <c r="CH576" s="501"/>
      <c r="CI576" s="501"/>
      <c r="CJ576" s="501"/>
      <c r="CK576" s="501"/>
      <c r="CL576" s="501"/>
      <c r="CM576" s="501"/>
      <c r="CN576" s="501"/>
      <c r="CO576" s="501"/>
      <c r="CP576" s="501"/>
      <c r="CQ576" s="501"/>
      <c r="CR576" s="501"/>
      <c r="CS576" s="501"/>
      <c r="CT576" s="501"/>
    </row>
    <row r="577">
      <c r="A577" s="569"/>
      <c r="B577" s="569"/>
      <c r="C577" s="569"/>
      <c r="D577" s="498"/>
      <c r="E577" s="499"/>
      <c r="F577" s="499"/>
      <c r="G577" s="766"/>
      <c r="H577" s="766"/>
      <c r="I577" s="766"/>
      <c r="J577" s="766"/>
      <c r="K577" s="683"/>
      <c r="L577" s="683"/>
      <c r="M577" s="683"/>
      <c r="N577" s="683"/>
      <c r="O577" s="683"/>
      <c r="P577" s="683"/>
      <c r="Q577" s="683"/>
      <c r="R577" s="683"/>
      <c r="S577" s="683"/>
      <c r="T577" s="501"/>
      <c r="U577" s="501"/>
      <c r="V577" s="501"/>
      <c r="W577" s="501"/>
      <c r="X577" s="501"/>
      <c r="Y577" s="501"/>
      <c r="Z577" s="501"/>
      <c r="AA577" s="501"/>
      <c r="AB577" s="501"/>
      <c r="AC577" s="501"/>
      <c r="AD577" s="501"/>
      <c r="AE577" s="501"/>
      <c r="AF577" s="501"/>
      <c r="AG577" s="501"/>
      <c r="AH577" s="501"/>
      <c r="AI577" s="501"/>
      <c r="AJ577" s="501"/>
      <c r="AK577" s="501"/>
      <c r="AL577" s="501"/>
      <c r="AM577" s="501"/>
      <c r="AN577" s="501"/>
      <c r="AO577" s="501"/>
      <c r="AP577" s="501"/>
      <c r="AQ577" s="501"/>
      <c r="AR577" s="501"/>
      <c r="AS577" s="501"/>
      <c r="AT577" s="501"/>
      <c r="AU577" s="501"/>
      <c r="AV577" s="501"/>
      <c r="AW577" s="501"/>
      <c r="AX577" s="501"/>
      <c r="AY577" s="501"/>
      <c r="AZ577" s="501"/>
      <c r="BA577" s="501"/>
      <c r="BB577" s="501"/>
      <c r="BC577" s="501"/>
      <c r="BD577" s="501"/>
      <c r="BE577" s="501"/>
      <c r="BF577" s="501"/>
      <c r="BG577" s="501"/>
      <c r="BH577" s="501"/>
      <c r="BI577" s="501"/>
      <c r="BJ577" s="501"/>
      <c r="BK577" s="501"/>
      <c r="BL577" s="501"/>
      <c r="BM577" s="501"/>
      <c r="BN577" s="501"/>
      <c r="BO577" s="501"/>
      <c r="BP577" s="501"/>
      <c r="BQ577" s="501"/>
      <c r="BR577" s="501"/>
      <c r="BS577" s="501"/>
      <c r="BT577" s="501"/>
      <c r="BU577" s="501"/>
      <c r="BV577" s="501"/>
      <c r="BW577" s="501"/>
      <c r="BX577" s="501"/>
      <c r="BY577" s="501"/>
      <c r="BZ577" s="501"/>
      <c r="CA577" s="501"/>
      <c r="CB577" s="501"/>
      <c r="CC577" s="501"/>
      <c r="CD577" s="501"/>
      <c r="CE577" s="501"/>
      <c r="CF577" s="501"/>
      <c r="CG577" s="501"/>
      <c r="CH577" s="501"/>
      <c r="CI577" s="501"/>
      <c r="CJ577" s="501"/>
      <c r="CK577" s="501"/>
      <c r="CL577" s="501"/>
      <c r="CM577" s="501"/>
      <c r="CN577" s="501"/>
      <c r="CO577" s="501"/>
      <c r="CP577" s="501"/>
      <c r="CQ577" s="501"/>
      <c r="CR577" s="501"/>
      <c r="CS577" s="501"/>
      <c r="CT577" s="501"/>
    </row>
    <row r="578">
      <c r="A578" s="569"/>
      <c r="B578" s="569"/>
      <c r="C578" s="569"/>
      <c r="D578" s="498"/>
      <c r="E578" s="499"/>
      <c r="F578" s="499"/>
      <c r="G578" s="766"/>
      <c r="H578" s="766"/>
      <c r="I578" s="766"/>
      <c r="J578" s="766"/>
      <c r="K578" s="683"/>
      <c r="L578" s="683"/>
      <c r="M578" s="683"/>
      <c r="N578" s="683"/>
      <c r="O578" s="683"/>
      <c r="P578" s="683"/>
      <c r="Q578" s="683"/>
      <c r="R578" s="683"/>
      <c r="S578" s="683"/>
      <c r="T578" s="501"/>
      <c r="U578" s="501"/>
      <c r="V578" s="501"/>
      <c r="W578" s="501"/>
      <c r="X578" s="501"/>
      <c r="Y578" s="501"/>
      <c r="Z578" s="501"/>
      <c r="AA578" s="501"/>
      <c r="AB578" s="501"/>
      <c r="AC578" s="501"/>
      <c r="AD578" s="501"/>
      <c r="AE578" s="501"/>
      <c r="AF578" s="501"/>
      <c r="AG578" s="501"/>
      <c r="AH578" s="501"/>
      <c r="AI578" s="501"/>
      <c r="AJ578" s="501"/>
      <c r="AK578" s="501"/>
      <c r="AL578" s="501"/>
      <c r="AM578" s="501"/>
      <c r="AN578" s="501"/>
      <c r="AO578" s="501"/>
      <c r="AP578" s="501"/>
      <c r="AQ578" s="501"/>
      <c r="AR578" s="501"/>
      <c r="AS578" s="501"/>
      <c r="AT578" s="501"/>
      <c r="AU578" s="501"/>
      <c r="AV578" s="501"/>
      <c r="AW578" s="501"/>
      <c r="AX578" s="501"/>
      <c r="AY578" s="501"/>
      <c r="AZ578" s="501"/>
      <c r="BA578" s="501"/>
      <c r="BB578" s="501"/>
      <c r="BC578" s="501"/>
      <c r="BD578" s="501"/>
      <c r="BE578" s="501"/>
      <c r="BF578" s="501"/>
      <c r="BG578" s="501"/>
      <c r="BH578" s="501"/>
      <c r="BI578" s="501"/>
      <c r="BJ578" s="501"/>
      <c r="BK578" s="501"/>
      <c r="BL578" s="501"/>
      <c r="BM578" s="501"/>
      <c r="BN578" s="501"/>
      <c r="BO578" s="501"/>
      <c r="BP578" s="501"/>
      <c r="BQ578" s="501"/>
      <c r="BR578" s="501"/>
      <c r="BS578" s="501"/>
      <c r="BT578" s="501"/>
      <c r="BU578" s="501"/>
      <c r="BV578" s="501"/>
      <c r="BW578" s="501"/>
      <c r="BX578" s="501"/>
      <c r="BY578" s="501"/>
      <c r="BZ578" s="501"/>
      <c r="CA578" s="501"/>
      <c r="CB578" s="501"/>
      <c r="CC578" s="501"/>
      <c r="CD578" s="501"/>
      <c r="CE578" s="501"/>
      <c r="CF578" s="501"/>
      <c r="CG578" s="501"/>
      <c r="CH578" s="501"/>
      <c r="CI578" s="501"/>
      <c r="CJ578" s="501"/>
      <c r="CK578" s="501"/>
      <c r="CL578" s="501"/>
      <c r="CM578" s="501"/>
      <c r="CN578" s="501"/>
      <c r="CO578" s="501"/>
      <c r="CP578" s="501"/>
      <c r="CQ578" s="501"/>
      <c r="CR578" s="501"/>
      <c r="CS578" s="501"/>
      <c r="CT578" s="501"/>
    </row>
    <row r="579">
      <c r="A579" s="569"/>
      <c r="B579" s="569"/>
      <c r="C579" s="569"/>
      <c r="D579" s="498"/>
      <c r="E579" s="499"/>
      <c r="F579" s="499"/>
      <c r="G579" s="766"/>
      <c r="H579" s="766"/>
      <c r="I579" s="766"/>
      <c r="J579" s="766"/>
      <c r="K579" s="683"/>
      <c r="L579" s="683"/>
      <c r="M579" s="683"/>
      <c r="N579" s="683"/>
      <c r="O579" s="683"/>
      <c r="P579" s="683"/>
      <c r="Q579" s="683"/>
      <c r="R579" s="683"/>
      <c r="S579" s="683"/>
      <c r="T579" s="501"/>
      <c r="U579" s="501"/>
      <c r="V579" s="501"/>
      <c r="W579" s="501"/>
      <c r="X579" s="501"/>
      <c r="Y579" s="501"/>
      <c r="Z579" s="501"/>
      <c r="AA579" s="501"/>
      <c r="AB579" s="501"/>
      <c r="AC579" s="501"/>
      <c r="AD579" s="501"/>
      <c r="AE579" s="501"/>
      <c r="AF579" s="501"/>
      <c r="AG579" s="501"/>
      <c r="AH579" s="501"/>
      <c r="AI579" s="501"/>
      <c r="AJ579" s="501"/>
      <c r="AK579" s="501"/>
      <c r="AL579" s="501"/>
      <c r="AM579" s="501"/>
      <c r="AN579" s="501"/>
      <c r="AO579" s="501"/>
      <c r="AP579" s="501"/>
      <c r="AQ579" s="501"/>
      <c r="AR579" s="501"/>
      <c r="AS579" s="501"/>
      <c r="AT579" s="501"/>
      <c r="AU579" s="501"/>
      <c r="AV579" s="501"/>
      <c r="AW579" s="501"/>
      <c r="AX579" s="501"/>
      <c r="AY579" s="501"/>
      <c r="AZ579" s="501"/>
      <c r="BA579" s="501"/>
      <c r="BB579" s="501"/>
      <c r="BC579" s="501"/>
      <c r="BD579" s="501"/>
      <c r="BE579" s="501"/>
      <c r="BF579" s="501"/>
      <c r="BG579" s="501"/>
      <c r="BH579" s="501"/>
      <c r="BI579" s="501"/>
      <c r="BJ579" s="501"/>
      <c r="BK579" s="501"/>
      <c r="BL579" s="501"/>
      <c r="BM579" s="501"/>
      <c r="BN579" s="501"/>
      <c r="BO579" s="501"/>
      <c r="BP579" s="501"/>
      <c r="BQ579" s="501"/>
      <c r="BR579" s="501"/>
      <c r="BS579" s="501"/>
      <c r="BT579" s="501"/>
      <c r="BU579" s="501"/>
      <c r="BV579" s="501"/>
      <c r="BW579" s="501"/>
      <c r="BX579" s="501"/>
      <c r="BY579" s="501"/>
      <c r="BZ579" s="501"/>
      <c r="CA579" s="501"/>
      <c r="CB579" s="501"/>
      <c r="CC579" s="501"/>
      <c r="CD579" s="501"/>
      <c r="CE579" s="501"/>
      <c r="CF579" s="501"/>
      <c r="CG579" s="501"/>
      <c r="CH579" s="501"/>
      <c r="CI579" s="501"/>
      <c r="CJ579" s="501"/>
      <c r="CK579" s="501"/>
      <c r="CL579" s="501"/>
      <c r="CM579" s="501"/>
      <c r="CN579" s="501"/>
      <c r="CO579" s="501"/>
      <c r="CP579" s="501"/>
      <c r="CQ579" s="501"/>
      <c r="CR579" s="501"/>
      <c r="CS579" s="501"/>
      <c r="CT579" s="501"/>
    </row>
    <row r="580">
      <c r="A580" s="569"/>
      <c r="B580" s="569"/>
      <c r="C580" s="569"/>
      <c r="D580" s="498"/>
      <c r="E580" s="499"/>
      <c r="F580" s="499"/>
      <c r="G580" s="766"/>
      <c r="H580" s="766"/>
      <c r="I580" s="766"/>
      <c r="J580" s="766"/>
      <c r="K580" s="683"/>
      <c r="L580" s="683"/>
      <c r="M580" s="683"/>
      <c r="N580" s="683"/>
      <c r="O580" s="683"/>
      <c r="P580" s="683"/>
      <c r="Q580" s="683"/>
      <c r="R580" s="683"/>
      <c r="S580" s="683"/>
      <c r="T580" s="501"/>
      <c r="U580" s="501"/>
      <c r="V580" s="501"/>
      <c r="W580" s="501"/>
      <c r="X580" s="501"/>
      <c r="Y580" s="501"/>
      <c r="Z580" s="501"/>
      <c r="AA580" s="501"/>
      <c r="AB580" s="501"/>
      <c r="AC580" s="501"/>
      <c r="AD580" s="501"/>
      <c r="AE580" s="501"/>
      <c r="AF580" s="501"/>
      <c r="AG580" s="501"/>
      <c r="AH580" s="501"/>
      <c r="AI580" s="501"/>
      <c r="AJ580" s="501"/>
      <c r="AK580" s="501"/>
      <c r="AL580" s="501"/>
      <c r="AM580" s="501"/>
      <c r="AN580" s="501"/>
      <c r="AO580" s="501"/>
      <c r="AP580" s="501"/>
      <c r="AQ580" s="501"/>
      <c r="AR580" s="501"/>
      <c r="AS580" s="501"/>
      <c r="AT580" s="501"/>
      <c r="AU580" s="501"/>
      <c r="AV580" s="501"/>
      <c r="AW580" s="501"/>
      <c r="AX580" s="501"/>
      <c r="AY580" s="501"/>
      <c r="AZ580" s="501"/>
      <c r="BA580" s="501"/>
      <c r="BB580" s="501"/>
      <c r="BC580" s="501"/>
      <c r="BD580" s="501"/>
      <c r="BE580" s="501"/>
      <c r="BF580" s="501"/>
      <c r="BG580" s="501"/>
      <c r="BH580" s="501"/>
      <c r="BI580" s="501"/>
      <c r="BJ580" s="501"/>
      <c r="BK580" s="501"/>
      <c r="BL580" s="501"/>
      <c r="BM580" s="501"/>
      <c r="BN580" s="501"/>
      <c r="BO580" s="501"/>
      <c r="BP580" s="501"/>
      <c r="BQ580" s="501"/>
      <c r="BR580" s="501"/>
      <c r="BS580" s="501"/>
      <c r="BT580" s="501"/>
      <c r="BU580" s="501"/>
      <c r="BV580" s="501"/>
      <c r="BW580" s="501"/>
      <c r="BX580" s="501"/>
      <c r="BY580" s="501"/>
      <c r="BZ580" s="501"/>
      <c r="CA580" s="501"/>
      <c r="CB580" s="501"/>
      <c r="CC580" s="501"/>
      <c r="CD580" s="501"/>
      <c r="CE580" s="501"/>
      <c r="CF580" s="501"/>
      <c r="CG580" s="501"/>
      <c r="CH580" s="501"/>
      <c r="CI580" s="501"/>
      <c r="CJ580" s="501"/>
      <c r="CK580" s="501"/>
      <c r="CL580" s="501"/>
      <c r="CM580" s="501"/>
      <c r="CN580" s="501"/>
      <c r="CO580" s="501"/>
      <c r="CP580" s="501"/>
      <c r="CQ580" s="501"/>
      <c r="CR580" s="501"/>
      <c r="CS580" s="501"/>
      <c r="CT580" s="501"/>
    </row>
    <row r="581">
      <c r="A581" s="569"/>
      <c r="B581" s="569"/>
      <c r="C581" s="569"/>
      <c r="D581" s="498"/>
      <c r="E581" s="499"/>
      <c r="F581" s="499"/>
      <c r="G581" s="766"/>
      <c r="H581" s="766"/>
      <c r="I581" s="766"/>
      <c r="J581" s="766"/>
      <c r="K581" s="683"/>
      <c r="L581" s="683"/>
      <c r="M581" s="683"/>
      <c r="N581" s="683"/>
      <c r="O581" s="683"/>
      <c r="P581" s="683"/>
      <c r="Q581" s="683"/>
      <c r="R581" s="683"/>
      <c r="S581" s="683"/>
      <c r="T581" s="501"/>
      <c r="U581" s="501"/>
      <c r="V581" s="501"/>
      <c r="W581" s="501"/>
      <c r="X581" s="501"/>
      <c r="Y581" s="501"/>
      <c r="Z581" s="501"/>
      <c r="AA581" s="501"/>
      <c r="AB581" s="501"/>
      <c r="AC581" s="501"/>
      <c r="AD581" s="501"/>
      <c r="AE581" s="501"/>
      <c r="AF581" s="501"/>
      <c r="AG581" s="501"/>
      <c r="AH581" s="501"/>
      <c r="AI581" s="501"/>
      <c r="AJ581" s="501"/>
      <c r="AK581" s="501"/>
      <c r="AL581" s="501"/>
      <c r="AM581" s="501"/>
      <c r="AN581" s="501"/>
      <c r="AO581" s="501"/>
      <c r="AP581" s="501"/>
      <c r="AQ581" s="501"/>
      <c r="AR581" s="501"/>
      <c r="AS581" s="501"/>
      <c r="AT581" s="501"/>
      <c r="AU581" s="501"/>
      <c r="AV581" s="501"/>
      <c r="AW581" s="501"/>
      <c r="AX581" s="501"/>
      <c r="AY581" s="501"/>
      <c r="AZ581" s="501"/>
      <c r="BA581" s="501"/>
      <c r="BB581" s="501"/>
      <c r="BC581" s="501"/>
      <c r="BD581" s="501"/>
      <c r="BE581" s="501"/>
      <c r="BF581" s="501"/>
      <c r="BG581" s="501"/>
      <c r="BH581" s="501"/>
      <c r="BI581" s="501"/>
      <c r="BJ581" s="501"/>
      <c r="BK581" s="501"/>
      <c r="BL581" s="501"/>
      <c r="BM581" s="501"/>
      <c r="BN581" s="501"/>
      <c r="BO581" s="501"/>
      <c r="BP581" s="501"/>
      <c r="BQ581" s="501"/>
      <c r="BR581" s="501"/>
      <c r="BS581" s="501"/>
      <c r="BT581" s="501"/>
      <c r="BU581" s="501"/>
      <c r="BV581" s="501"/>
      <c r="BW581" s="501"/>
      <c r="BX581" s="501"/>
      <c r="BY581" s="501"/>
      <c r="BZ581" s="501"/>
      <c r="CA581" s="501"/>
      <c r="CB581" s="501"/>
      <c r="CC581" s="501"/>
      <c r="CD581" s="501"/>
      <c r="CE581" s="501"/>
      <c r="CF581" s="501"/>
      <c r="CG581" s="501"/>
      <c r="CH581" s="501"/>
      <c r="CI581" s="501"/>
      <c r="CJ581" s="501"/>
      <c r="CK581" s="501"/>
      <c r="CL581" s="501"/>
      <c r="CM581" s="501"/>
      <c r="CN581" s="501"/>
      <c r="CO581" s="501"/>
      <c r="CP581" s="501"/>
      <c r="CQ581" s="501"/>
      <c r="CR581" s="501"/>
      <c r="CS581" s="501"/>
      <c r="CT581" s="501"/>
    </row>
    <row r="582">
      <c r="A582" s="569"/>
      <c r="B582" s="569"/>
      <c r="C582" s="569"/>
      <c r="D582" s="498"/>
      <c r="E582" s="499"/>
      <c r="F582" s="499"/>
      <c r="G582" s="766"/>
      <c r="H582" s="766"/>
      <c r="I582" s="766"/>
      <c r="J582" s="766"/>
      <c r="K582" s="683"/>
      <c r="L582" s="683"/>
      <c r="M582" s="683"/>
      <c r="N582" s="683"/>
      <c r="O582" s="683"/>
      <c r="P582" s="683"/>
      <c r="Q582" s="683"/>
      <c r="R582" s="683"/>
      <c r="S582" s="683"/>
      <c r="T582" s="501"/>
      <c r="U582" s="501"/>
      <c r="V582" s="501"/>
      <c r="W582" s="501"/>
      <c r="X582" s="501"/>
      <c r="Y582" s="501"/>
      <c r="Z582" s="501"/>
      <c r="AA582" s="501"/>
      <c r="AB582" s="501"/>
      <c r="AC582" s="501"/>
      <c r="AD582" s="501"/>
      <c r="AE582" s="501"/>
      <c r="AF582" s="501"/>
      <c r="AG582" s="501"/>
      <c r="AH582" s="501"/>
      <c r="AI582" s="501"/>
      <c r="AJ582" s="501"/>
      <c r="AK582" s="501"/>
      <c r="AL582" s="501"/>
      <c r="AM582" s="501"/>
      <c r="AN582" s="501"/>
      <c r="AO582" s="501"/>
      <c r="AP582" s="501"/>
      <c r="AQ582" s="501"/>
      <c r="AR582" s="501"/>
      <c r="AS582" s="501"/>
      <c r="AT582" s="501"/>
      <c r="AU582" s="501"/>
      <c r="AV582" s="501"/>
      <c r="AW582" s="501"/>
      <c r="AX582" s="501"/>
      <c r="AY582" s="501"/>
      <c r="AZ582" s="501"/>
      <c r="BA582" s="501"/>
      <c r="BB582" s="501"/>
      <c r="BC582" s="501"/>
      <c r="BD582" s="501"/>
      <c r="BE582" s="501"/>
      <c r="BF582" s="501"/>
      <c r="BG582" s="501"/>
      <c r="BH582" s="501"/>
      <c r="BI582" s="501"/>
      <c r="BJ582" s="501"/>
      <c r="BK582" s="501"/>
      <c r="BL582" s="501"/>
      <c r="BM582" s="501"/>
      <c r="BN582" s="501"/>
      <c r="BO582" s="501"/>
      <c r="BP582" s="501"/>
      <c r="BQ582" s="501"/>
      <c r="BR582" s="501"/>
      <c r="BS582" s="501"/>
      <c r="BT582" s="501"/>
      <c r="BU582" s="501"/>
      <c r="BV582" s="501"/>
      <c r="BW582" s="501"/>
      <c r="BX582" s="501"/>
      <c r="BY582" s="501"/>
      <c r="BZ582" s="501"/>
      <c r="CA582" s="501"/>
      <c r="CB582" s="501"/>
      <c r="CC582" s="501"/>
      <c r="CD582" s="501"/>
      <c r="CE582" s="501"/>
      <c r="CF582" s="501"/>
      <c r="CG582" s="501"/>
      <c r="CH582" s="501"/>
      <c r="CI582" s="501"/>
      <c r="CJ582" s="501"/>
      <c r="CK582" s="501"/>
      <c r="CL582" s="501"/>
      <c r="CM582" s="501"/>
      <c r="CN582" s="501"/>
      <c r="CO582" s="501"/>
      <c r="CP582" s="501"/>
      <c r="CQ582" s="501"/>
      <c r="CR582" s="501"/>
      <c r="CS582" s="501"/>
      <c r="CT582" s="501"/>
    </row>
    <row r="583">
      <c r="A583" s="569"/>
      <c r="B583" s="569"/>
      <c r="C583" s="569"/>
      <c r="D583" s="498"/>
      <c r="E583" s="499"/>
      <c r="F583" s="499"/>
      <c r="G583" s="766"/>
      <c r="H583" s="766"/>
      <c r="I583" s="766"/>
      <c r="J583" s="766"/>
      <c r="K583" s="683"/>
      <c r="L583" s="683"/>
      <c r="M583" s="683"/>
      <c r="N583" s="683"/>
      <c r="O583" s="683"/>
      <c r="P583" s="683"/>
      <c r="Q583" s="683"/>
      <c r="R583" s="683"/>
      <c r="S583" s="683"/>
      <c r="T583" s="501"/>
      <c r="U583" s="501"/>
      <c r="V583" s="501"/>
      <c r="W583" s="501"/>
      <c r="X583" s="501"/>
      <c r="Y583" s="501"/>
      <c r="Z583" s="501"/>
      <c r="AA583" s="501"/>
      <c r="AB583" s="501"/>
      <c r="AC583" s="501"/>
      <c r="AD583" s="501"/>
      <c r="AE583" s="501"/>
      <c r="AF583" s="501"/>
      <c r="AG583" s="501"/>
      <c r="AH583" s="501"/>
      <c r="AI583" s="501"/>
      <c r="AJ583" s="501"/>
      <c r="AK583" s="501"/>
      <c r="AL583" s="501"/>
      <c r="AM583" s="501"/>
      <c r="AN583" s="501"/>
      <c r="AO583" s="501"/>
      <c r="AP583" s="501"/>
      <c r="AQ583" s="501"/>
      <c r="AR583" s="501"/>
      <c r="AS583" s="501"/>
      <c r="AT583" s="501"/>
      <c r="AU583" s="501"/>
      <c r="AV583" s="501"/>
      <c r="AW583" s="501"/>
      <c r="AX583" s="501"/>
      <c r="AY583" s="501"/>
      <c r="AZ583" s="501"/>
      <c r="BA583" s="501"/>
      <c r="BB583" s="501"/>
      <c r="BC583" s="501"/>
      <c r="BD583" s="501"/>
      <c r="BE583" s="501"/>
      <c r="BF583" s="501"/>
      <c r="BG583" s="501"/>
      <c r="BH583" s="501"/>
      <c r="BI583" s="501"/>
      <c r="BJ583" s="501"/>
      <c r="BK583" s="501"/>
      <c r="BL583" s="501"/>
      <c r="BM583" s="501"/>
      <c r="BN583" s="501"/>
      <c r="BO583" s="501"/>
      <c r="BP583" s="501"/>
      <c r="BQ583" s="501"/>
      <c r="BR583" s="501"/>
      <c r="BS583" s="501"/>
      <c r="BT583" s="501"/>
      <c r="BU583" s="501"/>
      <c r="BV583" s="501"/>
      <c r="BW583" s="501"/>
      <c r="BX583" s="501"/>
      <c r="BY583" s="501"/>
      <c r="BZ583" s="501"/>
      <c r="CA583" s="501"/>
      <c r="CB583" s="501"/>
      <c r="CC583" s="501"/>
      <c r="CD583" s="501"/>
      <c r="CE583" s="501"/>
      <c r="CF583" s="501"/>
      <c r="CG583" s="501"/>
      <c r="CH583" s="501"/>
      <c r="CI583" s="501"/>
      <c r="CJ583" s="501"/>
      <c r="CK583" s="501"/>
      <c r="CL583" s="501"/>
      <c r="CM583" s="501"/>
      <c r="CN583" s="501"/>
      <c r="CO583" s="501"/>
      <c r="CP583" s="501"/>
      <c r="CQ583" s="501"/>
      <c r="CR583" s="501"/>
      <c r="CS583" s="501"/>
      <c r="CT583" s="501"/>
    </row>
    <row r="584">
      <c r="A584" s="569"/>
      <c r="B584" s="569"/>
      <c r="C584" s="569"/>
      <c r="D584" s="498"/>
      <c r="E584" s="499"/>
      <c r="F584" s="499"/>
      <c r="G584" s="766"/>
      <c r="H584" s="766"/>
      <c r="I584" s="766"/>
      <c r="J584" s="766"/>
      <c r="K584" s="683"/>
      <c r="L584" s="683"/>
      <c r="M584" s="683"/>
      <c r="N584" s="683"/>
      <c r="O584" s="683"/>
      <c r="P584" s="683"/>
      <c r="Q584" s="683"/>
      <c r="R584" s="683"/>
      <c r="S584" s="683"/>
      <c r="T584" s="501"/>
      <c r="U584" s="501"/>
      <c r="V584" s="501"/>
      <c r="W584" s="501"/>
      <c r="X584" s="501"/>
      <c r="Y584" s="501"/>
      <c r="Z584" s="501"/>
      <c r="AA584" s="501"/>
      <c r="AB584" s="501"/>
      <c r="AC584" s="501"/>
      <c r="AD584" s="501"/>
      <c r="AE584" s="501"/>
      <c r="AF584" s="501"/>
      <c r="AG584" s="501"/>
      <c r="AH584" s="501"/>
      <c r="AI584" s="501"/>
      <c r="AJ584" s="501"/>
      <c r="AK584" s="501"/>
      <c r="AL584" s="501"/>
      <c r="AM584" s="501"/>
      <c r="AN584" s="501"/>
      <c r="AO584" s="501"/>
      <c r="AP584" s="501"/>
      <c r="AQ584" s="501"/>
      <c r="AR584" s="501"/>
      <c r="AS584" s="501"/>
      <c r="AT584" s="501"/>
      <c r="AU584" s="501"/>
      <c r="AV584" s="501"/>
      <c r="AW584" s="501"/>
      <c r="AX584" s="501"/>
      <c r="AY584" s="501"/>
      <c r="AZ584" s="501"/>
      <c r="BA584" s="501"/>
      <c r="BB584" s="501"/>
      <c r="BC584" s="501"/>
      <c r="BD584" s="501"/>
      <c r="BE584" s="501"/>
      <c r="BF584" s="501"/>
      <c r="BG584" s="501"/>
      <c r="BH584" s="501"/>
      <c r="BI584" s="501"/>
      <c r="BJ584" s="501"/>
      <c r="BK584" s="501"/>
      <c r="BL584" s="501"/>
      <c r="BM584" s="501"/>
      <c r="BN584" s="501"/>
      <c r="BO584" s="501"/>
      <c r="BP584" s="501"/>
      <c r="BQ584" s="501"/>
      <c r="BR584" s="501"/>
      <c r="BS584" s="501"/>
      <c r="BT584" s="501"/>
      <c r="BU584" s="501"/>
      <c r="BV584" s="501"/>
      <c r="BW584" s="501"/>
      <c r="BX584" s="501"/>
      <c r="BY584" s="501"/>
      <c r="BZ584" s="501"/>
      <c r="CA584" s="501"/>
      <c r="CB584" s="501"/>
      <c r="CC584" s="501"/>
      <c r="CD584" s="501"/>
      <c r="CE584" s="501"/>
      <c r="CF584" s="501"/>
      <c r="CG584" s="501"/>
      <c r="CH584" s="501"/>
      <c r="CI584" s="501"/>
      <c r="CJ584" s="501"/>
      <c r="CK584" s="501"/>
      <c r="CL584" s="501"/>
      <c r="CM584" s="501"/>
      <c r="CN584" s="501"/>
      <c r="CO584" s="501"/>
      <c r="CP584" s="501"/>
      <c r="CQ584" s="501"/>
      <c r="CR584" s="501"/>
      <c r="CS584" s="501"/>
      <c r="CT584" s="501"/>
    </row>
    <row r="585">
      <c r="A585" s="569"/>
      <c r="B585" s="569"/>
      <c r="C585" s="569"/>
      <c r="D585" s="498"/>
      <c r="E585" s="499"/>
      <c r="F585" s="499"/>
      <c r="G585" s="766"/>
      <c r="H585" s="766"/>
      <c r="I585" s="766"/>
      <c r="J585" s="766"/>
      <c r="K585" s="683"/>
      <c r="L585" s="683"/>
      <c r="M585" s="683"/>
      <c r="N585" s="683"/>
      <c r="O585" s="683"/>
      <c r="P585" s="683"/>
      <c r="Q585" s="683"/>
      <c r="R585" s="683"/>
      <c r="S585" s="683"/>
      <c r="T585" s="501"/>
      <c r="U585" s="501"/>
      <c r="V585" s="501"/>
      <c r="W585" s="501"/>
      <c r="X585" s="501"/>
      <c r="Y585" s="501"/>
      <c r="Z585" s="501"/>
      <c r="AA585" s="501"/>
      <c r="AB585" s="501"/>
      <c r="AC585" s="501"/>
      <c r="AD585" s="501"/>
      <c r="AE585" s="501"/>
      <c r="AF585" s="501"/>
      <c r="AG585" s="501"/>
      <c r="AH585" s="501"/>
      <c r="AI585" s="501"/>
      <c r="AJ585" s="501"/>
      <c r="AK585" s="501"/>
      <c r="AL585" s="501"/>
      <c r="AM585" s="501"/>
      <c r="AN585" s="501"/>
      <c r="AO585" s="501"/>
      <c r="AP585" s="501"/>
      <c r="AQ585" s="501"/>
      <c r="AR585" s="501"/>
      <c r="AS585" s="501"/>
      <c r="AT585" s="501"/>
      <c r="AU585" s="501"/>
      <c r="AV585" s="501"/>
      <c r="AW585" s="501"/>
      <c r="AX585" s="501"/>
      <c r="AY585" s="501"/>
      <c r="AZ585" s="501"/>
      <c r="BA585" s="501"/>
      <c r="BB585" s="501"/>
      <c r="BC585" s="501"/>
      <c r="BD585" s="501"/>
      <c r="BE585" s="501"/>
      <c r="BF585" s="501"/>
      <c r="BG585" s="501"/>
      <c r="BH585" s="501"/>
      <c r="BI585" s="501"/>
      <c r="BJ585" s="501"/>
      <c r="BK585" s="501"/>
      <c r="BL585" s="501"/>
      <c r="BM585" s="501"/>
      <c r="BN585" s="501"/>
      <c r="BO585" s="501"/>
      <c r="BP585" s="501"/>
      <c r="BQ585" s="501"/>
      <c r="BR585" s="501"/>
      <c r="BS585" s="501"/>
      <c r="BT585" s="501"/>
      <c r="BU585" s="501"/>
      <c r="BV585" s="501"/>
      <c r="BW585" s="501"/>
      <c r="BX585" s="501"/>
      <c r="BY585" s="501"/>
      <c r="BZ585" s="501"/>
      <c r="CA585" s="501"/>
      <c r="CB585" s="501"/>
      <c r="CC585" s="501"/>
      <c r="CD585" s="501"/>
      <c r="CE585" s="501"/>
      <c r="CF585" s="501"/>
      <c r="CG585" s="501"/>
      <c r="CH585" s="501"/>
      <c r="CI585" s="501"/>
      <c r="CJ585" s="501"/>
      <c r="CK585" s="501"/>
      <c r="CL585" s="501"/>
      <c r="CM585" s="501"/>
      <c r="CN585" s="501"/>
      <c r="CO585" s="501"/>
      <c r="CP585" s="501"/>
      <c r="CQ585" s="501"/>
      <c r="CR585" s="501"/>
      <c r="CS585" s="501"/>
      <c r="CT585" s="501"/>
    </row>
    <row r="586">
      <c r="A586" s="569"/>
      <c r="B586" s="569"/>
      <c r="C586" s="569"/>
      <c r="D586" s="498"/>
      <c r="E586" s="499"/>
      <c r="F586" s="499"/>
      <c r="G586" s="766"/>
      <c r="H586" s="766"/>
      <c r="I586" s="766"/>
      <c r="J586" s="766"/>
      <c r="K586" s="683"/>
      <c r="L586" s="683"/>
      <c r="M586" s="683"/>
      <c r="N586" s="683"/>
      <c r="O586" s="683"/>
      <c r="P586" s="683"/>
      <c r="Q586" s="683"/>
      <c r="R586" s="683"/>
      <c r="S586" s="683"/>
      <c r="T586" s="501"/>
      <c r="U586" s="501"/>
      <c r="V586" s="501"/>
      <c r="W586" s="501"/>
      <c r="X586" s="501"/>
      <c r="Y586" s="501"/>
      <c r="Z586" s="501"/>
      <c r="AA586" s="501"/>
      <c r="AB586" s="501"/>
      <c r="AC586" s="501"/>
      <c r="AD586" s="501"/>
      <c r="AE586" s="501"/>
      <c r="AF586" s="501"/>
      <c r="AG586" s="501"/>
      <c r="AH586" s="501"/>
      <c r="AI586" s="501"/>
      <c r="AJ586" s="501"/>
      <c r="AK586" s="501"/>
      <c r="AL586" s="501"/>
      <c r="AM586" s="501"/>
      <c r="AN586" s="501"/>
      <c r="AO586" s="501"/>
      <c r="AP586" s="501"/>
      <c r="AQ586" s="501"/>
      <c r="AR586" s="501"/>
      <c r="AS586" s="501"/>
      <c r="AT586" s="501"/>
      <c r="AU586" s="501"/>
      <c r="AV586" s="501"/>
      <c r="AW586" s="501"/>
      <c r="AX586" s="501"/>
      <c r="AY586" s="501"/>
      <c r="AZ586" s="501"/>
      <c r="BA586" s="501"/>
      <c r="BB586" s="501"/>
      <c r="BC586" s="501"/>
      <c r="BD586" s="501"/>
      <c r="BE586" s="501"/>
      <c r="BF586" s="501"/>
      <c r="BG586" s="501"/>
      <c r="BH586" s="501"/>
      <c r="BI586" s="501"/>
      <c r="BJ586" s="501"/>
      <c r="BK586" s="501"/>
      <c r="BL586" s="501"/>
      <c r="BM586" s="501"/>
      <c r="BN586" s="501"/>
      <c r="BO586" s="501"/>
      <c r="BP586" s="501"/>
      <c r="BQ586" s="501"/>
      <c r="BR586" s="501"/>
      <c r="BS586" s="501"/>
      <c r="BT586" s="501"/>
      <c r="BU586" s="501"/>
      <c r="BV586" s="501"/>
      <c r="BW586" s="501"/>
      <c r="BX586" s="501"/>
      <c r="BY586" s="501"/>
      <c r="BZ586" s="501"/>
      <c r="CA586" s="501"/>
      <c r="CB586" s="501"/>
      <c r="CC586" s="501"/>
      <c r="CD586" s="501"/>
      <c r="CE586" s="501"/>
      <c r="CF586" s="501"/>
      <c r="CG586" s="501"/>
      <c r="CH586" s="501"/>
      <c r="CI586" s="501"/>
      <c r="CJ586" s="501"/>
      <c r="CK586" s="501"/>
      <c r="CL586" s="501"/>
      <c r="CM586" s="501"/>
      <c r="CN586" s="501"/>
      <c r="CO586" s="501"/>
      <c r="CP586" s="501"/>
      <c r="CQ586" s="501"/>
      <c r="CR586" s="501"/>
      <c r="CS586" s="501"/>
      <c r="CT586" s="501"/>
    </row>
    <row r="587">
      <c r="A587" s="569"/>
      <c r="B587" s="569"/>
      <c r="C587" s="569"/>
      <c r="D587" s="498"/>
      <c r="E587" s="499"/>
      <c r="F587" s="499"/>
      <c r="G587" s="766"/>
      <c r="H587" s="766"/>
      <c r="I587" s="766"/>
      <c r="J587" s="766"/>
      <c r="K587" s="683"/>
      <c r="L587" s="683"/>
      <c r="M587" s="683"/>
      <c r="N587" s="683"/>
      <c r="O587" s="683"/>
      <c r="P587" s="683"/>
      <c r="Q587" s="683"/>
      <c r="R587" s="683"/>
      <c r="S587" s="683"/>
      <c r="T587" s="501"/>
      <c r="U587" s="501"/>
      <c r="V587" s="501"/>
      <c r="W587" s="501"/>
      <c r="X587" s="501"/>
      <c r="Y587" s="501"/>
      <c r="Z587" s="501"/>
      <c r="AA587" s="501"/>
      <c r="AB587" s="501"/>
      <c r="AC587" s="501"/>
      <c r="AD587" s="501"/>
      <c r="AE587" s="501"/>
      <c r="AF587" s="501"/>
      <c r="AG587" s="501"/>
      <c r="AH587" s="501"/>
      <c r="AI587" s="501"/>
      <c r="AJ587" s="501"/>
      <c r="AK587" s="501"/>
      <c r="AL587" s="501"/>
      <c r="AM587" s="501"/>
      <c r="AN587" s="501"/>
      <c r="AO587" s="501"/>
      <c r="AP587" s="501"/>
      <c r="AQ587" s="501"/>
      <c r="AR587" s="501"/>
      <c r="AS587" s="501"/>
      <c r="AT587" s="501"/>
      <c r="AU587" s="501"/>
      <c r="AV587" s="501"/>
      <c r="AW587" s="501"/>
      <c r="AX587" s="501"/>
      <c r="AY587" s="501"/>
      <c r="AZ587" s="501"/>
      <c r="BA587" s="501"/>
      <c r="BB587" s="501"/>
      <c r="BC587" s="501"/>
      <c r="BD587" s="501"/>
      <c r="BE587" s="501"/>
      <c r="BF587" s="501"/>
      <c r="BG587" s="501"/>
      <c r="BH587" s="501"/>
      <c r="BI587" s="501"/>
      <c r="BJ587" s="501"/>
      <c r="BK587" s="501"/>
      <c r="BL587" s="501"/>
      <c r="BM587" s="501"/>
      <c r="BN587" s="501"/>
      <c r="BO587" s="501"/>
      <c r="BP587" s="501"/>
      <c r="BQ587" s="501"/>
      <c r="BR587" s="501"/>
      <c r="BS587" s="501"/>
      <c r="BT587" s="501"/>
      <c r="BU587" s="501"/>
      <c r="BV587" s="501"/>
      <c r="BW587" s="501"/>
      <c r="BX587" s="501"/>
      <c r="BY587" s="501"/>
      <c r="BZ587" s="501"/>
      <c r="CA587" s="501"/>
      <c r="CB587" s="501"/>
      <c r="CC587" s="501"/>
      <c r="CD587" s="501"/>
      <c r="CE587" s="501"/>
      <c r="CF587" s="501"/>
      <c r="CG587" s="501"/>
      <c r="CH587" s="501"/>
      <c r="CI587" s="501"/>
      <c r="CJ587" s="501"/>
      <c r="CK587" s="501"/>
      <c r="CL587" s="501"/>
      <c r="CM587" s="501"/>
      <c r="CN587" s="501"/>
      <c r="CO587" s="501"/>
      <c r="CP587" s="501"/>
      <c r="CQ587" s="501"/>
      <c r="CR587" s="501"/>
      <c r="CS587" s="501"/>
      <c r="CT587" s="501"/>
    </row>
    <row r="588">
      <c r="A588" s="569"/>
      <c r="B588" s="569"/>
      <c r="C588" s="569"/>
      <c r="D588" s="498"/>
      <c r="E588" s="499"/>
      <c r="F588" s="499"/>
      <c r="G588" s="766"/>
      <c r="H588" s="766"/>
      <c r="I588" s="766"/>
      <c r="J588" s="766"/>
      <c r="K588" s="683"/>
      <c r="L588" s="683"/>
      <c r="M588" s="683"/>
      <c r="N588" s="683"/>
      <c r="O588" s="683"/>
      <c r="P588" s="683"/>
      <c r="Q588" s="683"/>
      <c r="R588" s="683"/>
      <c r="S588" s="683"/>
      <c r="T588" s="501"/>
      <c r="U588" s="501"/>
      <c r="V588" s="501"/>
      <c r="W588" s="501"/>
      <c r="X588" s="501"/>
      <c r="Y588" s="501"/>
      <c r="Z588" s="501"/>
      <c r="AA588" s="501"/>
      <c r="AB588" s="501"/>
      <c r="AC588" s="501"/>
      <c r="AD588" s="501"/>
      <c r="AE588" s="501"/>
      <c r="AF588" s="501"/>
      <c r="AG588" s="501"/>
      <c r="AH588" s="501"/>
      <c r="AI588" s="501"/>
      <c r="AJ588" s="501"/>
      <c r="AK588" s="501"/>
      <c r="AL588" s="501"/>
      <c r="AM588" s="501"/>
      <c r="AN588" s="501"/>
      <c r="AO588" s="501"/>
      <c r="AP588" s="501"/>
      <c r="AQ588" s="501"/>
      <c r="AR588" s="501"/>
      <c r="AS588" s="501"/>
      <c r="AT588" s="501"/>
      <c r="AU588" s="501"/>
      <c r="AV588" s="501"/>
      <c r="AW588" s="501"/>
      <c r="AX588" s="501"/>
      <c r="AY588" s="501"/>
      <c r="AZ588" s="501"/>
      <c r="BA588" s="501"/>
      <c r="BB588" s="501"/>
      <c r="BC588" s="501"/>
      <c r="BD588" s="501"/>
      <c r="BE588" s="501"/>
      <c r="BF588" s="501"/>
      <c r="BG588" s="501"/>
      <c r="BH588" s="501"/>
      <c r="BI588" s="501"/>
      <c r="BJ588" s="501"/>
      <c r="BK588" s="501"/>
      <c r="BL588" s="501"/>
      <c r="BM588" s="501"/>
      <c r="BN588" s="501"/>
      <c r="BO588" s="501"/>
      <c r="BP588" s="501"/>
      <c r="BQ588" s="501"/>
      <c r="BR588" s="501"/>
      <c r="BS588" s="501"/>
      <c r="BT588" s="501"/>
      <c r="BU588" s="501"/>
      <c r="BV588" s="501"/>
      <c r="BW588" s="501"/>
      <c r="BX588" s="501"/>
      <c r="BY588" s="501"/>
      <c r="BZ588" s="501"/>
      <c r="CA588" s="501"/>
      <c r="CB588" s="501"/>
      <c r="CC588" s="501"/>
      <c r="CD588" s="501"/>
      <c r="CE588" s="501"/>
      <c r="CF588" s="501"/>
      <c r="CG588" s="501"/>
      <c r="CH588" s="501"/>
      <c r="CI588" s="501"/>
      <c r="CJ588" s="501"/>
      <c r="CK588" s="501"/>
      <c r="CL588" s="501"/>
      <c r="CM588" s="501"/>
      <c r="CN588" s="501"/>
      <c r="CO588" s="501"/>
      <c r="CP588" s="501"/>
      <c r="CQ588" s="501"/>
      <c r="CR588" s="501"/>
      <c r="CS588" s="501"/>
      <c r="CT588" s="501"/>
    </row>
    <row r="589">
      <c r="A589" s="569"/>
      <c r="B589" s="569"/>
      <c r="C589" s="569"/>
      <c r="D589" s="498"/>
      <c r="E589" s="499"/>
      <c r="F589" s="499"/>
      <c r="G589" s="766"/>
      <c r="H589" s="766"/>
      <c r="I589" s="766"/>
      <c r="J589" s="766"/>
      <c r="K589" s="683"/>
      <c r="L589" s="683"/>
      <c r="M589" s="683"/>
      <c r="N589" s="683"/>
      <c r="O589" s="683"/>
      <c r="P589" s="683"/>
      <c r="Q589" s="683"/>
      <c r="R589" s="683"/>
      <c r="S589" s="683"/>
      <c r="T589" s="501"/>
      <c r="U589" s="501"/>
      <c r="V589" s="501"/>
      <c r="W589" s="501"/>
      <c r="X589" s="501"/>
      <c r="Y589" s="501"/>
      <c r="Z589" s="501"/>
      <c r="AA589" s="501"/>
      <c r="AB589" s="501"/>
      <c r="AC589" s="501"/>
      <c r="AD589" s="501"/>
      <c r="AE589" s="501"/>
      <c r="AF589" s="501"/>
      <c r="AG589" s="501"/>
      <c r="AH589" s="501"/>
      <c r="AI589" s="501"/>
      <c r="AJ589" s="501"/>
      <c r="AK589" s="501"/>
      <c r="AL589" s="501"/>
      <c r="AM589" s="501"/>
      <c r="AN589" s="501"/>
      <c r="AO589" s="501"/>
      <c r="AP589" s="501"/>
      <c r="AQ589" s="501"/>
      <c r="AR589" s="501"/>
      <c r="AS589" s="501"/>
      <c r="AT589" s="501"/>
      <c r="AU589" s="501"/>
      <c r="AV589" s="501"/>
      <c r="AW589" s="501"/>
      <c r="AX589" s="501"/>
      <c r="AY589" s="501"/>
      <c r="AZ589" s="501"/>
      <c r="BA589" s="501"/>
      <c r="BB589" s="501"/>
      <c r="BC589" s="501"/>
      <c r="BD589" s="501"/>
      <c r="BE589" s="501"/>
      <c r="BF589" s="501"/>
      <c r="BG589" s="501"/>
      <c r="BH589" s="501"/>
      <c r="BI589" s="501"/>
      <c r="BJ589" s="501"/>
      <c r="BK589" s="501"/>
      <c r="BL589" s="501"/>
      <c r="BM589" s="501"/>
      <c r="BN589" s="501"/>
      <c r="BO589" s="501"/>
      <c r="BP589" s="501"/>
      <c r="BQ589" s="501"/>
      <c r="BR589" s="501"/>
      <c r="BS589" s="501"/>
      <c r="BT589" s="501"/>
      <c r="BU589" s="501"/>
      <c r="BV589" s="501"/>
      <c r="BW589" s="501"/>
      <c r="BX589" s="501"/>
      <c r="BY589" s="501"/>
      <c r="BZ589" s="501"/>
      <c r="CA589" s="501"/>
      <c r="CB589" s="501"/>
      <c r="CC589" s="501"/>
      <c r="CD589" s="501"/>
      <c r="CE589" s="501"/>
      <c r="CF589" s="501"/>
      <c r="CG589" s="501"/>
      <c r="CH589" s="501"/>
      <c r="CI589" s="501"/>
      <c r="CJ589" s="501"/>
      <c r="CK589" s="501"/>
      <c r="CL589" s="501"/>
      <c r="CM589" s="501"/>
      <c r="CN589" s="501"/>
      <c r="CO589" s="501"/>
      <c r="CP589" s="501"/>
      <c r="CQ589" s="501"/>
      <c r="CR589" s="501"/>
      <c r="CS589" s="501"/>
      <c r="CT589" s="501"/>
    </row>
    <row r="590">
      <c r="A590" s="569"/>
      <c r="B590" s="569"/>
      <c r="C590" s="569"/>
      <c r="D590" s="498"/>
      <c r="E590" s="499"/>
      <c r="F590" s="499"/>
      <c r="G590" s="766"/>
      <c r="H590" s="766"/>
      <c r="I590" s="766"/>
      <c r="J590" s="766"/>
      <c r="K590" s="683"/>
      <c r="L590" s="683"/>
      <c r="M590" s="683"/>
      <c r="N590" s="683"/>
      <c r="O590" s="683"/>
      <c r="P590" s="683"/>
      <c r="Q590" s="683"/>
      <c r="R590" s="683"/>
      <c r="S590" s="683"/>
      <c r="T590" s="501"/>
      <c r="U590" s="501"/>
      <c r="V590" s="501"/>
      <c r="W590" s="501"/>
      <c r="X590" s="501"/>
      <c r="Y590" s="501"/>
      <c r="Z590" s="501"/>
      <c r="AA590" s="501"/>
      <c r="AB590" s="501"/>
      <c r="AC590" s="501"/>
      <c r="AD590" s="501"/>
      <c r="AE590" s="501"/>
      <c r="AF590" s="501"/>
      <c r="AG590" s="501"/>
      <c r="AH590" s="501"/>
      <c r="AI590" s="501"/>
      <c r="AJ590" s="501"/>
      <c r="AK590" s="501"/>
      <c r="AL590" s="501"/>
      <c r="AM590" s="501"/>
      <c r="AN590" s="501"/>
      <c r="AO590" s="501"/>
      <c r="AP590" s="501"/>
      <c r="AQ590" s="501"/>
      <c r="AR590" s="501"/>
      <c r="AS590" s="501"/>
      <c r="AT590" s="501"/>
      <c r="AU590" s="501"/>
      <c r="AV590" s="501"/>
      <c r="AW590" s="501"/>
      <c r="AX590" s="501"/>
      <c r="AY590" s="501"/>
      <c r="AZ590" s="501"/>
      <c r="BA590" s="501"/>
      <c r="BB590" s="501"/>
      <c r="BC590" s="501"/>
      <c r="BD590" s="501"/>
      <c r="BE590" s="501"/>
      <c r="BF590" s="501"/>
      <c r="BG590" s="501"/>
      <c r="BH590" s="501"/>
      <c r="BI590" s="501"/>
      <c r="BJ590" s="501"/>
      <c r="BK590" s="501"/>
      <c r="BL590" s="501"/>
      <c r="BM590" s="501"/>
      <c r="BN590" s="501"/>
      <c r="BO590" s="501"/>
      <c r="BP590" s="501"/>
      <c r="BQ590" s="501"/>
      <c r="BR590" s="501"/>
      <c r="BS590" s="501"/>
      <c r="BT590" s="501"/>
      <c r="BU590" s="501"/>
      <c r="BV590" s="501"/>
      <c r="BW590" s="501"/>
      <c r="BX590" s="501"/>
      <c r="BY590" s="501"/>
      <c r="BZ590" s="501"/>
      <c r="CA590" s="501"/>
      <c r="CB590" s="501"/>
      <c r="CC590" s="501"/>
      <c r="CD590" s="501"/>
      <c r="CE590" s="501"/>
      <c r="CF590" s="501"/>
      <c r="CG590" s="501"/>
      <c r="CH590" s="501"/>
      <c r="CI590" s="501"/>
      <c r="CJ590" s="501"/>
      <c r="CK590" s="501"/>
      <c r="CL590" s="501"/>
      <c r="CM590" s="501"/>
      <c r="CN590" s="501"/>
      <c r="CO590" s="501"/>
      <c r="CP590" s="501"/>
      <c r="CQ590" s="501"/>
      <c r="CR590" s="501"/>
      <c r="CS590" s="501"/>
      <c r="CT590" s="501"/>
    </row>
    <row r="591">
      <c r="A591" s="569"/>
      <c r="B591" s="569"/>
      <c r="C591" s="569"/>
      <c r="D591" s="498"/>
      <c r="E591" s="499"/>
      <c r="F591" s="499"/>
      <c r="G591" s="766"/>
      <c r="H591" s="766"/>
      <c r="I591" s="766"/>
      <c r="J591" s="766"/>
      <c r="K591" s="683"/>
      <c r="L591" s="683"/>
      <c r="M591" s="683"/>
      <c r="N591" s="683"/>
      <c r="O591" s="683"/>
      <c r="P591" s="683"/>
      <c r="Q591" s="683"/>
      <c r="R591" s="683"/>
      <c r="S591" s="683"/>
      <c r="T591" s="501"/>
      <c r="U591" s="501"/>
      <c r="V591" s="501"/>
      <c r="W591" s="501"/>
      <c r="X591" s="501"/>
      <c r="Y591" s="501"/>
      <c r="Z591" s="501"/>
      <c r="AA591" s="501"/>
      <c r="AB591" s="501"/>
      <c r="AC591" s="501"/>
      <c r="AD591" s="501"/>
      <c r="AE591" s="501"/>
      <c r="AF591" s="501"/>
      <c r="AG591" s="501"/>
      <c r="AH591" s="501"/>
      <c r="AI591" s="501"/>
      <c r="AJ591" s="501"/>
      <c r="AK591" s="501"/>
      <c r="AL591" s="501"/>
      <c r="AM591" s="501"/>
      <c r="AN591" s="501"/>
      <c r="AO591" s="501"/>
      <c r="AP591" s="501"/>
      <c r="AQ591" s="501"/>
      <c r="AR591" s="501"/>
      <c r="AS591" s="501"/>
      <c r="AT591" s="501"/>
      <c r="AU591" s="501"/>
      <c r="AV591" s="501"/>
      <c r="AW591" s="501"/>
      <c r="AX591" s="501"/>
      <c r="AY591" s="501"/>
      <c r="AZ591" s="501"/>
      <c r="BA591" s="501"/>
      <c r="BB591" s="501"/>
      <c r="BC591" s="501"/>
      <c r="BD591" s="501"/>
      <c r="BE591" s="501"/>
      <c r="BF591" s="501"/>
      <c r="BG591" s="501"/>
      <c r="BH591" s="501"/>
      <c r="BI591" s="501"/>
      <c r="BJ591" s="501"/>
      <c r="BK591" s="501"/>
      <c r="BL591" s="501"/>
      <c r="BM591" s="501"/>
      <c r="BN591" s="501"/>
      <c r="BO591" s="501"/>
      <c r="BP591" s="501"/>
      <c r="BQ591" s="501"/>
      <c r="BR591" s="501"/>
      <c r="BS591" s="501"/>
      <c r="BT591" s="501"/>
      <c r="BU591" s="501"/>
      <c r="BV591" s="501"/>
      <c r="BW591" s="501"/>
      <c r="BX591" s="501"/>
      <c r="BY591" s="501"/>
      <c r="BZ591" s="501"/>
      <c r="CA591" s="501"/>
      <c r="CB591" s="501"/>
      <c r="CC591" s="501"/>
      <c r="CD591" s="501"/>
      <c r="CE591" s="501"/>
      <c r="CF591" s="501"/>
      <c r="CG591" s="501"/>
      <c r="CH591" s="501"/>
      <c r="CI591" s="501"/>
      <c r="CJ591" s="501"/>
      <c r="CK591" s="501"/>
      <c r="CL591" s="501"/>
      <c r="CM591" s="501"/>
      <c r="CN591" s="501"/>
      <c r="CO591" s="501"/>
      <c r="CP591" s="501"/>
      <c r="CQ591" s="501"/>
      <c r="CR591" s="501"/>
      <c r="CS591" s="501"/>
      <c r="CT591" s="501"/>
    </row>
    <row r="592">
      <c r="A592" s="569"/>
      <c r="B592" s="569"/>
      <c r="C592" s="569"/>
      <c r="D592" s="498"/>
      <c r="E592" s="499"/>
      <c r="F592" s="499"/>
      <c r="G592" s="766"/>
      <c r="H592" s="766"/>
      <c r="I592" s="766"/>
      <c r="J592" s="766"/>
      <c r="K592" s="683"/>
      <c r="L592" s="683"/>
      <c r="M592" s="683"/>
      <c r="N592" s="683"/>
      <c r="O592" s="683"/>
      <c r="P592" s="683"/>
      <c r="Q592" s="683"/>
      <c r="R592" s="683"/>
      <c r="S592" s="683"/>
      <c r="T592" s="501"/>
      <c r="U592" s="501"/>
      <c r="V592" s="501"/>
      <c r="W592" s="501"/>
      <c r="X592" s="501"/>
      <c r="Y592" s="501"/>
      <c r="Z592" s="501"/>
      <c r="AA592" s="501"/>
      <c r="AB592" s="501"/>
      <c r="AC592" s="501"/>
      <c r="AD592" s="501"/>
      <c r="AE592" s="501"/>
      <c r="AF592" s="501"/>
      <c r="AG592" s="501"/>
      <c r="AH592" s="501"/>
      <c r="AI592" s="501"/>
      <c r="AJ592" s="501"/>
      <c r="AK592" s="501"/>
      <c r="AL592" s="501"/>
      <c r="AM592" s="501"/>
      <c r="AN592" s="501"/>
      <c r="AO592" s="501"/>
      <c r="AP592" s="501"/>
      <c r="AQ592" s="501"/>
      <c r="AR592" s="501"/>
      <c r="AS592" s="501"/>
      <c r="AT592" s="501"/>
      <c r="AU592" s="501"/>
      <c r="AV592" s="501"/>
      <c r="AW592" s="501"/>
      <c r="AX592" s="501"/>
      <c r="AY592" s="501"/>
      <c r="AZ592" s="501"/>
      <c r="BA592" s="501"/>
      <c r="BB592" s="501"/>
      <c r="BC592" s="501"/>
      <c r="BD592" s="501"/>
      <c r="BE592" s="501"/>
      <c r="BF592" s="501"/>
      <c r="BG592" s="501"/>
      <c r="BH592" s="501"/>
      <c r="BI592" s="501"/>
      <c r="BJ592" s="501"/>
      <c r="BK592" s="501"/>
      <c r="BL592" s="501"/>
      <c r="BM592" s="501"/>
      <c r="BN592" s="501"/>
      <c r="BO592" s="501"/>
      <c r="BP592" s="501"/>
      <c r="BQ592" s="501"/>
      <c r="BR592" s="501"/>
      <c r="BS592" s="501"/>
      <c r="BT592" s="501"/>
      <c r="BU592" s="501"/>
      <c r="BV592" s="501"/>
      <c r="BW592" s="501"/>
      <c r="BX592" s="501"/>
      <c r="BY592" s="501"/>
      <c r="BZ592" s="501"/>
      <c r="CA592" s="501"/>
      <c r="CB592" s="501"/>
      <c r="CC592" s="501"/>
      <c r="CD592" s="501"/>
      <c r="CE592" s="501"/>
      <c r="CF592" s="501"/>
      <c r="CG592" s="501"/>
      <c r="CH592" s="501"/>
      <c r="CI592" s="501"/>
      <c r="CJ592" s="501"/>
      <c r="CK592" s="501"/>
      <c r="CL592" s="501"/>
      <c r="CM592" s="501"/>
      <c r="CN592" s="501"/>
      <c r="CO592" s="501"/>
      <c r="CP592" s="501"/>
      <c r="CQ592" s="501"/>
      <c r="CR592" s="501"/>
      <c r="CS592" s="501"/>
      <c r="CT592" s="501"/>
    </row>
    <row r="593">
      <c r="A593" s="569"/>
      <c r="B593" s="569"/>
      <c r="C593" s="569"/>
      <c r="D593" s="498"/>
      <c r="E593" s="499"/>
      <c r="F593" s="499"/>
      <c r="G593" s="766"/>
      <c r="H593" s="766"/>
      <c r="I593" s="766"/>
      <c r="J593" s="766"/>
      <c r="K593" s="683"/>
      <c r="L593" s="683"/>
      <c r="M593" s="683"/>
      <c r="N593" s="683"/>
      <c r="O593" s="683"/>
      <c r="P593" s="683"/>
      <c r="Q593" s="683"/>
      <c r="R593" s="683"/>
      <c r="S593" s="683"/>
      <c r="T593" s="501"/>
      <c r="U593" s="501"/>
      <c r="V593" s="501"/>
      <c r="W593" s="501"/>
      <c r="X593" s="501"/>
      <c r="Y593" s="501"/>
      <c r="Z593" s="501"/>
      <c r="AA593" s="501"/>
      <c r="AB593" s="501"/>
      <c r="AC593" s="501"/>
      <c r="AD593" s="501"/>
      <c r="AE593" s="501"/>
      <c r="AF593" s="501"/>
      <c r="AG593" s="501"/>
      <c r="AH593" s="501"/>
      <c r="AI593" s="501"/>
      <c r="AJ593" s="501"/>
      <c r="AK593" s="501"/>
      <c r="AL593" s="501"/>
      <c r="AM593" s="501"/>
      <c r="AN593" s="501"/>
      <c r="AO593" s="501"/>
      <c r="AP593" s="501"/>
      <c r="AQ593" s="501"/>
      <c r="AR593" s="501"/>
      <c r="AS593" s="501"/>
      <c r="AT593" s="501"/>
      <c r="AU593" s="501"/>
      <c r="AV593" s="501"/>
      <c r="AW593" s="501"/>
      <c r="AX593" s="501"/>
      <c r="AY593" s="501"/>
      <c r="AZ593" s="501"/>
      <c r="BA593" s="501"/>
      <c r="BB593" s="501"/>
      <c r="BC593" s="501"/>
      <c r="BD593" s="501"/>
      <c r="BE593" s="501"/>
      <c r="BF593" s="501"/>
      <c r="BG593" s="501"/>
      <c r="BH593" s="501"/>
      <c r="BI593" s="501"/>
      <c r="BJ593" s="501"/>
      <c r="BK593" s="501"/>
      <c r="BL593" s="501"/>
      <c r="BM593" s="501"/>
      <c r="BN593" s="501"/>
      <c r="BO593" s="501"/>
      <c r="BP593" s="501"/>
      <c r="BQ593" s="501"/>
      <c r="BR593" s="501"/>
      <c r="BS593" s="501"/>
      <c r="BT593" s="501"/>
      <c r="BU593" s="501"/>
      <c r="BV593" s="501"/>
      <c r="BW593" s="501"/>
      <c r="BX593" s="501"/>
      <c r="BY593" s="501"/>
      <c r="BZ593" s="501"/>
      <c r="CA593" s="501"/>
      <c r="CB593" s="501"/>
      <c r="CC593" s="501"/>
      <c r="CD593" s="501"/>
      <c r="CE593" s="501"/>
      <c r="CF593" s="501"/>
      <c r="CG593" s="501"/>
      <c r="CH593" s="501"/>
      <c r="CI593" s="501"/>
      <c r="CJ593" s="501"/>
      <c r="CK593" s="501"/>
      <c r="CL593" s="501"/>
      <c r="CM593" s="501"/>
      <c r="CN593" s="501"/>
      <c r="CO593" s="501"/>
      <c r="CP593" s="501"/>
      <c r="CQ593" s="501"/>
      <c r="CR593" s="501"/>
      <c r="CS593" s="501"/>
      <c r="CT593" s="501"/>
    </row>
    <row r="594">
      <c r="A594" s="569"/>
      <c r="B594" s="569"/>
      <c r="C594" s="569"/>
      <c r="D594" s="498"/>
      <c r="E594" s="499"/>
      <c r="F594" s="499"/>
      <c r="G594" s="766"/>
      <c r="H594" s="766"/>
      <c r="I594" s="766"/>
      <c r="J594" s="766"/>
      <c r="K594" s="683"/>
      <c r="L594" s="683"/>
      <c r="M594" s="683"/>
      <c r="N594" s="683"/>
      <c r="O594" s="683"/>
      <c r="P594" s="683"/>
      <c r="Q594" s="683"/>
      <c r="R594" s="683"/>
      <c r="S594" s="683"/>
      <c r="T594" s="501"/>
      <c r="U594" s="501"/>
      <c r="V594" s="501"/>
      <c r="W594" s="501"/>
      <c r="X594" s="501"/>
      <c r="Y594" s="501"/>
      <c r="Z594" s="501"/>
      <c r="AA594" s="501"/>
      <c r="AB594" s="501"/>
      <c r="AC594" s="501"/>
      <c r="AD594" s="501"/>
      <c r="AE594" s="501"/>
      <c r="AF594" s="501"/>
      <c r="AG594" s="501"/>
      <c r="AH594" s="501"/>
      <c r="AI594" s="501"/>
      <c r="AJ594" s="501"/>
      <c r="AK594" s="501"/>
      <c r="AL594" s="501"/>
      <c r="AM594" s="501"/>
      <c r="AN594" s="501"/>
      <c r="AO594" s="501"/>
      <c r="AP594" s="501"/>
      <c r="AQ594" s="501"/>
      <c r="AR594" s="501"/>
      <c r="AS594" s="501"/>
      <c r="AT594" s="501"/>
      <c r="AU594" s="501"/>
      <c r="AV594" s="501"/>
      <c r="AW594" s="501"/>
      <c r="AX594" s="501"/>
      <c r="AY594" s="501"/>
      <c r="AZ594" s="501"/>
      <c r="BA594" s="501"/>
      <c r="BB594" s="501"/>
      <c r="BC594" s="501"/>
      <c r="BD594" s="501"/>
      <c r="BE594" s="501"/>
      <c r="BF594" s="501"/>
      <c r="BG594" s="501"/>
      <c r="BH594" s="501"/>
      <c r="BI594" s="501"/>
      <c r="BJ594" s="501"/>
      <c r="BK594" s="501"/>
      <c r="BL594" s="501"/>
      <c r="BM594" s="501"/>
      <c r="BN594" s="501"/>
      <c r="BO594" s="501"/>
      <c r="BP594" s="501"/>
      <c r="BQ594" s="501"/>
      <c r="BR594" s="501"/>
      <c r="BS594" s="501"/>
      <c r="BT594" s="501"/>
      <c r="BU594" s="501"/>
      <c r="BV594" s="501"/>
      <c r="BW594" s="501"/>
      <c r="BX594" s="501"/>
      <c r="BY594" s="501"/>
      <c r="BZ594" s="501"/>
      <c r="CA594" s="501"/>
      <c r="CB594" s="501"/>
      <c r="CC594" s="501"/>
      <c r="CD594" s="501"/>
      <c r="CE594" s="501"/>
      <c r="CF594" s="501"/>
      <c r="CG594" s="501"/>
      <c r="CH594" s="501"/>
      <c r="CI594" s="501"/>
      <c r="CJ594" s="501"/>
      <c r="CK594" s="501"/>
      <c r="CL594" s="501"/>
      <c r="CM594" s="501"/>
      <c r="CN594" s="501"/>
      <c r="CO594" s="501"/>
      <c r="CP594" s="501"/>
      <c r="CQ594" s="501"/>
      <c r="CR594" s="501"/>
      <c r="CS594" s="501"/>
      <c r="CT594" s="501"/>
    </row>
    <row r="595">
      <c r="A595" s="569"/>
      <c r="B595" s="569"/>
      <c r="C595" s="569"/>
      <c r="D595" s="498"/>
      <c r="E595" s="499"/>
      <c r="F595" s="499"/>
      <c r="G595" s="766"/>
      <c r="H595" s="766"/>
      <c r="I595" s="766"/>
      <c r="J595" s="766"/>
      <c r="K595" s="683"/>
      <c r="L595" s="683"/>
      <c r="M595" s="683"/>
      <c r="N595" s="683"/>
      <c r="O595" s="683"/>
      <c r="P595" s="683"/>
      <c r="Q595" s="683"/>
      <c r="R595" s="683"/>
      <c r="S595" s="683"/>
      <c r="T595" s="501"/>
      <c r="U595" s="501"/>
      <c r="V595" s="501"/>
      <c r="W595" s="501"/>
      <c r="X595" s="501"/>
      <c r="Y595" s="501"/>
      <c r="Z595" s="501"/>
      <c r="AA595" s="501"/>
      <c r="AB595" s="501"/>
      <c r="AC595" s="501"/>
      <c r="AD595" s="501"/>
      <c r="AE595" s="501"/>
      <c r="AF595" s="501"/>
      <c r="AG595" s="501"/>
      <c r="AH595" s="501"/>
      <c r="AI595" s="501"/>
      <c r="AJ595" s="501"/>
      <c r="AK595" s="501"/>
      <c r="AL595" s="501"/>
      <c r="AM595" s="501"/>
      <c r="AN595" s="501"/>
      <c r="AO595" s="501"/>
      <c r="AP595" s="501"/>
      <c r="AQ595" s="501"/>
      <c r="AR595" s="501"/>
      <c r="AS595" s="501"/>
      <c r="AT595" s="501"/>
      <c r="AU595" s="501"/>
      <c r="AV595" s="501"/>
      <c r="AW595" s="501"/>
      <c r="AX595" s="501"/>
      <c r="AY595" s="501"/>
      <c r="AZ595" s="501"/>
      <c r="BA595" s="501"/>
      <c r="BB595" s="501"/>
      <c r="BC595" s="501"/>
      <c r="BD595" s="501"/>
      <c r="BE595" s="501"/>
      <c r="BF595" s="501"/>
      <c r="BG595" s="501"/>
      <c r="BH595" s="501"/>
      <c r="BI595" s="501"/>
      <c r="BJ595" s="501"/>
      <c r="BK595" s="501"/>
      <c r="BL595" s="501"/>
      <c r="BM595" s="501"/>
      <c r="BN595" s="501"/>
      <c r="BO595" s="501"/>
      <c r="BP595" s="501"/>
      <c r="BQ595" s="501"/>
      <c r="BR595" s="501"/>
      <c r="BS595" s="501"/>
      <c r="BT595" s="501"/>
      <c r="BU595" s="501"/>
      <c r="BV595" s="501"/>
      <c r="BW595" s="501"/>
      <c r="BX595" s="501"/>
      <c r="BY595" s="501"/>
      <c r="BZ595" s="501"/>
      <c r="CA595" s="501"/>
      <c r="CB595" s="501"/>
      <c r="CC595" s="501"/>
      <c r="CD595" s="501"/>
      <c r="CE595" s="501"/>
      <c r="CF595" s="501"/>
      <c r="CG595" s="501"/>
      <c r="CH595" s="501"/>
      <c r="CI595" s="501"/>
      <c r="CJ595" s="501"/>
      <c r="CK595" s="501"/>
      <c r="CL595" s="501"/>
      <c r="CM595" s="501"/>
      <c r="CN595" s="501"/>
      <c r="CO595" s="501"/>
      <c r="CP595" s="501"/>
      <c r="CQ595" s="501"/>
      <c r="CR595" s="501"/>
      <c r="CS595" s="501"/>
      <c r="CT595" s="501"/>
    </row>
    <row r="596">
      <c r="A596" s="569"/>
      <c r="B596" s="569"/>
      <c r="C596" s="569"/>
      <c r="D596" s="498"/>
      <c r="E596" s="499"/>
      <c r="F596" s="499"/>
      <c r="G596" s="766"/>
      <c r="H596" s="766"/>
      <c r="I596" s="766"/>
      <c r="J596" s="766"/>
      <c r="K596" s="683"/>
      <c r="L596" s="683"/>
      <c r="M596" s="683"/>
      <c r="N596" s="683"/>
      <c r="O596" s="683"/>
      <c r="P596" s="683"/>
      <c r="Q596" s="683"/>
      <c r="R596" s="683"/>
      <c r="S596" s="683"/>
      <c r="T596" s="501"/>
      <c r="U596" s="501"/>
      <c r="V596" s="501"/>
      <c r="W596" s="501"/>
      <c r="X596" s="501"/>
      <c r="Y596" s="501"/>
      <c r="Z596" s="501"/>
      <c r="AA596" s="501"/>
      <c r="AB596" s="501"/>
      <c r="AC596" s="501"/>
      <c r="AD596" s="501"/>
      <c r="AE596" s="501"/>
      <c r="AF596" s="501"/>
      <c r="AG596" s="501"/>
      <c r="AH596" s="501"/>
      <c r="AI596" s="501"/>
      <c r="AJ596" s="501"/>
      <c r="AK596" s="501"/>
      <c r="AL596" s="501"/>
      <c r="AM596" s="501"/>
      <c r="AN596" s="501"/>
      <c r="AO596" s="501"/>
      <c r="AP596" s="501"/>
      <c r="AQ596" s="501"/>
      <c r="AR596" s="501"/>
      <c r="AS596" s="501"/>
      <c r="AT596" s="501"/>
      <c r="AU596" s="501"/>
      <c r="AV596" s="501"/>
      <c r="AW596" s="501"/>
      <c r="AX596" s="501"/>
      <c r="AY596" s="501"/>
      <c r="AZ596" s="501"/>
      <c r="BA596" s="501"/>
      <c r="BB596" s="501"/>
      <c r="BC596" s="501"/>
      <c r="BD596" s="501"/>
      <c r="BE596" s="501"/>
      <c r="BF596" s="501"/>
      <c r="BG596" s="501"/>
      <c r="BH596" s="501"/>
      <c r="BI596" s="501"/>
      <c r="BJ596" s="501"/>
      <c r="BK596" s="501"/>
      <c r="BL596" s="501"/>
      <c r="BM596" s="501"/>
      <c r="BN596" s="501"/>
      <c r="BO596" s="501"/>
      <c r="BP596" s="501"/>
      <c r="BQ596" s="501"/>
      <c r="BR596" s="501"/>
      <c r="BS596" s="501"/>
      <c r="BT596" s="501"/>
      <c r="BU596" s="501"/>
      <c r="BV596" s="501"/>
      <c r="BW596" s="501"/>
      <c r="BX596" s="501"/>
      <c r="BY596" s="501"/>
      <c r="BZ596" s="501"/>
      <c r="CA596" s="501"/>
      <c r="CB596" s="501"/>
      <c r="CC596" s="501"/>
      <c r="CD596" s="501"/>
      <c r="CE596" s="501"/>
      <c r="CF596" s="501"/>
      <c r="CG596" s="501"/>
      <c r="CH596" s="501"/>
      <c r="CI596" s="501"/>
      <c r="CJ596" s="501"/>
      <c r="CK596" s="501"/>
      <c r="CL596" s="501"/>
      <c r="CM596" s="501"/>
      <c r="CN596" s="501"/>
      <c r="CO596" s="501"/>
      <c r="CP596" s="501"/>
      <c r="CQ596" s="501"/>
      <c r="CR596" s="501"/>
      <c r="CS596" s="501"/>
      <c r="CT596" s="501"/>
    </row>
    <row r="597">
      <c r="A597" s="569"/>
      <c r="B597" s="569"/>
      <c r="C597" s="569"/>
      <c r="D597" s="498"/>
      <c r="E597" s="499"/>
      <c r="F597" s="499"/>
      <c r="G597" s="766"/>
      <c r="H597" s="766"/>
      <c r="I597" s="766"/>
      <c r="J597" s="766"/>
      <c r="K597" s="683"/>
      <c r="L597" s="683"/>
      <c r="M597" s="683"/>
      <c r="N597" s="683"/>
      <c r="O597" s="683"/>
      <c r="P597" s="683"/>
      <c r="Q597" s="683"/>
      <c r="R597" s="683"/>
      <c r="S597" s="683"/>
      <c r="T597" s="501"/>
      <c r="U597" s="501"/>
      <c r="V597" s="501"/>
      <c r="W597" s="501"/>
      <c r="X597" s="501"/>
      <c r="Y597" s="501"/>
      <c r="Z597" s="501"/>
      <c r="AA597" s="501"/>
      <c r="AB597" s="501"/>
      <c r="AC597" s="501"/>
      <c r="AD597" s="501"/>
      <c r="AE597" s="501"/>
      <c r="AF597" s="501"/>
      <c r="AG597" s="501"/>
      <c r="AH597" s="501"/>
      <c r="AI597" s="501"/>
      <c r="AJ597" s="501"/>
      <c r="AK597" s="501"/>
      <c r="AL597" s="501"/>
      <c r="AM597" s="501"/>
      <c r="AN597" s="501"/>
      <c r="AO597" s="501"/>
      <c r="AP597" s="501"/>
      <c r="AQ597" s="501"/>
      <c r="AR597" s="501"/>
      <c r="AS597" s="501"/>
      <c r="AT597" s="501"/>
      <c r="AU597" s="501"/>
      <c r="AV597" s="501"/>
      <c r="AW597" s="501"/>
      <c r="AX597" s="501"/>
      <c r="AY597" s="501"/>
      <c r="AZ597" s="501"/>
      <c r="BA597" s="501"/>
      <c r="BB597" s="501"/>
      <c r="BC597" s="501"/>
      <c r="BD597" s="501"/>
      <c r="BE597" s="501"/>
      <c r="BF597" s="501"/>
      <c r="BG597" s="501"/>
      <c r="BH597" s="501"/>
      <c r="BI597" s="501"/>
      <c r="BJ597" s="501"/>
      <c r="BK597" s="501"/>
      <c r="BL597" s="501"/>
      <c r="BM597" s="501"/>
      <c r="BN597" s="501"/>
      <c r="BO597" s="501"/>
      <c r="BP597" s="501"/>
      <c r="BQ597" s="501"/>
      <c r="BR597" s="501"/>
      <c r="BS597" s="501"/>
      <c r="BT597" s="501"/>
      <c r="BU597" s="501"/>
      <c r="BV597" s="501"/>
      <c r="BW597" s="501"/>
      <c r="BX597" s="501"/>
      <c r="BY597" s="501"/>
      <c r="BZ597" s="501"/>
      <c r="CA597" s="501"/>
      <c r="CB597" s="501"/>
      <c r="CC597" s="501"/>
      <c r="CD597" s="501"/>
      <c r="CE597" s="501"/>
      <c r="CF597" s="501"/>
      <c r="CG597" s="501"/>
      <c r="CH597" s="501"/>
      <c r="CI597" s="501"/>
      <c r="CJ597" s="501"/>
      <c r="CK597" s="501"/>
      <c r="CL597" s="501"/>
      <c r="CM597" s="501"/>
      <c r="CN597" s="501"/>
      <c r="CO597" s="501"/>
      <c r="CP597" s="501"/>
      <c r="CQ597" s="501"/>
      <c r="CR597" s="501"/>
      <c r="CS597" s="501"/>
      <c r="CT597" s="501"/>
    </row>
    <row r="598">
      <c r="A598" s="569"/>
      <c r="B598" s="569"/>
      <c r="C598" s="569"/>
      <c r="D598" s="498"/>
      <c r="E598" s="499"/>
      <c r="F598" s="499"/>
      <c r="G598" s="766"/>
      <c r="H598" s="766"/>
      <c r="I598" s="766"/>
      <c r="J598" s="766"/>
      <c r="K598" s="683"/>
      <c r="L598" s="683"/>
      <c r="M598" s="683"/>
      <c r="N598" s="683"/>
      <c r="O598" s="683"/>
      <c r="P598" s="683"/>
      <c r="Q598" s="683"/>
      <c r="R598" s="683"/>
      <c r="S598" s="683"/>
      <c r="T598" s="501"/>
      <c r="U598" s="501"/>
      <c r="V598" s="501"/>
      <c r="W598" s="501"/>
      <c r="X598" s="501"/>
      <c r="Y598" s="501"/>
      <c r="Z598" s="501"/>
      <c r="AA598" s="501"/>
      <c r="AB598" s="501"/>
      <c r="AC598" s="501"/>
      <c r="AD598" s="501"/>
      <c r="AE598" s="501"/>
      <c r="AF598" s="501"/>
      <c r="AG598" s="501"/>
      <c r="AH598" s="501"/>
      <c r="AI598" s="501"/>
      <c r="AJ598" s="501"/>
      <c r="AK598" s="501"/>
      <c r="AL598" s="501"/>
      <c r="AM598" s="501"/>
      <c r="AN598" s="501"/>
      <c r="AO598" s="501"/>
      <c r="AP598" s="501"/>
      <c r="AQ598" s="501"/>
      <c r="AR598" s="501"/>
      <c r="AS598" s="501"/>
      <c r="AT598" s="501"/>
      <c r="AU598" s="501"/>
      <c r="AV598" s="501"/>
      <c r="AW598" s="501"/>
      <c r="AX598" s="501"/>
      <c r="AY598" s="501"/>
      <c r="AZ598" s="501"/>
      <c r="BA598" s="501"/>
      <c r="BB598" s="501"/>
      <c r="BC598" s="501"/>
      <c r="BD598" s="501"/>
      <c r="BE598" s="501"/>
      <c r="BF598" s="501"/>
      <c r="BG598" s="501"/>
      <c r="BH598" s="501"/>
      <c r="BI598" s="501"/>
      <c r="BJ598" s="501"/>
      <c r="BK598" s="501"/>
      <c r="BL598" s="501"/>
      <c r="BM598" s="501"/>
      <c r="BN598" s="501"/>
      <c r="BO598" s="501"/>
      <c r="BP598" s="501"/>
      <c r="BQ598" s="501"/>
      <c r="BR598" s="501"/>
      <c r="BS598" s="501"/>
      <c r="BT598" s="501"/>
      <c r="BU598" s="501"/>
      <c r="BV598" s="501"/>
      <c r="BW598" s="501"/>
      <c r="BX598" s="501"/>
      <c r="BY598" s="501"/>
      <c r="BZ598" s="501"/>
      <c r="CA598" s="501"/>
      <c r="CB598" s="501"/>
      <c r="CC598" s="501"/>
      <c r="CD598" s="501"/>
      <c r="CE598" s="501"/>
      <c r="CF598" s="501"/>
      <c r="CG598" s="501"/>
      <c r="CH598" s="501"/>
      <c r="CI598" s="501"/>
      <c r="CJ598" s="501"/>
      <c r="CK598" s="501"/>
      <c r="CL598" s="501"/>
      <c r="CM598" s="501"/>
      <c r="CN598" s="501"/>
      <c r="CO598" s="501"/>
      <c r="CP598" s="501"/>
      <c r="CQ598" s="501"/>
      <c r="CR598" s="501"/>
      <c r="CS598" s="501"/>
      <c r="CT598" s="501"/>
    </row>
    <row r="599">
      <c r="A599" s="569"/>
      <c r="B599" s="569"/>
      <c r="C599" s="569"/>
      <c r="D599" s="498"/>
      <c r="E599" s="499"/>
      <c r="F599" s="499"/>
      <c r="G599" s="766"/>
      <c r="H599" s="766"/>
      <c r="I599" s="766"/>
      <c r="J599" s="766"/>
      <c r="K599" s="683"/>
      <c r="L599" s="683"/>
      <c r="M599" s="683"/>
      <c r="N599" s="683"/>
      <c r="O599" s="683"/>
      <c r="P599" s="683"/>
      <c r="Q599" s="683"/>
      <c r="R599" s="683"/>
      <c r="S599" s="683"/>
      <c r="T599" s="501"/>
      <c r="U599" s="501"/>
      <c r="V599" s="501"/>
      <c r="W599" s="501"/>
      <c r="X599" s="501"/>
      <c r="Y599" s="501"/>
      <c r="Z599" s="501"/>
      <c r="AA599" s="501"/>
      <c r="AB599" s="501"/>
      <c r="AC599" s="501"/>
      <c r="AD599" s="501"/>
      <c r="AE599" s="501"/>
      <c r="AF599" s="501"/>
      <c r="AG599" s="501"/>
      <c r="AH599" s="501"/>
      <c r="AI599" s="501"/>
      <c r="AJ599" s="501"/>
      <c r="AK599" s="501"/>
      <c r="AL599" s="501"/>
      <c r="AM599" s="501"/>
      <c r="AN599" s="501"/>
      <c r="AO599" s="501"/>
      <c r="AP599" s="501"/>
      <c r="AQ599" s="501"/>
      <c r="AR599" s="501"/>
      <c r="AS599" s="501"/>
      <c r="AT599" s="501"/>
      <c r="AU599" s="501"/>
      <c r="AV599" s="501"/>
      <c r="AW599" s="501"/>
      <c r="AX599" s="501"/>
      <c r="AY599" s="501"/>
      <c r="AZ599" s="501"/>
      <c r="BA599" s="501"/>
      <c r="BB599" s="501"/>
      <c r="BC599" s="501"/>
      <c r="BD599" s="501"/>
      <c r="BE599" s="501"/>
      <c r="BF599" s="501"/>
      <c r="BG599" s="501"/>
      <c r="BH599" s="501"/>
      <c r="BI599" s="501"/>
      <c r="BJ599" s="501"/>
      <c r="BK599" s="501"/>
      <c r="BL599" s="501"/>
      <c r="BM599" s="501"/>
      <c r="BN599" s="501"/>
      <c r="BO599" s="501"/>
      <c r="BP599" s="501"/>
      <c r="BQ599" s="501"/>
      <c r="BR599" s="501"/>
      <c r="BS599" s="501"/>
      <c r="BT599" s="501"/>
      <c r="BU599" s="501"/>
      <c r="BV599" s="501"/>
      <c r="BW599" s="501"/>
      <c r="BX599" s="501"/>
      <c r="BY599" s="501"/>
      <c r="BZ599" s="501"/>
      <c r="CA599" s="501"/>
      <c r="CB599" s="501"/>
      <c r="CC599" s="501"/>
      <c r="CD599" s="501"/>
      <c r="CE599" s="501"/>
      <c r="CF599" s="501"/>
      <c r="CG599" s="501"/>
      <c r="CH599" s="501"/>
      <c r="CI599" s="501"/>
      <c r="CJ599" s="501"/>
      <c r="CK599" s="501"/>
      <c r="CL599" s="501"/>
      <c r="CM599" s="501"/>
      <c r="CN599" s="501"/>
      <c r="CO599" s="501"/>
      <c r="CP599" s="501"/>
      <c r="CQ599" s="501"/>
      <c r="CR599" s="501"/>
      <c r="CS599" s="501"/>
      <c r="CT599" s="501"/>
    </row>
    <row r="600">
      <c r="A600" s="569"/>
      <c r="B600" s="569"/>
      <c r="C600" s="569"/>
      <c r="D600" s="498"/>
      <c r="E600" s="499"/>
      <c r="F600" s="499"/>
      <c r="G600" s="766"/>
      <c r="H600" s="766"/>
      <c r="I600" s="766"/>
      <c r="J600" s="766"/>
      <c r="K600" s="683"/>
      <c r="L600" s="683"/>
      <c r="M600" s="683"/>
      <c r="N600" s="683"/>
      <c r="O600" s="683"/>
      <c r="P600" s="683"/>
      <c r="Q600" s="683"/>
      <c r="R600" s="683"/>
      <c r="S600" s="683"/>
      <c r="T600" s="501"/>
      <c r="U600" s="501"/>
      <c r="V600" s="501"/>
      <c r="W600" s="501"/>
      <c r="X600" s="501"/>
      <c r="Y600" s="501"/>
      <c r="Z600" s="501"/>
      <c r="AA600" s="501"/>
      <c r="AB600" s="501"/>
      <c r="AC600" s="501"/>
      <c r="AD600" s="501"/>
      <c r="AE600" s="501"/>
      <c r="AF600" s="501"/>
      <c r="AG600" s="501"/>
      <c r="AH600" s="501"/>
      <c r="AI600" s="501"/>
      <c r="AJ600" s="501"/>
      <c r="AK600" s="501"/>
      <c r="AL600" s="501"/>
      <c r="AM600" s="501"/>
      <c r="AN600" s="501"/>
      <c r="AO600" s="501"/>
      <c r="AP600" s="501"/>
      <c r="AQ600" s="501"/>
      <c r="AR600" s="501"/>
      <c r="AS600" s="501"/>
      <c r="AT600" s="501"/>
      <c r="AU600" s="501"/>
      <c r="AV600" s="501"/>
      <c r="AW600" s="501"/>
      <c r="AX600" s="501"/>
      <c r="AY600" s="501"/>
      <c r="AZ600" s="501"/>
      <c r="BA600" s="501"/>
      <c r="BB600" s="501"/>
      <c r="BC600" s="501"/>
      <c r="BD600" s="501"/>
      <c r="BE600" s="501"/>
      <c r="BF600" s="501"/>
      <c r="BG600" s="501"/>
      <c r="BH600" s="501"/>
      <c r="BI600" s="501"/>
      <c r="BJ600" s="501"/>
      <c r="BK600" s="501"/>
      <c r="BL600" s="501"/>
      <c r="BM600" s="501"/>
      <c r="BN600" s="501"/>
      <c r="BO600" s="501"/>
      <c r="BP600" s="501"/>
      <c r="BQ600" s="501"/>
      <c r="BR600" s="501"/>
      <c r="BS600" s="501"/>
      <c r="BT600" s="501"/>
      <c r="BU600" s="501"/>
      <c r="BV600" s="501"/>
      <c r="BW600" s="501"/>
      <c r="BX600" s="501"/>
      <c r="BY600" s="501"/>
      <c r="BZ600" s="501"/>
      <c r="CA600" s="501"/>
      <c r="CB600" s="501"/>
      <c r="CC600" s="501"/>
      <c r="CD600" s="501"/>
      <c r="CE600" s="501"/>
      <c r="CF600" s="501"/>
      <c r="CG600" s="501"/>
      <c r="CH600" s="501"/>
      <c r="CI600" s="501"/>
      <c r="CJ600" s="501"/>
      <c r="CK600" s="501"/>
      <c r="CL600" s="501"/>
      <c r="CM600" s="501"/>
      <c r="CN600" s="501"/>
      <c r="CO600" s="501"/>
      <c r="CP600" s="501"/>
      <c r="CQ600" s="501"/>
      <c r="CR600" s="501"/>
      <c r="CS600" s="501"/>
      <c r="CT600" s="501"/>
    </row>
    <row r="601">
      <c r="A601" s="569"/>
      <c r="B601" s="569"/>
      <c r="C601" s="569"/>
      <c r="D601" s="498"/>
      <c r="E601" s="499"/>
      <c r="F601" s="499"/>
      <c r="G601" s="766"/>
      <c r="H601" s="766"/>
      <c r="I601" s="766"/>
      <c r="J601" s="766"/>
      <c r="K601" s="683"/>
      <c r="L601" s="683"/>
      <c r="M601" s="683"/>
      <c r="N601" s="683"/>
      <c r="O601" s="683"/>
      <c r="P601" s="683"/>
      <c r="Q601" s="683"/>
      <c r="R601" s="683"/>
      <c r="S601" s="683"/>
      <c r="T601" s="501"/>
      <c r="U601" s="501"/>
      <c r="V601" s="501"/>
      <c r="W601" s="501"/>
      <c r="X601" s="501"/>
      <c r="Y601" s="501"/>
      <c r="Z601" s="501"/>
      <c r="AA601" s="501"/>
      <c r="AB601" s="501"/>
      <c r="AC601" s="501"/>
      <c r="AD601" s="501"/>
      <c r="AE601" s="501"/>
      <c r="AF601" s="501"/>
      <c r="AG601" s="501"/>
      <c r="AH601" s="501"/>
      <c r="AI601" s="501"/>
      <c r="AJ601" s="501"/>
      <c r="AK601" s="501"/>
      <c r="AL601" s="501"/>
      <c r="AM601" s="501"/>
      <c r="AN601" s="501"/>
      <c r="AO601" s="501"/>
      <c r="AP601" s="501"/>
      <c r="AQ601" s="501"/>
      <c r="AR601" s="501"/>
      <c r="AS601" s="501"/>
      <c r="AT601" s="501"/>
      <c r="AU601" s="501"/>
      <c r="AV601" s="501"/>
      <c r="AW601" s="501"/>
      <c r="AX601" s="501"/>
      <c r="AY601" s="501"/>
      <c r="AZ601" s="501"/>
      <c r="BA601" s="501"/>
      <c r="BB601" s="501"/>
      <c r="BC601" s="501"/>
      <c r="BD601" s="501"/>
      <c r="BE601" s="501"/>
      <c r="BF601" s="501"/>
      <c r="BG601" s="501"/>
      <c r="BH601" s="501"/>
      <c r="BI601" s="501"/>
      <c r="BJ601" s="501"/>
      <c r="BK601" s="501"/>
      <c r="BL601" s="501"/>
      <c r="BM601" s="501"/>
      <c r="BN601" s="501"/>
      <c r="BO601" s="501"/>
      <c r="BP601" s="501"/>
      <c r="BQ601" s="501"/>
      <c r="BR601" s="501"/>
      <c r="BS601" s="501"/>
      <c r="BT601" s="501"/>
      <c r="BU601" s="501"/>
      <c r="BV601" s="501"/>
      <c r="BW601" s="501"/>
      <c r="BX601" s="501"/>
      <c r="BY601" s="501"/>
      <c r="BZ601" s="501"/>
      <c r="CA601" s="501"/>
      <c r="CB601" s="501"/>
      <c r="CC601" s="501"/>
      <c r="CD601" s="501"/>
      <c r="CE601" s="501"/>
      <c r="CF601" s="501"/>
      <c r="CG601" s="501"/>
      <c r="CH601" s="501"/>
      <c r="CI601" s="501"/>
      <c r="CJ601" s="501"/>
      <c r="CK601" s="501"/>
      <c r="CL601" s="501"/>
      <c r="CM601" s="501"/>
      <c r="CN601" s="501"/>
      <c r="CO601" s="501"/>
      <c r="CP601" s="501"/>
      <c r="CQ601" s="501"/>
      <c r="CR601" s="501"/>
      <c r="CS601" s="501"/>
      <c r="CT601" s="501"/>
    </row>
    <row r="602">
      <c r="A602" s="569"/>
      <c r="B602" s="569"/>
      <c r="C602" s="569"/>
      <c r="D602" s="498"/>
      <c r="E602" s="499"/>
      <c r="F602" s="499"/>
      <c r="G602" s="766"/>
      <c r="H602" s="766"/>
      <c r="I602" s="766"/>
      <c r="J602" s="766"/>
      <c r="K602" s="683"/>
      <c r="L602" s="683"/>
      <c r="M602" s="683"/>
      <c r="N602" s="683"/>
      <c r="O602" s="683"/>
      <c r="P602" s="683"/>
      <c r="Q602" s="683"/>
      <c r="R602" s="683"/>
      <c r="S602" s="683"/>
      <c r="T602" s="501"/>
      <c r="U602" s="501"/>
      <c r="V602" s="501"/>
      <c r="W602" s="501"/>
      <c r="X602" s="501"/>
      <c r="Y602" s="501"/>
      <c r="Z602" s="501"/>
      <c r="AA602" s="501"/>
      <c r="AB602" s="501"/>
      <c r="AC602" s="501"/>
      <c r="AD602" s="501"/>
      <c r="AE602" s="501"/>
      <c r="AF602" s="501"/>
      <c r="AG602" s="501"/>
      <c r="AH602" s="501"/>
      <c r="AI602" s="501"/>
      <c r="AJ602" s="501"/>
      <c r="AK602" s="501"/>
      <c r="AL602" s="501"/>
      <c r="AM602" s="501"/>
      <c r="AN602" s="501"/>
      <c r="AO602" s="501"/>
      <c r="AP602" s="501"/>
      <c r="AQ602" s="501"/>
      <c r="AR602" s="501"/>
      <c r="AS602" s="501"/>
      <c r="AT602" s="501"/>
      <c r="AU602" s="501"/>
      <c r="AV602" s="501"/>
      <c r="AW602" s="501"/>
      <c r="AX602" s="501"/>
      <c r="AY602" s="501"/>
      <c r="AZ602" s="501"/>
      <c r="BA602" s="501"/>
      <c r="BB602" s="501"/>
      <c r="BC602" s="501"/>
      <c r="BD602" s="501"/>
      <c r="BE602" s="501"/>
      <c r="BF602" s="501"/>
      <c r="BG602" s="501"/>
      <c r="BH602" s="501"/>
      <c r="BI602" s="501"/>
      <c r="BJ602" s="501"/>
      <c r="BK602" s="501"/>
      <c r="BL602" s="501"/>
      <c r="BM602" s="501"/>
      <c r="BN602" s="501"/>
      <c r="BO602" s="501"/>
      <c r="BP602" s="501"/>
      <c r="BQ602" s="501"/>
      <c r="BR602" s="501"/>
      <c r="BS602" s="501"/>
      <c r="BT602" s="501"/>
      <c r="BU602" s="501"/>
      <c r="BV602" s="501"/>
      <c r="BW602" s="501"/>
      <c r="BX602" s="501"/>
      <c r="BY602" s="501"/>
      <c r="BZ602" s="501"/>
      <c r="CA602" s="501"/>
      <c r="CB602" s="501"/>
      <c r="CC602" s="501"/>
      <c r="CD602" s="501"/>
      <c r="CE602" s="501"/>
      <c r="CF602" s="501"/>
      <c r="CG602" s="501"/>
      <c r="CH602" s="501"/>
      <c r="CI602" s="501"/>
      <c r="CJ602" s="501"/>
      <c r="CK602" s="501"/>
      <c r="CL602" s="501"/>
      <c r="CM602" s="501"/>
      <c r="CN602" s="501"/>
      <c r="CO602" s="501"/>
      <c r="CP602" s="501"/>
      <c r="CQ602" s="501"/>
      <c r="CR602" s="501"/>
      <c r="CS602" s="501"/>
      <c r="CT602" s="501"/>
    </row>
    <row r="603">
      <c r="A603" s="569"/>
      <c r="B603" s="569"/>
      <c r="C603" s="569"/>
      <c r="D603" s="498"/>
      <c r="E603" s="499"/>
      <c r="F603" s="499"/>
      <c r="G603" s="766"/>
      <c r="H603" s="766"/>
      <c r="I603" s="766"/>
      <c r="J603" s="766"/>
      <c r="K603" s="683"/>
      <c r="L603" s="683"/>
      <c r="M603" s="683"/>
      <c r="N603" s="683"/>
      <c r="O603" s="683"/>
      <c r="P603" s="683"/>
      <c r="Q603" s="683"/>
      <c r="R603" s="683"/>
      <c r="S603" s="683"/>
      <c r="T603" s="501"/>
      <c r="U603" s="501"/>
      <c r="V603" s="501"/>
      <c r="W603" s="501"/>
      <c r="X603" s="501"/>
      <c r="Y603" s="501"/>
      <c r="Z603" s="501"/>
      <c r="AA603" s="501"/>
      <c r="AB603" s="501"/>
      <c r="AC603" s="501"/>
      <c r="AD603" s="501"/>
      <c r="AE603" s="501"/>
      <c r="AF603" s="501"/>
      <c r="AG603" s="501"/>
      <c r="AH603" s="501"/>
      <c r="AI603" s="501"/>
      <c r="AJ603" s="501"/>
      <c r="AK603" s="501"/>
      <c r="AL603" s="501"/>
      <c r="AM603" s="501"/>
      <c r="AN603" s="501"/>
      <c r="AO603" s="501"/>
      <c r="AP603" s="501"/>
      <c r="AQ603" s="501"/>
      <c r="AR603" s="501"/>
      <c r="AS603" s="501"/>
      <c r="AT603" s="501"/>
      <c r="AU603" s="501"/>
      <c r="AV603" s="501"/>
      <c r="AW603" s="501"/>
      <c r="AX603" s="501"/>
      <c r="AY603" s="501"/>
      <c r="AZ603" s="501"/>
      <c r="BA603" s="501"/>
      <c r="BB603" s="501"/>
      <c r="BC603" s="501"/>
      <c r="BD603" s="501"/>
      <c r="BE603" s="501"/>
      <c r="BF603" s="501"/>
      <c r="BG603" s="501"/>
      <c r="BH603" s="501"/>
      <c r="BI603" s="501"/>
      <c r="BJ603" s="501"/>
      <c r="BK603" s="501"/>
      <c r="BL603" s="501"/>
      <c r="BM603" s="501"/>
      <c r="BN603" s="501"/>
      <c r="BO603" s="501"/>
      <c r="BP603" s="501"/>
      <c r="BQ603" s="501"/>
      <c r="BR603" s="501"/>
      <c r="BS603" s="501"/>
      <c r="BT603" s="501"/>
      <c r="BU603" s="501"/>
      <c r="BV603" s="501"/>
      <c r="BW603" s="501"/>
      <c r="BX603" s="501"/>
      <c r="BY603" s="501"/>
      <c r="BZ603" s="501"/>
      <c r="CA603" s="501"/>
      <c r="CB603" s="501"/>
      <c r="CC603" s="501"/>
      <c r="CD603" s="501"/>
      <c r="CE603" s="501"/>
      <c r="CF603" s="501"/>
      <c r="CG603" s="501"/>
      <c r="CH603" s="501"/>
      <c r="CI603" s="501"/>
      <c r="CJ603" s="501"/>
      <c r="CK603" s="501"/>
      <c r="CL603" s="501"/>
      <c r="CM603" s="501"/>
      <c r="CN603" s="501"/>
      <c r="CO603" s="501"/>
      <c r="CP603" s="501"/>
      <c r="CQ603" s="501"/>
      <c r="CR603" s="501"/>
      <c r="CS603" s="501"/>
      <c r="CT603" s="501"/>
    </row>
    <row r="604">
      <c r="A604" s="569"/>
      <c r="B604" s="569"/>
      <c r="C604" s="569"/>
      <c r="D604" s="498"/>
      <c r="E604" s="499"/>
      <c r="F604" s="499"/>
      <c r="G604" s="766"/>
      <c r="H604" s="766"/>
      <c r="I604" s="766"/>
      <c r="J604" s="766"/>
      <c r="K604" s="683"/>
      <c r="L604" s="683"/>
      <c r="M604" s="683"/>
      <c r="N604" s="683"/>
      <c r="O604" s="683"/>
      <c r="P604" s="683"/>
      <c r="Q604" s="683"/>
      <c r="R604" s="683"/>
      <c r="S604" s="683"/>
      <c r="T604" s="501"/>
      <c r="U604" s="501"/>
      <c r="V604" s="501"/>
      <c r="W604" s="501"/>
      <c r="X604" s="501"/>
      <c r="Y604" s="501"/>
      <c r="Z604" s="501"/>
      <c r="AA604" s="501"/>
      <c r="AB604" s="501"/>
      <c r="AC604" s="501"/>
      <c r="AD604" s="501"/>
      <c r="AE604" s="501"/>
      <c r="AF604" s="501"/>
      <c r="AG604" s="501"/>
      <c r="AH604" s="501"/>
      <c r="AI604" s="501"/>
      <c r="AJ604" s="501"/>
      <c r="AK604" s="501"/>
      <c r="AL604" s="501"/>
      <c r="AM604" s="501"/>
      <c r="AN604" s="501"/>
      <c r="AO604" s="501"/>
      <c r="AP604" s="501"/>
      <c r="AQ604" s="501"/>
      <c r="AR604" s="501"/>
      <c r="AS604" s="501"/>
      <c r="AT604" s="501"/>
      <c r="AU604" s="501"/>
      <c r="AV604" s="501"/>
      <c r="AW604" s="501"/>
      <c r="AX604" s="501"/>
      <c r="AY604" s="501"/>
      <c r="AZ604" s="501"/>
      <c r="BA604" s="501"/>
      <c r="BB604" s="501"/>
      <c r="BC604" s="501"/>
      <c r="BD604" s="501"/>
      <c r="BE604" s="501"/>
      <c r="BF604" s="501"/>
      <c r="BG604" s="501"/>
      <c r="BH604" s="501"/>
      <c r="BI604" s="501"/>
      <c r="BJ604" s="501"/>
      <c r="BK604" s="501"/>
      <c r="BL604" s="501"/>
      <c r="BM604" s="501"/>
      <c r="BN604" s="501"/>
      <c r="BO604" s="501"/>
      <c r="BP604" s="501"/>
      <c r="BQ604" s="501"/>
      <c r="BR604" s="501"/>
      <c r="BS604" s="501"/>
      <c r="BT604" s="501"/>
      <c r="BU604" s="501"/>
      <c r="BV604" s="501"/>
      <c r="BW604" s="501"/>
      <c r="BX604" s="501"/>
      <c r="BY604" s="501"/>
      <c r="BZ604" s="501"/>
      <c r="CA604" s="501"/>
      <c r="CB604" s="501"/>
      <c r="CC604" s="501"/>
      <c r="CD604" s="501"/>
      <c r="CE604" s="501"/>
      <c r="CF604" s="501"/>
      <c r="CG604" s="501"/>
      <c r="CH604" s="501"/>
      <c r="CI604" s="501"/>
      <c r="CJ604" s="501"/>
      <c r="CK604" s="501"/>
      <c r="CL604" s="501"/>
      <c r="CM604" s="501"/>
      <c r="CN604" s="501"/>
      <c r="CO604" s="501"/>
      <c r="CP604" s="501"/>
      <c r="CQ604" s="501"/>
      <c r="CR604" s="501"/>
      <c r="CS604" s="501"/>
      <c r="CT604" s="501"/>
    </row>
    <row r="605">
      <c r="A605" s="569"/>
      <c r="B605" s="569"/>
      <c r="C605" s="569"/>
      <c r="D605" s="498"/>
      <c r="E605" s="499"/>
      <c r="F605" s="499"/>
      <c r="G605" s="766"/>
      <c r="H605" s="766"/>
      <c r="I605" s="766"/>
      <c r="J605" s="766"/>
      <c r="K605" s="683"/>
      <c r="L605" s="683"/>
      <c r="M605" s="683"/>
      <c r="N605" s="683"/>
      <c r="O605" s="683"/>
      <c r="P605" s="683"/>
      <c r="Q605" s="683"/>
      <c r="R605" s="683"/>
      <c r="S605" s="683"/>
      <c r="T605" s="501"/>
      <c r="U605" s="501"/>
      <c r="V605" s="501"/>
      <c r="W605" s="501"/>
      <c r="X605" s="501"/>
      <c r="Y605" s="501"/>
      <c r="Z605" s="501"/>
      <c r="AA605" s="501"/>
      <c r="AB605" s="501"/>
      <c r="AC605" s="501"/>
      <c r="AD605" s="501"/>
      <c r="AE605" s="501"/>
      <c r="AF605" s="501"/>
      <c r="AG605" s="501"/>
      <c r="AH605" s="501"/>
      <c r="AI605" s="501"/>
      <c r="AJ605" s="501"/>
      <c r="AK605" s="501"/>
      <c r="AL605" s="501"/>
      <c r="AM605" s="501"/>
      <c r="AN605" s="501"/>
      <c r="AO605" s="501"/>
      <c r="AP605" s="501"/>
      <c r="AQ605" s="501"/>
      <c r="AR605" s="501"/>
      <c r="AS605" s="501"/>
      <c r="AT605" s="501"/>
      <c r="AU605" s="501"/>
      <c r="AV605" s="501"/>
      <c r="AW605" s="501"/>
      <c r="AX605" s="501"/>
      <c r="AY605" s="501"/>
      <c r="AZ605" s="501"/>
      <c r="BA605" s="501"/>
      <c r="BB605" s="501"/>
      <c r="BC605" s="501"/>
      <c r="BD605" s="501"/>
      <c r="BE605" s="501"/>
      <c r="BF605" s="501"/>
      <c r="BG605" s="501"/>
      <c r="BH605" s="501"/>
      <c r="BI605" s="501"/>
      <c r="BJ605" s="501"/>
      <c r="BK605" s="501"/>
      <c r="BL605" s="501"/>
      <c r="BM605" s="501"/>
      <c r="BN605" s="501"/>
      <c r="BO605" s="501"/>
      <c r="BP605" s="501"/>
      <c r="BQ605" s="501"/>
      <c r="BR605" s="501"/>
      <c r="BS605" s="501"/>
      <c r="BT605" s="501"/>
      <c r="BU605" s="501"/>
      <c r="BV605" s="501"/>
      <c r="BW605" s="501"/>
      <c r="BX605" s="501"/>
      <c r="BY605" s="501"/>
      <c r="BZ605" s="501"/>
      <c r="CA605" s="501"/>
      <c r="CB605" s="501"/>
      <c r="CC605" s="501"/>
      <c r="CD605" s="501"/>
      <c r="CE605" s="501"/>
      <c r="CF605" s="501"/>
      <c r="CG605" s="501"/>
      <c r="CH605" s="501"/>
      <c r="CI605" s="501"/>
      <c r="CJ605" s="501"/>
      <c r="CK605" s="501"/>
      <c r="CL605" s="501"/>
      <c r="CM605" s="501"/>
      <c r="CN605" s="501"/>
      <c r="CO605" s="501"/>
      <c r="CP605" s="501"/>
      <c r="CQ605" s="501"/>
      <c r="CR605" s="501"/>
      <c r="CS605" s="501"/>
      <c r="CT605" s="501"/>
    </row>
    <row r="606">
      <c r="A606" s="569"/>
      <c r="B606" s="569"/>
      <c r="C606" s="569"/>
      <c r="D606" s="498"/>
      <c r="E606" s="499"/>
      <c r="F606" s="499"/>
      <c r="G606" s="766"/>
      <c r="H606" s="766"/>
      <c r="I606" s="766"/>
      <c r="J606" s="766"/>
      <c r="K606" s="683"/>
      <c r="L606" s="683"/>
      <c r="M606" s="683"/>
      <c r="N606" s="683"/>
      <c r="O606" s="683"/>
      <c r="P606" s="683"/>
      <c r="Q606" s="683"/>
      <c r="R606" s="683"/>
      <c r="S606" s="683"/>
      <c r="T606" s="501"/>
      <c r="U606" s="501"/>
      <c r="V606" s="501"/>
      <c r="W606" s="501"/>
      <c r="X606" s="501"/>
      <c r="Y606" s="501"/>
      <c r="Z606" s="501"/>
      <c r="AA606" s="501"/>
      <c r="AB606" s="501"/>
      <c r="AC606" s="501"/>
      <c r="AD606" s="501"/>
      <c r="AE606" s="501"/>
      <c r="AF606" s="501"/>
      <c r="AG606" s="501"/>
      <c r="AH606" s="501"/>
      <c r="AI606" s="501"/>
      <c r="AJ606" s="501"/>
      <c r="AK606" s="501"/>
      <c r="AL606" s="501"/>
      <c r="AM606" s="501"/>
      <c r="AN606" s="501"/>
      <c r="AO606" s="501"/>
      <c r="AP606" s="501"/>
      <c r="AQ606" s="501"/>
      <c r="AR606" s="501"/>
      <c r="AS606" s="501"/>
      <c r="AT606" s="501"/>
      <c r="AU606" s="501"/>
      <c r="AV606" s="501"/>
      <c r="AW606" s="501"/>
      <c r="AX606" s="501"/>
      <c r="AY606" s="501"/>
      <c r="AZ606" s="501"/>
      <c r="BA606" s="501"/>
      <c r="BB606" s="501"/>
      <c r="BC606" s="501"/>
      <c r="BD606" s="501"/>
      <c r="BE606" s="501"/>
      <c r="BF606" s="501"/>
      <c r="BG606" s="501"/>
      <c r="BH606" s="501"/>
      <c r="BI606" s="501"/>
      <c r="BJ606" s="501"/>
      <c r="BK606" s="501"/>
      <c r="BL606" s="501"/>
      <c r="BM606" s="501"/>
      <c r="BN606" s="501"/>
      <c r="BO606" s="501"/>
      <c r="BP606" s="501"/>
      <c r="BQ606" s="501"/>
      <c r="BR606" s="501"/>
      <c r="BS606" s="501"/>
      <c r="BT606" s="501"/>
      <c r="BU606" s="501"/>
      <c r="BV606" s="501"/>
      <c r="BW606" s="501"/>
      <c r="BX606" s="501"/>
      <c r="BY606" s="501"/>
      <c r="BZ606" s="501"/>
      <c r="CA606" s="501"/>
      <c r="CB606" s="501"/>
      <c r="CC606" s="501"/>
      <c r="CD606" s="501"/>
      <c r="CE606" s="501"/>
      <c r="CF606" s="501"/>
      <c r="CG606" s="501"/>
      <c r="CH606" s="501"/>
      <c r="CI606" s="501"/>
      <c r="CJ606" s="501"/>
      <c r="CK606" s="501"/>
      <c r="CL606" s="501"/>
      <c r="CM606" s="501"/>
      <c r="CN606" s="501"/>
      <c r="CO606" s="501"/>
      <c r="CP606" s="501"/>
      <c r="CQ606" s="501"/>
      <c r="CR606" s="501"/>
      <c r="CS606" s="501"/>
      <c r="CT606" s="501"/>
    </row>
    <row r="607">
      <c r="A607" s="569"/>
      <c r="B607" s="569"/>
      <c r="C607" s="569"/>
      <c r="D607" s="498"/>
      <c r="E607" s="499"/>
      <c r="F607" s="499"/>
      <c r="G607" s="766"/>
      <c r="H607" s="766"/>
      <c r="I607" s="766"/>
      <c r="J607" s="766"/>
      <c r="K607" s="683"/>
      <c r="L607" s="683"/>
      <c r="M607" s="683"/>
      <c r="N607" s="683"/>
      <c r="O607" s="683"/>
      <c r="P607" s="683"/>
      <c r="Q607" s="683"/>
      <c r="R607" s="683"/>
      <c r="S607" s="683"/>
      <c r="T607" s="501"/>
      <c r="U607" s="501"/>
      <c r="V607" s="501"/>
      <c r="W607" s="501"/>
      <c r="X607" s="501"/>
      <c r="Y607" s="501"/>
      <c r="Z607" s="501"/>
      <c r="AA607" s="501"/>
      <c r="AB607" s="501"/>
      <c r="AC607" s="501"/>
      <c r="AD607" s="501"/>
      <c r="AE607" s="501"/>
      <c r="AF607" s="501"/>
      <c r="AG607" s="501"/>
      <c r="AH607" s="501"/>
      <c r="AI607" s="501"/>
      <c r="AJ607" s="501"/>
      <c r="AK607" s="501"/>
      <c r="AL607" s="501"/>
      <c r="AM607" s="501"/>
      <c r="AN607" s="501"/>
      <c r="AO607" s="501"/>
      <c r="AP607" s="501"/>
      <c r="AQ607" s="501"/>
      <c r="AR607" s="501"/>
      <c r="AS607" s="501"/>
      <c r="AT607" s="501"/>
      <c r="AU607" s="501"/>
      <c r="AV607" s="501"/>
      <c r="AW607" s="501"/>
      <c r="AX607" s="501"/>
      <c r="AY607" s="501"/>
      <c r="AZ607" s="501"/>
      <c r="BA607" s="501"/>
      <c r="BB607" s="501"/>
      <c r="BC607" s="501"/>
      <c r="BD607" s="501"/>
      <c r="BE607" s="501"/>
      <c r="BF607" s="501"/>
      <c r="BG607" s="501"/>
      <c r="BH607" s="501"/>
      <c r="BI607" s="501"/>
      <c r="BJ607" s="501"/>
      <c r="BK607" s="501"/>
      <c r="BL607" s="501"/>
      <c r="BM607" s="501"/>
      <c r="BN607" s="501"/>
      <c r="BO607" s="501"/>
      <c r="BP607" s="501"/>
      <c r="BQ607" s="501"/>
      <c r="BR607" s="501"/>
      <c r="BS607" s="501"/>
      <c r="BT607" s="501"/>
      <c r="BU607" s="501"/>
      <c r="BV607" s="501"/>
      <c r="BW607" s="501"/>
      <c r="BX607" s="501"/>
      <c r="BY607" s="501"/>
      <c r="BZ607" s="501"/>
      <c r="CA607" s="501"/>
      <c r="CB607" s="501"/>
      <c r="CC607" s="501"/>
      <c r="CD607" s="501"/>
      <c r="CE607" s="501"/>
      <c r="CF607" s="501"/>
      <c r="CG607" s="501"/>
      <c r="CH607" s="501"/>
      <c r="CI607" s="501"/>
      <c r="CJ607" s="501"/>
      <c r="CK607" s="501"/>
      <c r="CL607" s="501"/>
      <c r="CM607" s="501"/>
      <c r="CN607" s="501"/>
      <c r="CO607" s="501"/>
      <c r="CP607" s="501"/>
      <c r="CQ607" s="501"/>
      <c r="CR607" s="501"/>
      <c r="CS607" s="501"/>
      <c r="CT607" s="501"/>
    </row>
    <row r="608">
      <c r="A608" s="569"/>
      <c r="B608" s="569"/>
      <c r="C608" s="569"/>
      <c r="D608" s="498"/>
      <c r="E608" s="499"/>
      <c r="F608" s="499"/>
      <c r="G608" s="766"/>
      <c r="H608" s="766"/>
      <c r="I608" s="766"/>
      <c r="J608" s="766"/>
      <c r="K608" s="683"/>
      <c r="L608" s="683"/>
      <c r="M608" s="683"/>
      <c r="N608" s="683"/>
      <c r="O608" s="683"/>
      <c r="P608" s="683"/>
      <c r="Q608" s="683"/>
      <c r="R608" s="683"/>
      <c r="S608" s="683"/>
      <c r="T608" s="501"/>
      <c r="U608" s="501"/>
      <c r="V608" s="501"/>
      <c r="W608" s="501"/>
      <c r="X608" s="501"/>
      <c r="Y608" s="501"/>
      <c r="Z608" s="501"/>
      <c r="AA608" s="501"/>
      <c r="AB608" s="501"/>
      <c r="AC608" s="501"/>
      <c r="AD608" s="501"/>
      <c r="AE608" s="501"/>
      <c r="AF608" s="501"/>
      <c r="AG608" s="501"/>
      <c r="AH608" s="501"/>
      <c r="AI608" s="501"/>
      <c r="AJ608" s="501"/>
      <c r="AK608" s="501"/>
      <c r="AL608" s="501"/>
      <c r="AM608" s="501"/>
      <c r="AN608" s="501"/>
      <c r="AO608" s="501"/>
      <c r="AP608" s="501"/>
      <c r="AQ608" s="501"/>
      <c r="AR608" s="501"/>
      <c r="AS608" s="501"/>
      <c r="AT608" s="501"/>
      <c r="AU608" s="501"/>
      <c r="AV608" s="501"/>
      <c r="AW608" s="501"/>
      <c r="AX608" s="501"/>
      <c r="AY608" s="501"/>
      <c r="AZ608" s="501"/>
      <c r="BA608" s="501"/>
      <c r="BB608" s="501"/>
      <c r="BC608" s="501"/>
      <c r="BD608" s="501"/>
      <c r="BE608" s="501"/>
      <c r="BF608" s="501"/>
      <c r="BG608" s="501"/>
      <c r="BH608" s="501"/>
      <c r="BI608" s="501"/>
      <c r="BJ608" s="501"/>
      <c r="BK608" s="501"/>
      <c r="BL608" s="501"/>
      <c r="BM608" s="501"/>
      <c r="BN608" s="501"/>
      <c r="BO608" s="501"/>
      <c r="BP608" s="501"/>
      <c r="BQ608" s="501"/>
      <c r="BR608" s="501"/>
      <c r="BS608" s="501"/>
      <c r="BT608" s="501"/>
      <c r="BU608" s="501"/>
      <c r="BV608" s="501"/>
      <c r="BW608" s="501"/>
      <c r="BX608" s="501"/>
      <c r="BY608" s="501"/>
      <c r="BZ608" s="501"/>
      <c r="CA608" s="501"/>
      <c r="CB608" s="501"/>
      <c r="CC608" s="501"/>
      <c r="CD608" s="501"/>
      <c r="CE608" s="501"/>
      <c r="CF608" s="501"/>
      <c r="CG608" s="501"/>
      <c r="CH608" s="501"/>
      <c r="CI608" s="501"/>
      <c r="CJ608" s="501"/>
      <c r="CK608" s="501"/>
      <c r="CL608" s="501"/>
      <c r="CM608" s="501"/>
      <c r="CN608" s="501"/>
      <c r="CO608" s="501"/>
      <c r="CP608" s="501"/>
      <c r="CQ608" s="501"/>
      <c r="CR608" s="501"/>
      <c r="CS608" s="501"/>
      <c r="CT608" s="501"/>
    </row>
    <row r="609">
      <c r="A609" s="569"/>
      <c r="B609" s="569"/>
      <c r="C609" s="569"/>
      <c r="D609" s="498"/>
      <c r="E609" s="499"/>
      <c r="F609" s="499"/>
      <c r="G609" s="766"/>
      <c r="H609" s="766"/>
      <c r="I609" s="766"/>
      <c r="J609" s="766"/>
      <c r="K609" s="683"/>
      <c r="L609" s="683"/>
      <c r="M609" s="683"/>
      <c r="N609" s="683"/>
      <c r="O609" s="683"/>
      <c r="P609" s="683"/>
      <c r="Q609" s="683"/>
      <c r="R609" s="683"/>
      <c r="S609" s="683"/>
      <c r="T609" s="501"/>
      <c r="U609" s="501"/>
      <c r="V609" s="501"/>
      <c r="W609" s="501"/>
      <c r="X609" s="501"/>
      <c r="Y609" s="501"/>
      <c r="Z609" s="501"/>
      <c r="AA609" s="501"/>
      <c r="AB609" s="501"/>
      <c r="AC609" s="501"/>
      <c r="AD609" s="501"/>
      <c r="AE609" s="501"/>
      <c r="AF609" s="501"/>
      <c r="AG609" s="501"/>
      <c r="AH609" s="501"/>
      <c r="AI609" s="501"/>
      <c r="AJ609" s="501"/>
      <c r="AK609" s="501"/>
      <c r="AL609" s="501"/>
      <c r="AM609" s="501"/>
      <c r="AN609" s="501"/>
      <c r="AO609" s="501"/>
      <c r="AP609" s="501"/>
      <c r="AQ609" s="501"/>
      <c r="AR609" s="501"/>
      <c r="AS609" s="501"/>
      <c r="AT609" s="501"/>
      <c r="AU609" s="501"/>
      <c r="AV609" s="501"/>
      <c r="AW609" s="501"/>
      <c r="AX609" s="501"/>
      <c r="AY609" s="501"/>
      <c r="AZ609" s="501"/>
      <c r="BA609" s="501"/>
      <c r="BB609" s="501"/>
      <c r="BC609" s="501"/>
      <c r="BD609" s="501"/>
      <c r="BE609" s="501"/>
      <c r="BF609" s="501"/>
      <c r="BG609" s="501"/>
      <c r="BH609" s="501"/>
      <c r="BI609" s="501"/>
      <c r="BJ609" s="501"/>
      <c r="BK609" s="501"/>
      <c r="BL609" s="501"/>
      <c r="BM609" s="501"/>
      <c r="BN609" s="501"/>
      <c r="BO609" s="501"/>
      <c r="BP609" s="501"/>
      <c r="BQ609" s="501"/>
      <c r="BR609" s="501"/>
      <c r="BS609" s="501"/>
      <c r="BT609" s="501"/>
      <c r="BU609" s="501"/>
      <c r="BV609" s="501"/>
      <c r="BW609" s="501"/>
      <c r="BX609" s="501"/>
      <c r="BY609" s="501"/>
      <c r="BZ609" s="501"/>
      <c r="CA609" s="501"/>
      <c r="CB609" s="501"/>
      <c r="CC609" s="501"/>
      <c r="CD609" s="501"/>
      <c r="CE609" s="501"/>
      <c r="CF609" s="501"/>
      <c r="CG609" s="501"/>
      <c r="CH609" s="501"/>
      <c r="CI609" s="501"/>
      <c r="CJ609" s="501"/>
      <c r="CK609" s="501"/>
      <c r="CL609" s="501"/>
      <c r="CM609" s="501"/>
      <c r="CN609" s="501"/>
      <c r="CO609" s="501"/>
      <c r="CP609" s="501"/>
      <c r="CQ609" s="501"/>
      <c r="CR609" s="501"/>
      <c r="CS609" s="501"/>
      <c r="CT609" s="501"/>
    </row>
    <row r="610">
      <c r="A610" s="569"/>
      <c r="B610" s="569"/>
      <c r="C610" s="569"/>
      <c r="D610" s="498"/>
      <c r="E610" s="499"/>
      <c r="F610" s="499"/>
      <c r="G610" s="766"/>
      <c r="H610" s="766"/>
      <c r="I610" s="766"/>
      <c r="J610" s="766"/>
      <c r="K610" s="683"/>
      <c r="L610" s="683"/>
      <c r="M610" s="683"/>
      <c r="N610" s="683"/>
      <c r="O610" s="683"/>
      <c r="P610" s="683"/>
      <c r="Q610" s="683"/>
      <c r="R610" s="683"/>
      <c r="S610" s="683"/>
      <c r="T610" s="501"/>
      <c r="U610" s="501"/>
      <c r="V610" s="501"/>
      <c r="W610" s="501"/>
      <c r="X610" s="501"/>
      <c r="Y610" s="501"/>
      <c r="Z610" s="501"/>
      <c r="AA610" s="501"/>
      <c r="AB610" s="501"/>
      <c r="AC610" s="501"/>
      <c r="AD610" s="501"/>
      <c r="AE610" s="501"/>
      <c r="AF610" s="501"/>
      <c r="AG610" s="501"/>
      <c r="AH610" s="501"/>
      <c r="AI610" s="501"/>
      <c r="AJ610" s="501"/>
      <c r="AK610" s="501"/>
      <c r="AL610" s="501"/>
      <c r="AM610" s="501"/>
      <c r="AN610" s="501"/>
      <c r="AO610" s="501"/>
      <c r="AP610" s="501"/>
      <c r="AQ610" s="501"/>
      <c r="AR610" s="501"/>
      <c r="AS610" s="501"/>
      <c r="AT610" s="501"/>
      <c r="AU610" s="501"/>
      <c r="AV610" s="501"/>
      <c r="AW610" s="501"/>
      <c r="AX610" s="501"/>
      <c r="AY610" s="501"/>
      <c r="AZ610" s="501"/>
      <c r="BA610" s="501"/>
      <c r="BB610" s="501"/>
      <c r="BC610" s="501"/>
      <c r="BD610" s="501"/>
      <c r="BE610" s="501"/>
      <c r="BF610" s="501"/>
      <c r="BG610" s="501"/>
      <c r="BH610" s="501"/>
      <c r="BI610" s="501"/>
      <c r="BJ610" s="501"/>
      <c r="BK610" s="501"/>
      <c r="BL610" s="501"/>
      <c r="BM610" s="501"/>
      <c r="BN610" s="501"/>
      <c r="BO610" s="501"/>
      <c r="BP610" s="501"/>
      <c r="BQ610" s="501"/>
      <c r="BR610" s="501"/>
      <c r="BS610" s="501"/>
      <c r="BT610" s="501"/>
      <c r="BU610" s="501"/>
      <c r="BV610" s="501"/>
      <c r="BW610" s="501"/>
      <c r="BX610" s="501"/>
      <c r="BY610" s="501"/>
      <c r="BZ610" s="501"/>
      <c r="CA610" s="501"/>
      <c r="CB610" s="501"/>
      <c r="CC610" s="501"/>
      <c r="CD610" s="501"/>
      <c r="CE610" s="501"/>
      <c r="CF610" s="501"/>
      <c r="CG610" s="501"/>
      <c r="CH610" s="501"/>
      <c r="CI610" s="501"/>
      <c r="CJ610" s="501"/>
      <c r="CK610" s="501"/>
      <c r="CL610" s="501"/>
      <c r="CM610" s="501"/>
      <c r="CN610" s="501"/>
      <c r="CO610" s="501"/>
      <c r="CP610" s="501"/>
      <c r="CQ610" s="501"/>
      <c r="CR610" s="501"/>
      <c r="CS610" s="501"/>
      <c r="CT610" s="501"/>
    </row>
    <row r="611">
      <c r="A611" s="569"/>
      <c r="B611" s="569"/>
      <c r="C611" s="569"/>
      <c r="D611" s="498"/>
      <c r="E611" s="499"/>
      <c r="F611" s="499"/>
      <c r="G611" s="766"/>
      <c r="H611" s="766"/>
      <c r="I611" s="766"/>
      <c r="J611" s="766"/>
      <c r="K611" s="683"/>
      <c r="L611" s="683"/>
      <c r="M611" s="683"/>
      <c r="N611" s="683"/>
      <c r="O611" s="683"/>
      <c r="P611" s="683"/>
      <c r="Q611" s="683"/>
      <c r="R611" s="683"/>
      <c r="S611" s="683"/>
      <c r="T611" s="501"/>
      <c r="U611" s="501"/>
      <c r="V611" s="501"/>
      <c r="W611" s="501"/>
      <c r="X611" s="501"/>
      <c r="Y611" s="501"/>
      <c r="Z611" s="501"/>
      <c r="AA611" s="501"/>
      <c r="AB611" s="501"/>
      <c r="AC611" s="501"/>
      <c r="AD611" s="501"/>
      <c r="AE611" s="501"/>
      <c r="AF611" s="501"/>
      <c r="AG611" s="501"/>
      <c r="AH611" s="501"/>
      <c r="AI611" s="501"/>
      <c r="AJ611" s="501"/>
      <c r="AK611" s="501"/>
      <c r="AL611" s="501"/>
      <c r="AM611" s="501"/>
      <c r="AN611" s="501"/>
      <c r="AO611" s="501"/>
      <c r="AP611" s="501"/>
      <c r="AQ611" s="501"/>
      <c r="AR611" s="501"/>
      <c r="AS611" s="501"/>
      <c r="AT611" s="501"/>
      <c r="AU611" s="501"/>
      <c r="AV611" s="501"/>
      <c r="AW611" s="501"/>
      <c r="AX611" s="501"/>
      <c r="AY611" s="501"/>
      <c r="AZ611" s="501"/>
      <c r="BA611" s="501"/>
      <c r="BB611" s="501"/>
      <c r="BC611" s="501"/>
      <c r="BD611" s="501"/>
      <c r="BE611" s="501"/>
      <c r="BF611" s="501"/>
      <c r="BG611" s="501"/>
      <c r="BH611" s="501"/>
      <c r="BI611" s="501"/>
      <c r="BJ611" s="501"/>
      <c r="BK611" s="501"/>
      <c r="BL611" s="501"/>
      <c r="BM611" s="501"/>
      <c r="BN611" s="501"/>
      <c r="BO611" s="501"/>
      <c r="BP611" s="501"/>
      <c r="BQ611" s="501"/>
      <c r="BR611" s="501"/>
      <c r="BS611" s="501"/>
      <c r="BT611" s="501"/>
      <c r="BU611" s="501"/>
      <c r="BV611" s="501"/>
      <c r="BW611" s="501"/>
      <c r="BX611" s="501"/>
      <c r="BY611" s="501"/>
      <c r="BZ611" s="501"/>
      <c r="CA611" s="501"/>
      <c r="CB611" s="501"/>
      <c r="CC611" s="501"/>
      <c r="CD611" s="501"/>
      <c r="CE611" s="501"/>
      <c r="CF611" s="501"/>
      <c r="CG611" s="501"/>
      <c r="CH611" s="501"/>
      <c r="CI611" s="501"/>
      <c r="CJ611" s="501"/>
      <c r="CK611" s="501"/>
      <c r="CL611" s="501"/>
      <c r="CM611" s="501"/>
      <c r="CN611" s="501"/>
      <c r="CO611" s="501"/>
      <c r="CP611" s="501"/>
      <c r="CQ611" s="501"/>
      <c r="CR611" s="501"/>
      <c r="CS611" s="501"/>
      <c r="CT611" s="501"/>
    </row>
    <row r="612">
      <c r="A612" s="569"/>
      <c r="B612" s="569"/>
      <c r="C612" s="569"/>
      <c r="D612" s="498"/>
      <c r="E612" s="499"/>
      <c r="F612" s="499"/>
      <c r="G612" s="766"/>
      <c r="H612" s="766"/>
      <c r="I612" s="766"/>
      <c r="J612" s="766"/>
      <c r="K612" s="683"/>
      <c r="L612" s="683"/>
      <c r="M612" s="683"/>
      <c r="N612" s="683"/>
      <c r="O612" s="683"/>
      <c r="P612" s="683"/>
      <c r="Q612" s="683"/>
      <c r="R612" s="683"/>
      <c r="S612" s="683"/>
      <c r="T612" s="501"/>
      <c r="U612" s="501"/>
      <c r="V612" s="501"/>
      <c r="W612" s="501"/>
      <c r="X612" s="501"/>
      <c r="Y612" s="501"/>
      <c r="Z612" s="501"/>
      <c r="AA612" s="501"/>
      <c r="AB612" s="501"/>
      <c r="AC612" s="501"/>
      <c r="AD612" s="501"/>
      <c r="AE612" s="501"/>
      <c r="AF612" s="501"/>
      <c r="AG612" s="501"/>
      <c r="AH612" s="501"/>
      <c r="AI612" s="501"/>
      <c r="AJ612" s="501"/>
      <c r="AK612" s="501"/>
      <c r="AL612" s="501"/>
      <c r="AM612" s="501"/>
      <c r="AN612" s="501"/>
      <c r="AO612" s="501"/>
      <c r="AP612" s="501"/>
      <c r="AQ612" s="501"/>
      <c r="AR612" s="501"/>
      <c r="AS612" s="501"/>
      <c r="AT612" s="501"/>
      <c r="AU612" s="501"/>
      <c r="AV612" s="501"/>
      <c r="AW612" s="501"/>
      <c r="AX612" s="501"/>
      <c r="AY612" s="501"/>
      <c r="AZ612" s="501"/>
      <c r="BA612" s="501"/>
      <c r="BB612" s="501"/>
      <c r="BC612" s="501"/>
      <c r="BD612" s="501"/>
      <c r="BE612" s="501"/>
      <c r="BF612" s="501"/>
      <c r="BG612" s="501"/>
      <c r="BH612" s="501"/>
      <c r="BI612" s="501"/>
      <c r="BJ612" s="501"/>
      <c r="BK612" s="501"/>
      <c r="BL612" s="501"/>
      <c r="BM612" s="501"/>
      <c r="BN612" s="501"/>
      <c r="BO612" s="501"/>
      <c r="BP612" s="501"/>
      <c r="BQ612" s="501"/>
      <c r="BR612" s="501"/>
      <c r="BS612" s="501"/>
      <c r="BT612" s="501"/>
      <c r="BU612" s="501"/>
      <c r="BV612" s="501"/>
      <c r="BW612" s="501"/>
      <c r="BX612" s="501"/>
      <c r="BY612" s="501"/>
      <c r="BZ612" s="501"/>
      <c r="CA612" s="501"/>
      <c r="CB612" s="501"/>
      <c r="CC612" s="501"/>
      <c r="CD612" s="501"/>
      <c r="CE612" s="501"/>
      <c r="CF612" s="501"/>
      <c r="CG612" s="501"/>
      <c r="CH612" s="501"/>
      <c r="CI612" s="501"/>
      <c r="CJ612" s="501"/>
      <c r="CK612" s="501"/>
      <c r="CL612" s="501"/>
      <c r="CM612" s="501"/>
      <c r="CN612" s="501"/>
      <c r="CO612" s="501"/>
      <c r="CP612" s="501"/>
      <c r="CQ612" s="501"/>
      <c r="CR612" s="501"/>
      <c r="CS612" s="501"/>
      <c r="CT612" s="501"/>
    </row>
    <row r="613">
      <c r="A613" s="569"/>
      <c r="B613" s="569"/>
      <c r="C613" s="569"/>
      <c r="D613" s="498"/>
      <c r="E613" s="499"/>
      <c r="F613" s="499"/>
      <c r="G613" s="766"/>
      <c r="H613" s="766"/>
      <c r="I613" s="766"/>
      <c r="J613" s="766"/>
      <c r="K613" s="683"/>
      <c r="L613" s="683"/>
      <c r="M613" s="683"/>
      <c r="N613" s="683"/>
      <c r="O613" s="683"/>
      <c r="P613" s="683"/>
      <c r="Q613" s="683"/>
      <c r="R613" s="683"/>
      <c r="S613" s="683"/>
      <c r="T613" s="501"/>
      <c r="U613" s="501"/>
      <c r="V613" s="501"/>
      <c r="W613" s="501"/>
      <c r="X613" s="501"/>
      <c r="Y613" s="501"/>
      <c r="Z613" s="501"/>
      <c r="AA613" s="501"/>
      <c r="AB613" s="501"/>
      <c r="AC613" s="501"/>
      <c r="AD613" s="501"/>
      <c r="AE613" s="501"/>
      <c r="AF613" s="501"/>
      <c r="AG613" s="501"/>
      <c r="AH613" s="501"/>
      <c r="AI613" s="501"/>
      <c r="AJ613" s="501"/>
      <c r="AK613" s="501"/>
      <c r="AL613" s="501"/>
      <c r="AM613" s="501"/>
      <c r="AN613" s="501"/>
      <c r="AO613" s="501"/>
      <c r="AP613" s="501"/>
      <c r="AQ613" s="501"/>
      <c r="AR613" s="501"/>
      <c r="AS613" s="501"/>
      <c r="AT613" s="501"/>
      <c r="AU613" s="501"/>
      <c r="AV613" s="501"/>
      <c r="AW613" s="501"/>
      <c r="AX613" s="501"/>
      <c r="AY613" s="501"/>
      <c r="AZ613" s="501"/>
      <c r="BA613" s="501"/>
      <c r="BB613" s="501"/>
      <c r="BC613" s="501"/>
      <c r="BD613" s="501"/>
      <c r="BE613" s="501"/>
      <c r="BF613" s="501"/>
      <c r="BG613" s="501"/>
      <c r="BH613" s="501"/>
      <c r="BI613" s="501"/>
      <c r="BJ613" s="501"/>
      <c r="BK613" s="501"/>
      <c r="BL613" s="501"/>
      <c r="BM613" s="501"/>
      <c r="BN613" s="501"/>
      <c r="BO613" s="501"/>
      <c r="BP613" s="501"/>
      <c r="BQ613" s="501"/>
      <c r="BR613" s="501"/>
      <c r="BS613" s="501"/>
      <c r="BT613" s="501"/>
      <c r="BU613" s="501"/>
      <c r="BV613" s="501"/>
      <c r="BW613" s="501"/>
      <c r="BX613" s="501"/>
      <c r="BY613" s="501"/>
      <c r="BZ613" s="501"/>
      <c r="CA613" s="501"/>
      <c r="CB613" s="501"/>
      <c r="CC613" s="501"/>
      <c r="CD613" s="501"/>
      <c r="CE613" s="501"/>
      <c r="CF613" s="501"/>
      <c r="CG613" s="501"/>
      <c r="CH613" s="501"/>
      <c r="CI613" s="501"/>
      <c r="CJ613" s="501"/>
      <c r="CK613" s="501"/>
      <c r="CL613" s="501"/>
      <c r="CM613" s="501"/>
      <c r="CN613" s="501"/>
      <c r="CO613" s="501"/>
      <c r="CP613" s="501"/>
      <c r="CQ613" s="501"/>
      <c r="CR613" s="501"/>
      <c r="CS613" s="501"/>
      <c r="CT613" s="501"/>
    </row>
    <row r="614">
      <c r="A614" s="569"/>
      <c r="B614" s="569"/>
      <c r="C614" s="569"/>
      <c r="D614" s="498"/>
      <c r="E614" s="499"/>
      <c r="F614" s="499"/>
      <c r="G614" s="766"/>
      <c r="H614" s="766"/>
      <c r="I614" s="766"/>
      <c r="J614" s="766"/>
      <c r="K614" s="683"/>
      <c r="L614" s="683"/>
      <c r="M614" s="683"/>
      <c r="N614" s="683"/>
      <c r="O614" s="683"/>
      <c r="P614" s="683"/>
      <c r="Q614" s="683"/>
      <c r="R614" s="683"/>
      <c r="S614" s="683"/>
      <c r="T614" s="501"/>
      <c r="U614" s="501"/>
      <c r="V614" s="501"/>
      <c r="W614" s="501"/>
      <c r="X614" s="501"/>
      <c r="Y614" s="501"/>
      <c r="Z614" s="501"/>
      <c r="AA614" s="501"/>
      <c r="AB614" s="501"/>
      <c r="AC614" s="501"/>
      <c r="AD614" s="501"/>
      <c r="AE614" s="501"/>
      <c r="AF614" s="501"/>
      <c r="AG614" s="501"/>
      <c r="AH614" s="501"/>
      <c r="AI614" s="501"/>
      <c r="AJ614" s="501"/>
      <c r="AK614" s="501"/>
      <c r="AL614" s="501"/>
      <c r="AM614" s="501"/>
      <c r="AN614" s="501"/>
      <c r="AO614" s="501"/>
      <c r="AP614" s="501"/>
      <c r="AQ614" s="501"/>
      <c r="AR614" s="501"/>
      <c r="AS614" s="501"/>
      <c r="AT614" s="501"/>
      <c r="AU614" s="501"/>
      <c r="AV614" s="501"/>
      <c r="AW614" s="501"/>
      <c r="AX614" s="501"/>
      <c r="AY614" s="501"/>
      <c r="AZ614" s="501"/>
      <c r="BA614" s="501"/>
      <c r="BB614" s="501"/>
      <c r="BC614" s="501"/>
      <c r="BD614" s="501"/>
      <c r="BE614" s="501"/>
      <c r="BF614" s="501"/>
      <c r="BG614" s="501"/>
      <c r="BH614" s="501"/>
      <c r="BI614" s="501"/>
      <c r="BJ614" s="501"/>
      <c r="BK614" s="501"/>
      <c r="BL614" s="501"/>
      <c r="BM614" s="501"/>
      <c r="BN614" s="501"/>
      <c r="BO614" s="501"/>
      <c r="BP614" s="501"/>
      <c r="BQ614" s="501"/>
      <c r="BR614" s="501"/>
      <c r="BS614" s="501"/>
      <c r="BT614" s="501"/>
      <c r="BU614" s="501"/>
      <c r="BV614" s="501"/>
      <c r="BW614" s="501"/>
      <c r="BX614" s="501"/>
      <c r="BY614" s="501"/>
      <c r="BZ614" s="501"/>
      <c r="CA614" s="501"/>
      <c r="CB614" s="501"/>
      <c r="CC614" s="501"/>
      <c r="CD614" s="501"/>
      <c r="CE614" s="501"/>
      <c r="CF614" s="501"/>
      <c r="CG614" s="501"/>
      <c r="CH614" s="501"/>
      <c r="CI614" s="501"/>
      <c r="CJ614" s="501"/>
      <c r="CK614" s="501"/>
      <c r="CL614" s="501"/>
      <c r="CM614" s="501"/>
      <c r="CN614" s="501"/>
      <c r="CO614" s="501"/>
      <c r="CP614" s="501"/>
      <c r="CQ614" s="501"/>
      <c r="CR614" s="501"/>
      <c r="CS614" s="501"/>
      <c r="CT614" s="501"/>
    </row>
    <row r="615">
      <c r="A615" s="569"/>
      <c r="B615" s="569"/>
      <c r="C615" s="569"/>
      <c r="D615" s="498"/>
      <c r="E615" s="499"/>
      <c r="F615" s="499"/>
      <c r="G615" s="766"/>
      <c r="H615" s="766"/>
      <c r="I615" s="766"/>
      <c r="J615" s="766"/>
      <c r="K615" s="683"/>
      <c r="L615" s="683"/>
      <c r="M615" s="683"/>
      <c r="N615" s="683"/>
      <c r="O615" s="683"/>
      <c r="P615" s="683"/>
      <c r="Q615" s="683"/>
      <c r="R615" s="683"/>
      <c r="S615" s="683"/>
      <c r="T615" s="501"/>
      <c r="U615" s="501"/>
      <c r="V615" s="501"/>
      <c r="W615" s="501"/>
      <c r="X615" s="501"/>
      <c r="Y615" s="501"/>
      <c r="Z615" s="501"/>
      <c r="AA615" s="501"/>
      <c r="AB615" s="501"/>
      <c r="AC615" s="501"/>
      <c r="AD615" s="501"/>
      <c r="AE615" s="501"/>
      <c r="AF615" s="501"/>
      <c r="AG615" s="501"/>
      <c r="AH615" s="501"/>
      <c r="AI615" s="501"/>
      <c r="AJ615" s="501"/>
      <c r="AK615" s="501"/>
      <c r="AL615" s="501"/>
      <c r="AM615" s="501"/>
      <c r="AN615" s="501"/>
      <c r="AO615" s="501"/>
      <c r="AP615" s="501"/>
      <c r="AQ615" s="501"/>
      <c r="AR615" s="501"/>
      <c r="AS615" s="501"/>
      <c r="AT615" s="501"/>
      <c r="AU615" s="501"/>
      <c r="AV615" s="501"/>
      <c r="AW615" s="501"/>
      <c r="AX615" s="501"/>
      <c r="AY615" s="501"/>
      <c r="AZ615" s="501"/>
      <c r="BA615" s="501"/>
      <c r="BB615" s="501"/>
      <c r="BC615" s="501"/>
      <c r="BD615" s="501"/>
      <c r="BE615" s="501"/>
      <c r="BF615" s="501"/>
      <c r="BG615" s="501"/>
      <c r="BH615" s="501"/>
      <c r="BI615" s="501"/>
      <c r="BJ615" s="501"/>
      <c r="BK615" s="501"/>
      <c r="BL615" s="501"/>
      <c r="BM615" s="501"/>
      <c r="BN615" s="501"/>
      <c r="BO615" s="501"/>
      <c r="BP615" s="501"/>
      <c r="BQ615" s="501"/>
      <c r="BR615" s="501"/>
      <c r="BS615" s="501"/>
      <c r="BT615" s="501"/>
      <c r="BU615" s="501"/>
      <c r="BV615" s="501"/>
      <c r="BW615" s="501"/>
      <c r="BX615" s="501"/>
      <c r="BY615" s="501"/>
      <c r="BZ615" s="501"/>
      <c r="CA615" s="501"/>
      <c r="CB615" s="501"/>
      <c r="CC615" s="501"/>
      <c r="CD615" s="501"/>
      <c r="CE615" s="501"/>
      <c r="CF615" s="501"/>
      <c r="CG615" s="501"/>
      <c r="CH615" s="501"/>
      <c r="CI615" s="501"/>
      <c r="CJ615" s="501"/>
      <c r="CK615" s="501"/>
      <c r="CL615" s="501"/>
      <c r="CM615" s="501"/>
      <c r="CN615" s="501"/>
      <c r="CO615" s="501"/>
      <c r="CP615" s="501"/>
      <c r="CQ615" s="501"/>
      <c r="CR615" s="501"/>
      <c r="CS615" s="501"/>
      <c r="CT615" s="501"/>
    </row>
    <row r="616">
      <c r="A616" s="569"/>
      <c r="B616" s="569"/>
      <c r="C616" s="569"/>
      <c r="D616" s="498"/>
      <c r="E616" s="499"/>
      <c r="F616" s="499"/>
      <c r="G616" s="766"/>
      <c r="H616" s="766"/>
      <c r="I616" s="766"/>
      <c r="J616" s="766"/>
      <c r="K616" s="683"/>
      <c r="L616" s="683"/>
      <c r="M616" s="683"/>
      <c r="N616" s="683"/>
      <c r="O616" s="683"/>
      <c r="P616" s="683"/>
      <c r="Q616" s="683"/>
      <c r="R616" s="683"/>
      <c r="S616" s="683"/>
      <c r="T616" s="501"/>
      <c r="U616" s="501"/>
      <c r="V616" s="501"/>
      <c r="W616" s="501"/>
      <c r="X616" s="501"/>
      <c r="Y616" s="501"/>
      <c r="Z616" s="501"/>
      <c r="AA616" s="501"/>
      <c r="AB616" s="501"/>
      <c r="AC616" s="501"/>
      <c r="AD616" s="501"/>
      <c r="AE616" s="501"/>
      <c r="AF616" s="501"/>
      <c r="AG616" s="501"/>
      <c r="AH616" s="501"/>
      <c r="AI616" s="501"/>
      <c r="AJ616" s="501"/>
      <c r="AK616" s="501"/>
      <c r="AL616" s="501"/>
      <c r="AM616" s="501"/>
      <c r="AN616" s="501"/>
      <c r="AO616" s="501"/>
      <c r="AP616" s="501"/>
      <c r="AQ616" s="501"/>
      <c r="AR616" s="501"/>
      <c r="AS616" s="501"/>
      <c r="AT616" s="501"/>
      <c r="AU616" s="501"/>
      <c r="AV616" s="501"/>
      <c r="AW616" s="501"/>
      <c r="AX616" s="501"/>
      <c r="AY616" s="501"/>
      <c r="AZ616" s="501"/>
      <c r="BA616" s="501"/>
      <c r="BB616" s="501"/>
      <c r="BC616" s="501"/>
      <c r="BD616" s="501"/>
      <c r="BE616" s="501"/>
      <c r="BF616" s="501"/>
      <c r="BG616" s="501"/>
      <c r="BH616" s="501"/>
      <c r="BI616" s="501"/>
      <c r="BJ616" s="501"/>
      <c r="BK616" s="501"/>
      <c r="BL616" s="501"/>
      <c r="BM616" s="501"/>
      <c r="BN616" s="501"/>
      <c r="BO616" s="501"/>
      <c r="BP616" s="501"/>
      <c r="BQ616" s="501"/>
      <c r="BR616" s="501"/>
      <c r="BS616" s="501"/>
      <c r="BT616" s="501"/>
      <c r="BU616" s="501"/>
      <c r="BV616" s="501"/>
      <c r="BW616" s="501"/>
      <c r="BX616" s="501"/>
      <c r="BY616" s="501"/>
      <c r="BZ616" s="501"/>
      <c r="CA616" s="501"/>
      <c r="CB616" s="501"/>
      <c r="CC616" s="501"/>
      <c r="CD616" s="501"/>
      <c r="CE616" s="501"/>
      <c r="CF616" s="501"/>
      <c r="CG616" s="501"/>
      <c r="CH616" s="501"/>
      <c r="CI616" s="501"/>
      <c r="CJ616" s="501"/>
      <c r="CK616" s="501"/>
      <c r="CL616" s="501"/>
      <c r="CM616" s="501"/>
      <c r="CN616" s="501"/>
      <c r="CO616" s="501"/>
      <c r="CP616" s="501"/>
      <c r="CQ616" s="501"/>
      <c r="CR616" s="501"/>
      <c r="CS616" s="501"/>
      <c r="CT616" s="501"/>
    </row>
    <row r="617">
      <c r="A617" s="569"/>
      <c r="B617" s="569"/>
      <c r="C617" s="569"/>
      <c r="D617" s="498"/>
      <c r="E617" s="499"/>
      <c r="F617" s="499"/>
      <c r="G617" s="766"/>
      <c r="H617" s="766"/>
      <c r="I617" s="766"/>
      <c r="J617" s="766"/>
      <c r="K617" s="683"/>
      <c r="L617" s="683"/>
      <c r="M617" s="683"/>
      <c r="N617" s="683"/>
      <c r="O617" s="683"/>
      <c r="P617" s="683"/>
      <c r="Q617" s="683"/>
      <c r="R617" s="683"/>
      <c r="S617" s="683"/>
      <c r="T617" s="501"/>
      <c r="U617" s="501"/>
      <c r="V617" s="501"/>
      <c r="W617" s="501"/>
      <c r="X617" s="501"/>
      <c r="Y617" s="501"/>
      <c r="Z617" s="501"/>
      <c r="AA617" s="501"/>
      <c r="AB617" s="501"/>
      <c r="AC617" s="501"/>
      <c r="AD617" s="501"/>
      <c r="AE617" s="501"/>
      <c r="AF617" s="501"/>
      <c r="AG617" s="501"/>
      <c r="AH617" s="501"/>
      <c r="AI617" s="501"/>
      <c r="AJ617" s="501"/>
      <c r="AK617" s="501"/>
      <c r="AL617" s="501"/>
      <c r="AM617" s="501"/>
      <c r="AN617" s="501"/>
      <c r="AO617" s="501"/>
      <c r="AP617" s="501"/>
      <c r="AQ617" s="501"/>
      <c r="AR617" s="501"/>
      <c r="AS617" s="501"/>
      <c r="AT617" s="501"/>
      <c r="AU617" s="501"/>
      <c r="AV617" s="501"/>
      <c r="AW617" s="501"/>
      <c r="AX617" s="501"/>
      <c r="AY617" s="501"/>
      <c r="AZ617" s="501"/>
      <c r="BA617" s="501"/>
      <c r="BB617" s="501"/>
      <c r="BC617" s="501"/>
      <c r="BD617" s="501"/>
      <c r="BE617" s="501"/>
      <c r="BF617" s="501"/>
      <c r="BG617" s="501"/>
      <c r="BH617" s="501"/>
      <c r="BI617" s="501"/>
      <c r="BJ617" s="501"/>
      <c r="BK617" s="501"/>
      <c r="BL617" s="501"/>
      <c r="BM617" s="501"/>
      <c r="BN617" s="501"/>
      <c r="BO617" s="501"/>
      <c r="BP617" s="501"/>
      <c r="BQ617" s="501"/>
      <c r="BR617" s="501"/>
      <c r="BS617" s="501"/>
      <c r="BT617" s="501"/>
      <c r="BU617" s="501"/>
      <c r="BV617" s="501"/>
      <c r="BW617" s="501"/>
      <c r="BX617" s="501"/>
      <c r="BY617" s="501"/>
      <c r="BZ617" s="501"/>
      <c r="CA617" s="501"/>
      <c r="CB617" s="501"/>
      <c r="CC617" s="501"/>
      <c r="CD617" s="501"/>
      <c r="CE617" s="501"/>
      <c r="CF617" s="501"/>
      <c r="CG617" s="501"/>
      <c r="CH617" s="501"/>
      <c r="CI617" s="501"/>
      <c r="CJ617" s="501"/>
      <c r="CK617" s="501"/>
      <c r="CL617" s="501"/>
      <c r="CM617" s="501"/>
      <c r="CN617" s="501"/>
      <c r="CO617" s="501"/>
      <c r="CP617" s="501"/>
      <c r="CQ617" s="501"/>
      <c r="CR617" s="501"/>
      <c r="CS617" s="501"/>
      <c r="CT617" s="501"/>
    </row>
    <row r="618">
      <c r="A618" s="569"/>
      <c r="B618" s="569"/>
      <c r="C618" s="569"/>
      <c r="D618" s="498"/>
      <c r="E618" s="499"/>
      <c r="F618" s="499"/>
      <c r="G618" s="766"/>
      <c r="H618" s="766"/>
      <c r="I618" s="766"/>
      <c r="J618" s="766"/>
      <c r="K618" s="683"/>
      <c r="L618" s="683"/>
      <c r="M618" s="683"/>
      <c r="N618" s="683"/>
      <c r="O618" s="683"/>
      <c r="P618" s="683"/>
      <c r="Q618" s="683"/>
      <c r="R618" s="683"/>
      <c r="S618" s="683"/>
      <c r="T618" s="501"/>
      <c r="U618" s="501"/>
      <c r="V618" s="501"/>
      <c r="W618" s="501"/>
      <c r="X618" s="501"/>
      <c r="Y618" s="501"/>
      <c r="Z618" s="501"/>
      <c r="AA618" s="501"/>
      <c r="AB618" s="501"/>
      <c r="AC618" s="501"/>
      <c r="AD618" s="501"/>
      <c r="AE618" s="501"/>
      <c r="AF618" s="501"/>
      <c r="AG618" s="501"/>
      <c r="AH618" s="501"/>
      <c r="AI618" s="501"/>
      <c r="AJ618" s="501"/>
      <c r="AK618" s="501"/>
      <c r="AL618" s="501"/>
      <c r="AM618" s="501"/>
      <c r="AN618" s="501"/>
      <c r="AO618" s="501"/>
      <c r="AP618" s="501"/>
      <c r="AQ618" s="501"/>
      <c r="AR618" s="501"/>
      <c r="AS618" s="501"/>
      <c r="AT618" s="501"/>
      <c r="AU618" s="501"/>
      <c r="AV618" s="501"/>
      <c r="AW618" s="501"/>
      <c r="AX618" s="501"/>
      <c r="AY618" s="501"/>
      <c r="AZ618" s="501"/>
      <c r="BA618" s="501"/>
      <c r="BB618" s="501"/>
      <c r="BC618" s="501"/>
      <c r="BD618" s="501"/>
      <c r="BE618" s="501"/>
      <c r="BF618" s="501"/>
      <c r="BG618" s="501"/>
      <c r="BH618" s="501"/>
      <c r="BI618" s="501"/>
      <c r="BJ618" s="501"/>
      <c r="BK618" s="501"/>
      <c r="BL618" s="501"/>
      <c r="BM618" s="501"/>
      <c r="BN618" s="501"/>
      <c r="BO618" s="501"/>
      <c r="BP618" s="501"/>
      <c r="BQ618" s="501"/>
      <c r="BR618" s="501"/>
      <c r="BS618" s="501"/>
      <c r="BT618" s="501"/>
      <c r="BU618" s="501"/>
      <c r="BV618" s="501"/>
      <c r="BW618" s="501"/>
      <c r="BX618" s="501"/>
      <c r="BY618" s="501"/>
      <c r="BZ618" s="501"/>
      <c r="CA618" s="501"/>
      <c r="CB618" s="501"/>
      <c r="CC618" s="501"/>
      <c r="CD618" s="501"/>
      <c r="CE618" s="501"/>
      <c r="CF618" s="501"/>
      <c r="CG618" s="501"/>
      <c r="CH618" s="501"/>
      <c r="CI618" s="501"/>
      <c r="CJ618" s="501"/>
      <c r="CK618" s="501"/>
      <c r="CL618" s="501"/>
      <c r="CM618" s="501"/>
      <c r="CN618" s="501"/>
      <c r="CO618" s="501"/>
      <c r="CP618" s="501"/>
      <c r="CQ618" s="501"/>
      <c r="CR618" s="501"/>
      <c r="CS618" s="501"/>
      <c r="CT618" s="501"/>
    </row>
    <row r="619">
      <c r="A619" s="569"/>
      <c r="B619" s="569"/>
      <c r="C619" s="569"/>
      <c r="D619" s="498"/>
      <c r="E619" s="499"/>
      <c r="F619" s="499"/>
      <c r="G619" s="766"/>
      <c r="H619" s="766"/>
      <c r="I619" s="766"/>
      <c r="J619" s="766"/>
      <c r="K619" s="683"/>
      <c r="L619" s="683"/>
      <c r="M619" s="683"/>
      <c r="N619" s="683"/>
      <c r="O619" s="683"/>
      <c r="P619" s="683"/>
      <c r="Q619" s="683"/>
      <c r="R619" s="683"/>
      <c r="S619" s="683"/>
      <c r="T619" s="501"/>
      <c r="U619" s="501"/>
      <c r="V619" s="501"/>
      <c r="W619" s="501"/>
      <c r="X619" s="501"/>
      <c r="Y619" s="501"/>
      <c r="Z619" s="501"/>
      <c r="AA619" s="501"/>
      <c r="AB619" s="501"/>
      <c r="AC619" s="501"/>
      <c r="AD619" s="501"/>
      <c r="AE619" s="501"/>
      <c r="AF619" s="501"/>
      <c r="AG619" s="501"/>
      <c r="AH619" s="501"/>
      <c r="AI619" s="501"/>
      <c r="AJ619" s="501"/>
      <c r="AK619" s="501"/>
      <c r="AL619" s="501"/>
      <c r="AM619" s="501"/>
      <c r="AN619" s="501"/>
      <c r="AO619" s="501"/>
      <c r="AP619" s="501"/>
      <c r="AQ619" s="501"/>
      <c r="AR619" s="501"/>
      <c r="AS619" s="501"/>
      <c r="AT619" s="501"/>
      <c r="AU619" s="501"/>
      <c r="AV619" s="501"/>
      <c r="AW619" s="501"/>
      <c r="AX619" s="501"/>
      <c r="AY619" s="501"/>
      <c r="AZ619" s="501"/>
      <c r="BA619" s="501"/>
      <c r="BB619" s="501"/>
      <c r="BC619" s="501"/>
      <c r="BD619" s="501"/>
      <c r="BE619" s="501"/>
      <c r="BF619" s="501"/>
      <c r="BG619" s="501"/>
      <c r="BH619" s="501"/>
      <c r="BI619" s="501"/>
      <c r="BJ619" s="501"/>
      <c r="BK619" s="501"/>
      <c r="BL619" s="501"/>
      <c r="BM619" s="501"/>
      <c r="BN619" s="501"/>
      <c r="BO619" s="501"/>
      <c r="BP619" s="501"/>
      <c r="BQ619" s="501"/>
      <c r="BR619" s="501"/>
      <c r="BS619" s="501"/>
      <c r="BT619" s="501"/>
      <c r="BU619" s="501"/>
      <c r="BV619" s="501"/>
      <c r="BW619" s="501"/>
      <c r="BX619" s="501"/>
      <c r="BY619" s="501"/>
      <c r="BZ619" s="501"/>
      <c r="CA619" s="501"/>
      <c r="CB619" s="501"/>
      <c r="CC619" s="501"/>
      <c r="CD619" s="501"/>
      <c r="CE619" s="501"/>
      <c r="CF619" s="501"/>
      <c r="CG619" s="501"/>
      <c r="CH619" s="501"/>
      <c r="CI619" s="501"/>
      <c r="CJ619" s="501"/>
      <c r="CK619" s="501"/>
      <c r="CL619" s="501"/>
      <c r="CM619" s="501"/>
      <c r="CN619" s="501"/>
      <c r="CO619" s="501"/>
      <c r="CP619" s="501"/>
      <c r="CQ619" s="501"/>
      <c r="CR619" s="501"/>
      <c r="CS619" s="501"/>
      <c r="CT619" s="501"/>
    </row>
    <row r="620">
      <c r="A620" s="569"/>
      <c r="B620" s="569"/>
      <c r="C620" s="569"/>
      <c r="D620" s="498"/>
      <c r="E620" s="499"/>
      <c r="F620" s="499"/>
      <c r="G620" s="766"/>
      <c r="H620" s="766"/>
      <c r="I620" s="766"/>
      <c r="J620" s="766"/>
      <c r="K620" s="683"/>
      <c r="L620" s="683"/>
      <c r="M620" s="683"/>
      <c r="N620" s="683"/>
      <c r="O620" s="683"/>
      <c r="P620" s="683"/>
      <c r="Q620" s="683"/>
      <c r="R620" s="683"/>
      <c r="S620" s="683"/>
      <c r="T620" s="501"/>
      <c r="U620" s="501"/>
      <c r="V620" s="501"/>
      <c r="W620" s="501"/>
      <c r="X620" s="501"/>
      <c r="Y620" s="501"/>
      <c r="Z620" s="501"/>
      <c r="AA620" s="501"/>
      <c r="AB620" s="501"/>
      <c r="AC620" s="501"/>
      <c r="AD620" s="501"/>
      <c r="AE620" s="501"/>
      <c r="AF620" s="501"/>
      <c r="AG620" s="501"/>
      <c r="AH620" s="501"/>
      <c r="AI620" s="501"/>
      <c r="AJ620" s="501"/>
      <c r="AK620" s="501"/>
      <c r="AL620" s="501"/>
      <c r="AM620" s="501"/>
      <c r="AN620" s="501"/>
      <c r="AO620" s="501"/>
      <c r="AP620" s="501"/>
      <c r="AQ620" s="501"/>
      <c r="AR620" s="501"/>
      <c r="AS620" s="501"/>
      <c r="AT620" s="501"/>
      <c r="AU620" s="501"/>
      <c r="AV620" s="501"/>
      <c r="AW620" s="501"/>
      <c r="AX620" s="501"/>
      <c r="AY620" s="501"/>
      <c r="AZ620" s="501"/>
      <c r="BA620" s="501"/>
      <c r="BB620" s="501"/>
      <c r="BC620" s="501"/>
      <c r="BD620" s="501"/>
      <c r="BE620" s="501"/>
      <c r="BF620" s="501"/>
      <c r="BG620" s="501"/>
      <c r="BH620" s="501"/>
      <c r="BI620" s="501"/>
      <c r="BJ620" s="501"/>
      <c r="BK620" s="501"/>
      <c r="BL620" s="501"/>
      <c r="BM620" s="501"/>
      <c r="BN620" s="501"/>
      <c r="BO620" s="501"/>
      <c r="BP620" s="501"/>
      <c r="BQ620" s="501"/>
      <c r="BR620" s="501"/>
      <c r="BS620" s="501"/>
      <c r="BT620" s="501"/>
      <c r="BU620" s="501"/>
      <c r="BV620" s="501"/>
      <c r="BW620" s="501"/>
      <c r="BX620" s="501"/>
      <c r="BY620" s="501"/>
      <c r="BZ620" s="501"/>
      <c r="CA620" s="501"/>
      <c r="CB620" s="501"/>
      <c r="CC620" s="501"/>
      <c r="CD620" s="501"/>
      <c r="CE620" s="501"/>
      <c r="CF620" s="501"/>
      <c r="CG620" s="501"/>
      <c r="CH620" s="501"/>
      <c r="CI620" s="501"/>
      <c r="CJ620" s="501"/>
      <c r="CK620" s="501"/>
      <c r="CL620" s="501"/>
      <c r="CM620" s="501"/>
      <c r="CN620" s="501"/>
      <c r="CO620" s="501"/>
      <c r="CP620" s="501"/>
      <c r="CQ620" s="501"/>
      <c r="CR620" s="501"/>
      <c r="CS620" s="501"/>
      <c r="CT620" s="501"/>
    </row>
    <row r="621">
      <c r="A621" s="569"/>
      <c r="B621" s="569"/>
      <c r="C621" s="569"/>
      <c r="D621" s="498"/>
      <c r="E621" s="499"/>
      <c r="F621" s="499"/>
      <c r="G621" s="766"/>
      <c r="H621" s="766"/>
      <c r="I621" s="766"/>
      <c r="J621" s="766"/>
      <c r="K621" s="683"/>
      <c r="L621" s="683"/>
      <c r="M621" s="683"/>
      <c r="N621" s="683"/>
      <c r="O621" s="683"/>
      <c r="P621" s="683"/>
      <c r="Q621" s="683"/>
      <c r="R621" s="683"/>
      <c r="S621" s="683"/>
      <c r="T621" s="501"/>
      <c r="U621" s="501"/>
      <c r="V621" s="501"/>
      <c r="W621" s="501"/>
      <c r="X621" s="501"/>
      <c r="Y621" s="501"/>
      <c r="Z621" s="501"/>
      <c r="AA621" s="501"/>
      <c r="AB621" s="501"/>
      <c r="AC621" s="501"/>
      <c r="AD621" s="501"/>
      <c r="AE621" s="501"/>
      <c r="AF621" s="501"/>
      <c r="AG621" s="501"/>
      <c r="AH621" s="501"/>
      <c r="AI621" s="501"/>
      <c r="AJ621" s="501"/>
      <c r="AK621" s="501"/>
      <c r="AL621" s="501"/>
      <c r="AM621" s="501"/>
      <c r="AN621" s="501"/>
      <c r="AO621" s="501"/>
      <c r="AP621" s="501"/>
      <c r="AQ621" s="501"/>
      <c r="AR621" s="501"/>
      <c r="AS621" s="501"/>
      <c r="AT621" s="501"/>
      <c r="AU621" s="501"/>
      <c r="AV621" s="501"/>
      <c r="AW621" s="501"/>
      <c r="AX621" s="501"/>
      <c r="AY621" s="501"/>
      <c r="AZ621" s="501"/>
      <c r="BA621" s="501"/>
      <c r="BB621" s="501"/>
      <c r="BC621" s="501"/>
      <c r="BD621" s="501"/>
      <c r="BE621" s="501"/>
      <c r="BF621" s="501"/>
      <c r="BG621" s="501"/>
      <c r="BH621" s="501"/>
      <c r="BI621" s="501"/>
      <c r="BJ621" s="501"/>
      <c r="BK621" s="501"/>
      <c r="BL621" s="501"/>
      <c r="BM621" s="501"/>
      <c r="BN621" s="501"/>
      <c r="BO621" s="501"/>
      <c r="BP621" s="501"/>
      <c r="BQ621" s="501"/>
      <c r="BR621" s="501"/>
      <c r="BS621" s="501"/>
      <c r="BT621" s="501"/>
      <c r="BU621" s="501"/>
      <c r="BV621" s="501"/>
      <c r="BW621" s="501"/>
      <c r="BX621" s="501"/>
      <c r="BY621" s="501"/>
      <c r="BZ621" s="501"/>
      <c r="CA621" s="501"/>
      <c r="CB621" s="501"/>
      <c r="CC621" s="501"/>
      <c r="CD621" s="501"/>
      <c r="CE621" s="501"/>
      <c r="CF621" s="501"/>
      <c r="CG621" s="501"/>
      <c r="CH621" s="501"/>
      <c r="CI621" s="501"/>
      <c r="CJ621" s="501"/>
      <c r="CK621" s="501"/>
      <c r="CL621" s="501"/>
      <c r="CM621" s="501"/>
      <c r="CN621" s="501"/>
      <c r="CO621" s="501"/>
      <c r="CP621" s="501"/>
      <c r="CQ621" s="501"/>
      <c r="CR621" s="501"/>
      <c r="CS621" s="501"/>
      <c r="CT621" s="501"/>
    </row>
    <row r="622">
      <c r="A622" s="569"/>
      <c r="B622" s="569"/>
      <c r="C622" s="569"/>
      <c r="D622" s="498"/>
      <c r="E622" s="499"/>
      <c r="F622" s="499"/>
      <c r="G622" s="766"/>
      <c r="H622" s="766"/>
      <c r="I622" s="766"/>
      <c r="J622" s="766"/>
      <c r="K622" s="683"/>
      <c r="L622" s="683"/>
      <c r="M622" s="683"/>
      <c r="N622" s="683"/>
      <c r="O622" s="683"/>
      <c r="P622" s="683"/>
      <c r="Q622" s="683"/>
      <c r="R622" s="683"/>
      <c r="S622" s="683"/>
      <c r="T622" s="501"/>
      <c r="U622" s="501"/>
      <c r="V622" s="501"/>
      <c r="W622" s="501"/>
      <c r="X622" s="501"/>
      <c r="Y622" s="501"/>
      <c r="Z622" s="501"/>
      <c r="AA622" s="501"/>
      <c r="AB622" s="501"/>
      <c r="AC622" s="501"/>
      <c r="AD622" s="501"/>
      <c r="AE622" s="501"/>
      <c r="AF622" s="501"/>
      <c r="AG622" s="501"/>
      <c r="AH622" s="501"/>
      <c r="AI622" s="501"/>
      <c r="AJ622" s="501"/>
      <c r="AK622" s="501"/>
      <c r="AL622" s="501"/>
      <c r="AM622" s="501"/>
      <c r="AN622" s="501"/>
      <c r="AO622" s="501"/>
      <c r="AP622" s="501"/>
      <c r="AQ622" s="501"/>
      <c r="AR622" s="501"/>
      <c r="AS622" s="501"/>
      <c r="AT622" s="501"/>
      <c r="AU622" s="501"/>
      <c r="AV622" s="501"/>
      <c r="AW622" s="501"/>
      <c r="AX622" s="501"/>
      <c r="AY622" s="501"/>
      <c r="AZ622" s="501"/>
      <c r="BA622" s="501"/>
      <c r="BB622" s="501"/>
      <c r="BC622" s="501"/>
      <c r="BD622" s="501"/>
      <c r="BE622" s="501"/>
      <c r="BF622" s="501"/>
      <c r="BG622" s="501"/>
      <c r="BH622" s="501"/>
      <c r="BI622" s="501"/>
      <c r="BJ622" s="501"/>
      <c r="BK622" s="501"/>
      <c r="BL622" s="501"/>
      <c r="BM622" s="501"/>
      <c r="BN622" s="501"/>
      <c r="BO622" s="501"/>
      <c r="BP622" s="501"/>
      <c r="BQ622" s="501"/>
      <c r="BR622" s="501"/>
      <c r="BS622" s="501"/>
      <c r="BT622" s="501"/>
      <c r="BU622" s="501"/>
      <c r="BV622" s="501"/>
      <c r="BW622" s="501"/>
      <c r="BX622" s="501"/>
      <c r="BY622" s="501"/>
      <c r="BZ622" s="501"/>
      <c r="CA622" s="501"/>
      <c r="CB622" s="501"/>
      <c r="CC622" s="501"/>
      <c r="CD622" s="501"/>
      <c r="CE622" s="501"/>
      <c r="CF622" s="501"/>
      <c r="CG622" s="501"/>
      <c r="CH622" s="501"/>
      <c r="CI622" s="501"/>
      <c r="CJ622" s="501"/>
      <c r="CK622" s="501"/>
      <c r="CL622" s="501"/>
      <c r="CM622" s="501"/>
      <c r="CN622" s="501"/>
      <c r="CO622" s="501"/>
      <c r="CP622" s="501"/>
      <c r="CQ622" s="501"/>
      <c r="CR622" s="501"/>
      <c r="CS622" s="501"/>
      <c r="CT622" s="501"/>
    </row>
    <row r="623">
      <c r="A623" s="569"/>
      <c r="B623" s="569"/>
      <c r="C623" s="569"/>
      <c r="D623" s="498"/>
      <c r="E623" s="499"/>
      <c r="F623" s="499"/>
      <c r="G623" s="766"/>
      <c r="H623" s="766"/>
      <c r="I623" s="766"/>
      <c r="J623" s="766"/>
      <c r="K623" s="683"/>
      <c r="L623" s="683"/>
      <c r="M623" s="683"/>
      <c r="N623" s="683"/>
      <c r="O623" s="683"/>
      <c r="P623" s="683"/>
      <c r="Q623" s="683"/>
      <c r="R623" s="683"/>
      <c r="S623" s="683"/>
      <c r="T623" s="501"/>
      <c r="U623" s="501"/>
      <c r="V623" s="501"/>
      <c r="W623" s="501"/>
      <c r="X623" s="501"/>
      <c r="Y623" s="501"/>
      <c r="Z623" s="501"/>
      <c r="AA623" s="501"/>
      <c r="AB623" s="501"/>
      <c r="AC623" s="501"/>
      <c r="AD623" s="501"/>
      <c r="AE623" s="501"/>
      <c r="AF623" s="501"/>
      <c r="AG623" s="501"/>
      <c r="AH623" s="501"/>
      <c r="AI623" s="501"/>
      <c r="AJ623" s="501"/>
      <c r="AK623" s="501"/>
      <c r="AL623" s="501"/>
      <c r="AM623" s="501"/>
      <c r="AN623" s="501"/>
      <c r="AO623" s="501"/>
      <c r="AP623" s="501"/>
      <c r="AQ623" s="501"/>
      <c r="AR623" s="501"/>
      <c r="AS623" s="501"/>
      <c r="AT623" s="501"/>
      <c r="AU623" s="501"/>
      <c r="AV623" s="501"/>
      <c r="AW623" s="501"/>
      <c r="AX623" s="501"/>
      <c r="AY623" s="501"/>
      <c r="AZ623" s="501"/>
      <c r="BA623" s="501"/>
      <c r="BB623" s="501"/>
      <c r="BC623" s="501"/>
      <c r="BD623" s="501"/>
      <c r="BE623" s="501"/>
      <c r="BF623" s="501"/>
      <c r="BG623" s="501"/>
      <c r="BH623" s="501"/>
      <c r="BI623" s="501"/>
      <c r="BJ623" s="501"/>
      <c r="BK623" s="501"/>
      <c r="BL623" s="501"/>
      <c r="BM623" s="501"/>
      <c r="BN623" s="501"/>
      <c r="BO623" s="501"/>
      <c r="BP623" s="501"/>
      <c r="BQ623" s="501"/>
      <c r="BR623" s="501"/>
      <c r="BS623" s="501"/>
      <c r="BT623" s="501"/>
      <c r="BU623" s="501"/>
      <c r="BV623" s="501"/>
      <c r="BW623" s="501"/>
      <c r="BX623" s="501"/>
      <c r="BY623" s="501"/>
      <c r="BZ623" s="501"/>
      <c r="CA623" s="501"/>
      <c r="CB623" s="501"/>
      <c r="CC623" s="501"/>
      <c r="CD623" s="501"/>
      <c r="CE623" s="501"/>
      <c r="CF623" s="501"/>
      <c r="CG623" s="501"/>
      <c r="CH623" s="501"/>
      <c r="CI623" s="501"/>
      <c r="CJ623" s="501"/>
      <c r="CK623" s="501"/>
      <c r="CL623" s="501"/>
      <c r="CM623" s="501"/>
      <c r="CN623" s="501"/>
      <c r="CO623" s="501"/>
      <c r="CP623" s="501"/>
      <c r="CQ623" s="501"/>
      <c r="CR623" s="501"/>
      <c r="CS623" s="501"/>
      <c r="CT623" s="501"/>
    </row>
    <row r="624">
      <c r="A624" s="569"/>
      <c r="B624" s="569"/>
      <c r="C624" s="569"/>
      <c r="D624" s="498"/>
      <c r="E624" s="499"/>
      <c r="F624" s="499"/>
      <c r="G624" s="766"/>
      <c r="H624" s="766"/>
      <c r="I624" s="766"/>
      <c r="J624" s="766"/>
      <c r="K624" s="683"/>
      <c r="L624" s="683"/>
      <c r="M624" s="683"/>
      <c r="N624" s="683"/>
      <c r="O624" s="683"/>
      <c r="P624" s="683"/>
      <c r="Q624" s="683"/>
      <c r="R624" s="683"/>
      <c r="S624" s="683"/>
      <c r="T624" s="501"/>
      <c r="U624" s="501"/>
      <c r="V624" s="501"/>
      <c r="W624" s="501"/>
      <c r="X624" s="501"/>
      <c r="Y624" s="501"/>
      <c r="Z624" s="501"/>
      <c r="AA624" s="501"/>
      <c r="AB624" s="501"/>
      <c r="AC624" s="501"/>
      <c r="AD624" s="501"/>
      <c r="AE624" s="501"/>
      <c r="AF624" s="501"/>
      <c r="AG624" s="501"/>
      <c r="AH624" s="501"/>
      <c r="AI624" s="501"/>
      <c r="AJ624" s="501"/>
      <c r="AK624" s="501"/>
      <c r="AL624" s="501"/>
      <c r="AM624" s="501"/>
      <c r="AN624" s="501"/>
      <c r="AO624" s="501"/>
      <c r="AP624" s="501"/>
      <c r="AQ624" s="501"/>
      <c r="AR624" s="501"/>
      <c r="AS624" s="501"/>
      <c r="AT624" s="501"/>
      <c r="AU624" s="501"/>
      <c r="AV624" s="501"/>
      <c r="AW624" s="501"/>
      <c r="AX624" s="501"/>
      <c r="AY624" s="501"/>
      <c r="AZ624" s="501"/>
      <c r="BA624" s="501"/>
      <c r="BB624" s="501"/>
      <c r="BC624" s="501"/>
      <c r="BD624" s="501"/>
      <c r="BE624" s="501"/>
      <c r="BF624" s="501"/>
      <c r="BG624" s="501"/>
      <c r="BH624" s="501"/>
      <c r="BI624" s="501"/>
      <c r="BJ624" s="501"/>
      <c r="BK624" s="501"/>
      <c r="BL624" s="501"/>
      <c r="BM624" s="501"/>
      <c r="BN624" s="501"/>
      <c r="BO624" s="501"/>
      <c r="BP624" s="501"/>
      <c r="BQ624" s="501"/>
      <c r="BR624" s="501"/>
      <c r="BS624" s="501"/>
      <c r="BT624" s="501"/>
      <c r="BU624" s="501"/>
      <c r="BV624" s="501"/>
      <c r="BW624" s="501"/>
      <c r="BX624" s="501"/>
      <c r="BY624" s="501"/>
      <c r="BZ624" s="501"/>
      <c r="CA624" s="501"/>
      <c r="CB624" s="501"/>
      <c r="CC624" s="501"/>
      <c r="CD624" s="501"/>
      <c r="CE624" s="501"/>
      <c r="CF624" s="501"/>
      <c r="CG624" s="501"/>
      <c r="CH624" s="501"/>
      <c r="CI624" s="501"/>
      <c r="CJ624" s="501"/>
      <c r="CK624" s="501"/>
      <c r="CL624" s="501"/>
      <c r="CM624" s="501"/>
      <c r="CN624" s="501"/>
      <c r="CO624" s="501"/>
      <c r="CP624" s="501"/>
      <c r="CQ624" s="501"/>
      <c r="CR624" s="501"/>
      <c r="CS624" s="501"/>
      <c r="CT624" s="501"/>
    </row>
    <row r="625">
      <c r="A625" s="569"/>
      <c r="B625" s="569"/>
      <c r="C625" s="569"/>
      <c r="D625" s="498"/>
      <c r="E625" s="499"/>
      <c r="F625" s="499"/>
      <c r="G625" s="766"/>
      <c r="H625" s="766"/>
      <c r="I625" s="766"/>
      <c r="J625" s="766"/>
      <c r="K625" s="683"/>
      <c r="L625" s="683"/>
      <c r="M625" s="683"/>
      <c r="N625" s="683"/>
      <c r="O625" s="683"/>
      <c r="P625" s="683"/>
      <c r="Q625" s="683"/>
      <c r="R625" s="683"/>
      <c r="S625" s="683"/>
      <c r="T625" s="501"/>
      <c r="U625" s="501"/>
      <c r="V625" s="501"/>
      <c r="W625" s="501"/>
      <c r="X625" s="501"/>
      <c r="Y625" s="501"/>
      <c r="Z625" s="501"/>
      <c r="AA625" s="501"/>
      <c r="AB625" s="501"/>
      <c r="AC625" s="501"/>
      <c r="AD625" s="501"/>
      <c r="AE625" s="501"/>
      <c r="AF625" s="501"/>
      <c r="AG625" s="501"/>
      <c r="AH625" s="501"/>
      <c r="AI625" s="501"/>
      <c r="AJ625" s="501"/>
      <c r="AK625" s="501"/>
      <c r="AL625" s="501"/>
      <c r="AM625" s="501"/>
      <c r="AN625" s="501"/>
      <c r="AO625" s="501"/>
      <c r="AP625" s="501"/>
      <c r="AQ625" s="501"/>
      <c r="AR625" s="501"/>
      <c r="AS625" s="501"/>
      <c r="AT625" s="501"/>
      <c r="AU625" s="501"/>
      <c r="AV625" s="501"/>
      <c r="AW625" s="501"/>
      <c r="AX625" s="501"/>
      <c r="AY625" s="501"/>
      <c r="AZ625" s="501"/>
      <c r="BA625" s="501"/>
      <c r="BB625" s="501"/>
      <c r="BC625" s="501"/>
      <c r="BD625" s="501"/>
      <c r="BE625" s="501"/>
      <c r="BF625" s="501"/>
      <c r="BG625" s="501"/>
      <c r="BH625" s="501"/>
      <c r="BI625" s="501"/>
      <c r="BJ625" s="501"/>
      <c r="BK625" s="501"/>
      <c r="BL625" s="501"/>
      <c r="BM625" s="501"/>
      <c r="BN625" s="501"/>
      <c r="BO625" s="501"/>
      <c r="BP625" s="501"/>
      <c r="BQ625" s="501"/>
      <c r="BR625" s="501"/>
      <c r="BS625" s="501"/>
      <c r="BT625" s="501"/>
      <c r="BU625" s="501"/>
      <c r="BV625" s="501"/>
      <c r="BW625" s="501"/>
      <c r="BX625" s="501"/>
      <c r="BY625" s="501"/>
      <c r="BZ625" s="501"/>
      <c r="CA625" s="501"/>
      <c r="CB625" s="501"/>
      <c r="CC625" s="501"/>
      <c r="CD625" s="501"/>
      <c r="CE625" s="501"/>
      <c r="CF625" s="501"/>
      <c r="CG625" s="501"/>
      <c r="CH625" s="501"/>
      <c r="CI625" s="501"/>
      <c r="CJ625" s="501"/>
      <c r="CK625" s="501"/>
      <c r="CL625" s="501"/>
      <c r="CM625" s="501"/>
      <c r="CN625" s="501"/>
      <c r="CO625" s="501"/>
      <c r="CP625" s="501"/>
      <c r="CQ625" s="501"/>
      <c r="CR625" s="501"/>
      <c r="CS625" s="501"/>
      <c r="CT625" s="501"/>
    </row>
    <row r="626">
      <c r="A626" s="569"/>
      <c r="B626" s="569"/>
      <c r="C626" s="569"/>
      <c r="D626" s="498"/>
      <c r="E626" s="499"/>
      <c r="F626" s="499"/>
      <c r="G626" s="766"/>
      <c r="H626" s="766"/>
      <c r="I626" s="766"/>
      <c r="J626" s="766"/>
      <c r="K626" s="683"/>
      <c r="L626" s="683"/>
      <c r="M626" s="683"/>
      <c r="N626" s="683"/>
      <c r="O626" s="683"/>
      <c r="P626" s="683"/>
      <c r="Q626" s="683"/>
      <c r="R626" s="683"/>
      <c r="S626" s="683"/>
      <c r="T626" s="501"/>
      <c r="U626" s="501"/>
      <c r="V626" s="501"/>
      <c r="W626" s="501"/>
      <c r="X626" s="501"/>
      <c r="Y626" s="501"/>
      <c r="Z626" s="501"/>
      <c r="AA626" s="501"/>
      <c r="AB626" s="501"/>
      <c r="AC626" s="501"/>
      <c r="AD626" s="501"/>
      <c r="AE626" s="501"/>
      <c r="AF626" s="501"/>
      <c r="AG626" s="501"/>
      <c r="AH626" s="501"/>
      <c r="AI626" s="501"/>
      <c r="AJ626" s="501"/>
      <c r="AK626" s="501"/>
      <c r="AL626" s="501"/>
      <c r="AM626" s="501"/>
      <c r="AN626" s="501"/>
      <c r="AO626" s="501"/>
      <c r="AP626" s="501"/>
      <c r="AQ626" s="501"/>
      <c r="AR626" s="501"/>
      <c r="AS626" s="501"/>
      <c r="AT626" s="501"/>
      <c r="AU626" s="501"/>
      <c r="AV626" s="501"/>
      <c r="AW626" s="501"/>
      <c r="AX626" s="501"/>
      <c r="AY626" s="501"/>
      <c r="AZ626" s="501"/>
      <c r="BA626" s="501"/>
      <c r="BB626" s="501"/>
      <c r="BC626" s="501"/>
      <c r="BD626" s="501"/>
      <c r="BE626" s="501"/>
      <c r="BF626" s="501"/>
      <c r="BG626" s="501"/>
      <c r="BH626" s="501"/>
      <c r="BI626" s="501"/>
      <c r="BJ626" s="501"/>
      <c r="BK626" s="501"/>
      <c r="BL626" s="501"/>
      <c r="BM626" s="501"/>
      <c r="BN626" s="501"/>
      <c r="BO626" s="501"/>
      <c r="BP626" s="501"/>
      <c r="BQ626" s="501"/>
      <c r="BR626" s="501"/>
      <c r="BS626" s="501"/>
      <c r="BT626" s="501"/>
      <c r="BU626" s="501"/>
      <c r="BV626" s="501"/>
      <c r="BW626" s="501"/>
      <c r="BX626" s="501"/>
      <c r="BY626" s="501"/>
      <c r="BZ626" s="501"/>
      <c r="CA626" s="501"/>
      <c r="CB626" s="501"/>
      <c r="CC626" s="501"/>
      <c r="CD626" s="501"/>
      <c r="CE626" s="501"/>
      <c r="CF626" s="501"/>
      <c r="CG626" s="501"/>
      <c r="CH626" s="501"/>
      <c r="CI626" s="501"/>
      <c r="CJ626" s="501"/>
      <c r="CK626" s="501"/>
      <c r="CL626" s="501"/>
      <c r="CM626" s="501"/>
      <c r="CN626" s="501"/>
      <c r="CO626" s="501"/>
      <c r="CP626" s="501"/>
      <c r="CQ626" s="501"/>
      <c r="CR626" s="501"/>
      <c r="CS626" s="501"/>
      <c r="CT626" s="501"/>
    </row>
    <row r="627">
      <c r="A627" s="569"/>
      <c r="B627" s="569"/>
      <c r="C627" s="569"/>
      <c r="D627" s="498"/>
      <c r="E627" s="499"/>
      <c r="F627" s="499"/>
      <c r="G627" s="766"/>
      <c r="H627" s="766"/>
      <c r="I627" s="766"/>
      <c r="J627" s="766"/>
      <c r="K627" s="683"/>
      <c r="L627" s="683"/>
      <c r="M627" s="683"/>
      <c r="N627" s="683"/>
      <c r="O627" s="683"/>
      <c r="P627" s="683"/>
      <c r="Q627" s="683"/>
      <c r="R627" s="683"/>
      <c r="S627" s="683"/>
      <c r="T627" s="501"/>
      <c r="U627" s="501"/>
      <c r="V627" s="501"/>
      <c r="W627" s="501"/>
      <c r="X627" s="501"/>
      <c r="Y627" s="501"/>
      <c r="Z627" s="501"/>
      <c r="AA627" s="501"/>
      <c r="AB627" s="501"/>
      <c r="AC627" s="501"/>
      <c r="AD627" s="501"/>
      <c r="AE627" s="501"/>
      <c r="AF627" s="501"/>
      <c r="AG627" s="501"/>
      <c r="AH627" s="501"/>
      <c r="AI627" s="501"/>
      <c r="AJ627" s="501"/>
      <c r="AK627" s="501"/>
      <c r="AL627" s="501"/>
      <c r="AM627" s="501"/>
      <c r="AN627" s="501"/>
      <c r="AO627" s="501"/>
      <c r="AP627" s="501"/>
      <c r="AQ627" s="501"/>
      <c r="AR627" s="501"/>
      <c r="AS627" s="501"/>
      <c r="AT627" s="501"/>
      <c r="AU627" s="501"/>
      <c r="AV627" s="501"/>
      <c r="AW627" s="501"/>
      <c r="AX627" s="501"/>
      <c r="AY627" s="501"/>
      <c r="AZ627" s="501"/>
      <c r="BA627" s="501"/>
      <c r="BB627" s="501"/>
      <c r="BC627" s="501"/>
      <c r="BD627" s="501"/>
      <c r="BE627" s="501"/>
      <c r="BF627" s="501"/>
      <c r="BG627" s="501"/>
      <c r="BH627" s="501"/>
      <c r="BI627" s="501"/>
      <c r="BJ627" s="501"/>
      <c r="BK627" s="501"/>
      <c r="BL627" s="501"/>
      <c r="BM627" s="501"/>
      <c r="BN627" s="501"/>
      <c r="BO627" s="501"/>
      <c r="BP627" s="501"/>
      <c r="BQ627" s="501"/>
      <c r="BR627" s="501"/>
      <c r="BS627" s="501"/>
      <c r="BT627" s="501"/>
      <c r="BU627" s="501"/>
      <c r="BV627" s="501"/>
      <c r="BW627" s="501"/>
      <c r="BX627" s="501"/>
      <c r="BY627" s="501"/>
      <c r="BZ627" s="501"/>
      <c r="CA627" s="501"/>
      <c r="CB627" s="501"/>
      <c r="CC627" s="501"/>
      <c r="CD627" s="501"/>
      <c r="CE627" s="501"/>
      <c r="CF627" s="501"/>
      <c r="CG627" s="501"/>
      <c r="CH627" s="501"/>
      <c r="CI627" s="501"/>
      <c r="CJ627" s="501"/>
      <c r="CK627" s="501"/>
      <c r="CL627" s="501"/>
      <c r="CM627" s="501"/>
      <c r="CN627" s="501"/>
      <c r="CO627" s="501"/>
      <c r="CP627" s="501"/>
      <c r="CQ627" s="501"/>
      <c r="CR627" s="501"/>
      <c r="CS627" s="501"/>
      <c r="CT627" s="501"/>
    </row>
    <row r="628">
      <c r="A628" s="569"/>
      <c r="B628" s="569"/>
      <c r="C628" s="569"/>
      <c r="D628" s="498"/>
      <c r="E628" s="499"/>
      <c r="F628" s="499"/>
      <c r="G628" s="766"/>
      <c r="H628" s="766"/>
      <c r="I628" s="766"/>
      <c r="J628" s="766"/>
      <c r="K628" s="683"/>
      <c r="L628" s="683"/>
      <c r="M628" s="683"/>
      <c r="N628" s="683"/>
      <c r="O628" s="683"/>
      <c r="P628" s="683"/>
      <c r="Q628" s="683"/>
      <c r="R628" s="683"/>
      <c r="S628" s="683"/>
      <c r="T628" s="501"/>
      <c r="U628" s="501"/>
      <c r="V628" s="501"/>
      <c r="W628" s="501"/>
      <c r="X628" s="501"/>
      <c r="Y628" s="501"/>
      <c r="Z628" s="501"/>
      <c r="AA628" s="501"/>
      <c r="AB628" s="501"/>
      <c r="AC628" s="501"/>
      <c r="AD628" s="501"/>
      <c r="AE628" s="501"/>
      <c r="AF628" s="501"/>
      <c r="AG628" s="501"/>
      <c r="AH628" s="501"/>
      <c r="AI628" s="501"/>
      <c r="AJ628" s="501"/>
      <c r="AK628" s="501"/>
      <c r="AL628" s="501"/>
      <c r="AM628" s="501"/>
      <c r="AN628" s="501"/>
      <c r="AO628" s="501"/>
      <c r="AP628" s="501"/>
      <c r="AQ628" s="501"/>
      <c r="AR628" s="501"/>
      <c r="AS628" s="501"/>
      <c r="AT628" s="501"/>
      <c r="AU628" s="501"/>
      <c r="AV628" s="501"/>
      <c r="AW628" s="501"/>
      <c r="AX628" s="501"/>
      <c r="AY628" s="501"/>
      <c r="AZ628" s="501"/>
      <c r="BA628" s="501"/>
      <c r="BB628" s="501"/>
      <c r="BC628" s="501"/>
      <c r="BD628" s="501"/>
      <c r="BE628" s="501"/>
      <c r="BF628" s="501"/>
      <c r="BG628" s="501"/>
      <c r="BH628" s="501"/>
      <c r="BI628" s="501"/>
      <c r="BJ628" s="501"/>
      <c r="BK628" s="501"/>
      <c r="BL628" s="501"/>
      <c r="BM628" s="501"/>
      <c r="BN628" s="501"/>
      <c r="BO628" s="501"/>
      <c r="BP628" s="501"/>
      <c r="BQ628" s="501"/>
      <c r="BR628" s="501"/>
      <c r="BS628" s="501"/>
      <c r="BT628" s="501"/>
      <c r="BU628" s="501"/>
      <c r="BV628" s="501"/>
      <c r="BW628" s="501"/>
      <c r="BX628" s="501"/>
      <c r="BY628" s="501"/>
      <c r="BZ628" s="501"/>
      <c r="CA628" s="501"/>
      <c r="CB628" s="501"/>
      <c r="CC628" s="501"/>
      <c r="CD628" s="501"/>
      <c r="CE628" s="501"/>
      <c r="CF628" s="501"/>
      <c r="CG628" s="501"/>
      <c r="CH628" s="501"/>
      <c r="CI628" s="501"/>
      <c r="CJ628" s="501"/>
      <c r="CK628" s="501"/>
      <c r="CL628" s="501"/>
      <c r="CM628" s="501"/>
      <c r="CN628" s="501"/>
      <c r="CO628" s="501"/>
      <c r="CP628" s="501"/>
      <c r="CQ628" s="501"/>
      <c r="CR628" s="501"/>
      <c r="CS628" s="501"/>
      <c r="CT628" s="501"/>
    </row>
    <row r="629">
      <c r="A629" s="569"/>
      <c r="B629" s="569"/>
      <c r="C629" s="569"/>
      <c r="D629" s="498"/>
      <c r="E629" s="499"/>
      <c r="F629" s="499"/>
      <c r="G629" s="766"/>
      <c r="H629" s="766"/>
      <c r="I629" s="766"/>
      <c r="J629" s="766"/>
      <c r="K629" s="683"/>
      <c r="L629" s="683"/>
      <c r="M629" s="683"/>
      <c r="N629" s="683"/>
      <c r="O629" s="683"/>
      <c r="P629" s="683"/>
      <c r="Q629" s="683"/>
      <c r="R629" s="683"/>
      <c r="S629" s="683"/>
      <c r="T629" s="501"/>
      <c r="U629" s="501"/>
      <c r="V629" s="501"/>
      <c r="W629" s="501"/>
      <c r="X629" s="501"/>
      <c r="Y629" s="501"/>
      <c r="Z629" s="501"/>
      <c r="AA629" s="501"/>
      <c r="AB629" s="501"/>
      <c r="AC629" s="501"/>
      <c r="AD629" s="501"/>
      <c r="AE629" s="501"/>
      <c r="AF629" s="501"/>
      <c r="AG629" s="501"/>
      <c r="AH629" s="501"/>
      <c r="AI629" s="501"/>
      <c r="AJ629" s="501"/>
      <c r="AK629" s="501"/>
      <c r="AL629" s="501"/>
      <c r="AM629" s="501"/>
      <c r="AN629" s="501"/>
      <c r="AO629" s="501"/>
      <c r="AP629" s="501"/>
      <c r="AQ629" s="501"/>
      <c r="AR629" s="501"/>
      <c r="AS629" s="501"/>
      <c r="AT629" s="501"/>
      <c r="AU629" s="501"/>
      <c r="AV629" s="501"/>
      <c r="AW629" s="501"/>
      <c r="AX629" s="501"/>
      <c r="AY629" s="501"/>
      <c r="AZ629" s="501"/>
      <c r="BA629" s="501"/>
      <c r="BB629" s="501"/>
      <c r="BC629" s="501"/>
      <c r="BD629" s="501"/>
      <c r="BE629" s="501"/>
      <c r="BF629" s="501"/>
      <c r="BG629" s="501"/>
      <c r="BH629" s="501"/>
      <c r="BI629" s="501"/>
      <c r="BJ629" s="501"/>
      <c r="BK629" s="501"/>
      <c r="BL629" s="501"/>
      <c r="BM629" s="501"/>
      <c r="BN629" s="501"/>
      <c r="BO629" s="501"/>
      <c r="BP629" s="501"/>
      <c r="BQ629" s="501"/>
      <c r="BR629" s="501"/>
      <c r="BS629" s="501"/>
      <c r="BT629" s="501"/>
      <c r="BU629" s="501"/>
      <c r="BV629" s="501"/>
      <c r="BW629" s="501"/>
      <c r="BX629" s="501"/>
      <c r="BY629" s="501"/>
      <c r="BZ629" s="501"/>
      <c r="CA629" s="501"/>
      <c r="CB629" s="501"/>
      <c r="CC629" s="501"/>
      <c r="CD629" s="501"/>
      <c r="CE629" s="501"/>
      <c r="CF629" s="501"/>
      <c r="CG629" s="501"/>
      <c r="CH629" s="501"/>
      <c r="CI629" s="501"/>
      <c r="CJ629" s="501"/>
      <c r="CK629" s="501"/>
      <c r="CL629" s="501"/>
      <c r="CM629" s="501"/>
      <c r="CN629" s="501"/>
      <c r="CO629" s="501"/>
      <c r="CP629" s="501"/>
      <c r="CQ629" s="501"/>
      <c r="CR629" s="501"/>
      <c r="CS629" s="501"/>
      <c r="CT629" s="501"/>
    </row>
    <row r="630">
      <c r="A630" s="569"/>
      <c r="B630" s="569"/>
      <c r="C630" s="569"/>
      <c r="D630" s="498"/>
      <c r="E630" s="499"/>
      <c r="F630" s="499"/>
      <c r="G630" s="766"/>
      <c r="H630" s="766"/>
      <c r="I630" s="766"/>
      <c r="J630" s="766"/>
      <c r="K630" s="683"/>
      <c r="L630" s="683"/>
      <c r="M630" s="683"/>
      <c r="N630" s="683"/>
      <c r="O630" s="683"/>
      <c r="P630" s="683"/>
      <c r="Q630" s="683"/>
      <c r="R630" s="683"/>
      <c r="S630" s="683"/>
      <c r="T630" s="501"/>
      <c r="U630" s="501"/>
      <c r="V630" s="501"/>
      <c r="W630" s="501"/>
      <c r="X630" s="501"/>
      <c r="Y630" s="501"/>
      <c r="Z630" s="501"/>
      <c r="AA630" s="501"/>
      <c r="AB630" s="501"/>
      <c r="AC630" s="501"/>
      <c r="AD630" s="501"/>
      <c r="AE630" s="501"/>
      <c r="AF630" s="501"/>
      <c r="AG630" s="501"/>
      <c r="AH630" s="501"/>
      <c r="AI630" s="501"/>
      <c r="AJ630" s="501"/>
      <c r="AK630" s="501"/>
      <c r="AL630" s="501"/>
      <c r="AM630" s="501"/>
      <c r="AN630" s="501"/>
      <c r="AO630" s="501"/>
      <c r="AP630" s="501"/>
      <c r="AQ630" s="501"/>
      <c r="AR630" s="501"/>
      <c r="AS630" s="501"/>
      <c r="AT630" s="501"/>
      <c r="AU630" s="501"/>
      <c r="AV630" s="501"/>
      <c r="AW630" s="501"/>
      <c r="AX630" s="501"/>
      <c r="AY630" s="501"/>
      <c r="AZ630" s="501"/>
      <c r="BA630" s="501"/>
      <c r="BB630" s="501"/>
      <c r="BC630" s="501"/>
      <c r="BD630" s="501"/>
      <c r="BE630" s="501"/>
      <c r="BF630" s="501"/>
      <c r="BG630" s="501"/>
      <c r="BH630" s="501"/>
      <c r="BI630" s="501"/>
      <c r="BJ630" s="501"/>
      <c r="BK630" s="501"/>
      <c r="BL630" s="501"/>
      <c r="BM630" s="501"/>
      <c r="BN630" s="501"/>
      <c r="BO630" s="501"/>
      <c r="BP630" s="501"/>
      <c r="BQ630" s="501"/>
      <c r="BR630" s="501"/>
      <c r="BS630" s="501"/>
      <c r="BT630" s="501"/>
      <c r="BU630" s="501"/>
      <c r="BV630" s="501"/>
      <c r="BW630" s="501"/>
      <c r="BX630" s="501"/>
      <c r="BY630" s="501"/>
      <c r="BZ630" s="501"/>
      <c r="CA630" s="501"/>
      <c r="CB630" s="501"/>
      <c r="CC630" s="501"/>
      <c r="CD630" s="501"/>
      <c r="CE630" s="501"/>
      <c r="CF630" s="501"/>
      <c r="CG630" s="501"/>
      <c r="CH630" s="501"/>
      <c r="CI630" s="501"/>
      <c r="CJ630" s="501"/>
      <c r="CK630" s="501"/>
      <c r="CL630" s="501"/>
      <c r="CM630" s="501"/>
      <c r="CN630" s="501"/>
      <c r="CO630" s="501"/>
      <c r="CP630" s="501"/>
      <c r="CQ630" s="501"/>
      <c r="CR630" s="501"/>
      <c r="CS630" s="501"/>
      <c r="CT630" s="501"/>
    </row>
    <row r="631">
      <c r="A631" s="569"/>
      <c r="B631" s="569"/>
      <c r="C631" s="569"/>
      <c r="D631" s="498"/>
      <c r="E631" s="499"/>
      <c r="F631" s="499"/>
      <c r="G631" s="766"/>
      <c r="H631" s="766"/>
      <c r="I631" s="766"/>
      <c r="J631" s="766"/>
      <c r="K631" s="683"/>
      <c r="L631" s="683"/>
      <c r="M631" s="683"/>
      <c r="N631" s="683"/>
      <c r="O631" s="683"/>
      <c r="P631" s="683"/>
      <c r="Q631" s="683"/>
      <c r="R631" s="683"/>
      <c r="S631" s="683"/>
      <c r="T631" s="501"/>
      <c r="U631" s="501"/>
      <c r="V631" s="501"/>
      <c r="W631" s="501"/>
      <c r="X631" s="501"/>
      <c r="Y631" s="501"/>
      <c r="Z631" s="501"/>
      <c r="AA631" s="501"/>
      <c r="AB631" s="501"/>
      <c r="AC631" s="501"/>
      <c r="AD631" s="501"/>
      <c r="AE631" s="501"/>
      <c r="AF631" s="501"/>
      <c r="AG631" s="501"/>
      <c r="AH631" s="501"/>
      <c r="AI631" s="501"/>
      <c r="AJ631" s="501"/>
      <c r="AK631" s="501"/>
      <c r="AL631" s="501"/>
      <c r="AM631" s="501"/>
      <c r="AN631" s="501"/>
      <c r="AO631" s="501"/>
      <c r="AP631" s="501"/>
      <c r="AQ631" s="501"/>
      <c r="AR631" s="501"/>
      <c r="AS631" s="501"/>
      <c r="AT631" s="501"/>
      <c r="AU631" s="501"/>
      <c r="AV631" s="501"/>
      <c r="AW631" s="501"/>
      <c r="AX631" s="501"/>
      <c r="AY631" s="501"/>
      <c r="AZ631" s="501"/>
      <c r="BA631" s="501"/>
      <c r="BB631" s="501"/>
      <c r="BC631" s="501"/>
      <c r="BD631" s="501"/>
      <c r="BE631" s="501"/>
      <c r="BF631" s="501"/>
      <c r="BG631" s="501"/>
      <c r="BH631" s="501"/>
      <c r="BI631" s="501"/>
      <c r="BJ631" s="501"/>
      <c r="BK631" s="501"/>
      <c r="BL631" s="501"/>
      <c r="BM631" s="501"/>
      <c r="BN631" s="501"/>
      <c r="BO631" s="501"/>
      <c r="BP631" s="501"/>
      <c r="BQ631" s="501"/>
      <c r="BR631" s="501"/>
      <c r="BS631" s="501"/>
      <c r="BT631" s="501"/>
      <c r="BU631" s="501"/>
      <c r="BV631" s="501"/>
      <c r="BW631" s="501"/>
      <c r="BX631" s="501"/>
      <c r="BY631" s="501"/>
      <c r="BZ631" s="501"/>
      <c r="CA631" s="501"/>
      <c r="CB631" s="501"/>
      <c r="CC631" s="501"/>
      <c r="CD631" s="501"/>
      <c r="CE631" s="501"/>
      <c r="CF631" s="501"/>
      <c r="CG631" s="501"/>
      <c r="CH631" s="501"/>
      <c r="CI631" s="501"/>
      <c r="CJ631" s="501"/>
      <c r="CK631" s="501"/>
      <c r="CL631" s="501"/>
      <c r="CM631" s="501"/>
      <c r="CN631" s="501"/>
      <c r="CO631" s="501"/>
      <c r="CP631" s="501"/>
      <c r="CQ631" s="501"/>
      <c r="CR631" s="501"/>
      <c r="CS631" s="501"/>
      <c r="CT631" s="501"/>
    </row>
    <row r="632">
      <c r="A632" s="569"/>
      <c r="B632" s="569"/>
      <c r="C632" s="569"/>
      <c r="D632" s="498"/>
      <c r="E632" s="499"/>
      <c r="F632" s="499"/>
      <c r="G632" s="766"/>
      <c r="H632" s="766"/>
      <c r="I632" s="766"/>
      <c r="J632" s="766"/>
      <c r="K632" s="683"/>
      <c r="L632" s="683"/>
      <c r="M632" s="683"/>
      <c r="N632" s="683"/>
      <c r="O632" s="683"/>
      <c r="P632" s="683"/>
      <c r="Q632" s="683"/>
      <c r="R632" s="683"/>
      <c r="S632" s="683"/>
      <c r="T632" s="501"/>
      <c r="U632" s="501"/>
      <c r="V632" s="501"/>
      <c r="W632" s="501"/>
      <c r="X632" s="501"/>
      <c r="Y632" s="501"/>
      <c r="Z632" s="501"/>
      <c r="AA632" s="501"/>
      <c r="AB632" s="501"/>
      <c r="AC632" s="501"/>
      <c r="AD632" s="501"/>
      <c r="AE632" s="501"/>
      <c r="AF632" s="501"/>
      <c r="AG632" s="501"/>
      <c r="AH632" s="501"/>
      <c r="AI632" s="501"/>
      <c r="AJ632" s="501"/>
      <c r="AK632" s="501"/>
      <c r="AL632" s="501"/>
      <c r="AM632" s="501"/>
      <c r="AN632" s="501"/>
      <c r="AO632" s="501"/>
      <c r="AP632" s="501"/>
      <c r="AQ632" s="501"/>
      <c r="AR632" s="501"/>
      <c r="AS632" s="501"/>
      <c r="AT632" s="501"/>
      <c r="AU632" s="501"/>
      <c r="AV632" s="501"/>
      <c r="AW632" s="501"/>
      <c r="AX632" s="501"/>
      <c r="AY632" s="501"/>
      <c r="AZ632" s="501"/>
      <c r="BA632" s="501"/>
      <c r="BB632" s="501"/>
      <c r="BC632" s="501"/>
      <c r="BD632" s="501"/>
      <c r="BE632" s="501"/>
      <c r="BF632" s="501"/>
      <c r="BG632" s="501"/>
      <c r="BH632" s="501"/>
      <c r="BI632" s="501"/>
      <c r="BJ632" s="501"/>
      <c r="BK632" s="501"/>
      <c r="BL632" s="501"/>
      <c r="BM632" s="501"/>
      <c r="BN632" s="501"/>
      <c r="BO632" s="501"/>
      <c r="BP632" s="501"/>
      <c r="BQ632" s="501"/>
      <c r="BR632" s="501"/>
      <c r="BS632" s="501"/>
      <c r="BT632" s="501"/>
      <c r="BU632" s="501"/>
      <c r="BV632" s="501"/>
      <c r="BW632" s="501"/>
      <c r="BX632" s="501"/>
      <c r="BY632" s="501"/>
      <c r="BZ632" s="501"/>
      <c r="CA632" s="501"/>
      <c r="CB632" s="501"/>
      <c r="CC632" s="501"/>
      <c r="CD632" s="501"/>
      <c r="CE632" s="501"/>
      <c r="CF632" s="501"/>
      <c r="CG632" s="501"/>
      <c r="CH632" s="501"/>
      <c r="CI632" s="501"/>
      <c r="CJ632" s="501"/>
      <c r="CK632" s="501"/>
      <c r="CL632" s="501"/>
      <c r="CM632" s="501"/>
      <c r="CN632" s="501"/>
      <c r="CO632" s="501"/>
      <c r="CP632" s="501"/>
      <c r="CQ632" s="501"/>
      <c r="CR632" s="501"/>
      <c r="CS632" s="501"/>
      <c r="CT632" s="501"/>
    </row>
    <row r="633">
      <c r="A633" s="569"/>
      <c r="B633" s="569"/>
      <c r="C633" s="569"/>
      <c r="D633" s="498"/>
      <c r="E633" s="499"/>
      <c r="F633" s="499"/>
      <c r="G633" s="766"/>
      <c r="H633" s="766"/>
      <c r="I633" s="766"/>
      <c r="J633" s="766"/>
      <c r="K633" s="683"/>
      <c r="L633" s="683"/>
      <c r="M633" s="683"/>
      <c r="N633" s="683"/>
      <c r="O633" s="683"/>
      <c r="P633" s="683"/>
      <c r="Q633" s="683"/>
      <c r="R633" s="683"/>
      <c r="S633" s="683"/>
      <c r="T633" s="501"/>
      <c r="U633" s="501"/>
      <c r="V633" s="501"/>
      <c r="W633" s="501"/>
      <c r="X633" s="501"/>
      <c r="Y633" s="501"/>
      <c r="Z633" s="501"/>
      <c r="AA633" s="501"/>
      <c r="AB633" s="501"/>
      <c r="AC633" s="501"/>
      <c r="AD633" s="501"/>
      <c r="AE633" s="501"/>
      <c r="AF633" s="501"/>
      <c r="AG633" s="501"/>
      <c r="AH633" s="501"/>
      <c r="AI633" s="501"/>
      <c r="AJ633" s="501"/>
      <c r="AK633" s="501"/>
      <c r="AL633" s="501"/>
      <c r="AM633" s="501"/>
      <c r="AN633" s="501"/>
      <c r="AO633" s="501"/>
      <c r="AP633" s="501"/>
      <c r="AQ633" s="501"/>
      <c r="AR633" s="501"/>
      <c r="AS633" s="501"/>
      <c r="AT633" s="501"/>
      <c r="AU633" s="501"/>
      <c r="AV633" s="501"/>
      <c r="AW633" s="501"/>
      <c r="AX633" s="501"/>
      <c r="AY633" s="501"/>
      <c r="AZ633" s="501"/>
      <c r="BA633" s="501"/>
      <c r="BB633" s="501"/>
      <c r="BC633" s="501"/>
      <c r="BD633" s="501"/>
      <c r="BE633" s="501"/>
      <c r="BF633" s="501"/>
      <c r="BG633" s="501"/>
      <c r="BH633" s="501"/>
      <c r="BI633" s="501"/>
      <c r="BJ633" s="501"/>
      <c r="BK633" s="501"/>
      <c r="BL633" s="501"/>
      <c r="BM633" s="501"/>
      <c r="BN633" s="501"/>
      <c r="BO633" s="501"/>
      <c r="BP633" s="501"/>
      <c r="BQ633" s="501"/>
      <c r="BR633" s="501"/>
      <c r="BS633" s="501"/>
      <c r="BT633" s="501"/>
      <c r="BU633" s="501"/>
      <c r="BV633" s="501"/>
      <c r="BW633" s="501"/>
      <c r="BX633" s="501"/>
      <c r="BY633" s="501"/>
      <c r="BZ633" s="501"/>
      <c r="CA633" s="501"/>
      <c r="CB633" s="501"/>
      <c r="CC633" s="501"/>
      <c r="CD633" s="501"/>
      <c r="CE633" s="501"/>
      <c r="CF633" s="501"/>
      <c r="CG633" s="501"/>
      <c r="CH633" s="501"/>
      <c r="CI633" s="501"/>
      <c r="CJ633" s="501"/>
      <c r="CK633" s="501"/>
      <c r="CL633" s="501"/>
      <c r="CM633" s="501"/>
      <c r="CN633" s="501"/>
      <c r="CO633" s="501"/>
      <c r="CP633" s="501"/>
      <c r="CQ633" s="501"/>
      <c r="CR633" s="501"/>
      <c r="CS633" s="501"/>
      <c r="CT633" s="501"/>
    </row>
    <row r="634">
      <c r="A634" s="569"/>
      <c r="B634" s="569"/>
      <c r="C634" s="569"/>
      <c r="D634" s="498"/>
      <c r="E634" s="499"/>
      <c r="F634" s="499"/>
      <c r="G634" s="766"/>
      <c r="H634" s="766"/>
      <c r="I634" s="766"/>
      <c r="J634" s="766"/>
      <c r="K634" s="683"/>
      <c r="L634" s="683"/>
      <c r="M634" s="683"/>
      <c r="N634" s="683"/>
      <c r="O634" s="683"/>
      <c r="P634" s="683"/>
      <c r="Q634" s="683"/>
      <c r="R634" s="683"/>
      <c r="S634" s="683"/>
      <c r="T634" s="501"/>
      <c r="U634" s="501"/>
      <c r="V634" s="501"/>
      <c r="W634" s="501"/>
      <c r="X634" s="501"/>
      <c r="Y634" s="501"/>
      <c r="Z634" s="501"/>
      <c r="AA634" s="501"/>
      <c r="AB634" s="501"/>
      <c r="AC634" s="501"/>
      <c r="AD634" s="501"/>
      <c r="AE634" s="501"/>
      <c r="AF634" s="501"/>
      <c r="AG634" s="501"/>
      <c r="AH634" s="501"/>
      <c r="AI634" s="501"/>
      <c r="AJ634" s="501"/>
      <c r="AK634" s="501"/>
      <c r="AL634" s="501"/>
      <c r="AM634" s="501"/>
      <c r="AN634" s="501"/>
      <c r="AO634" s="501"/>
      <c r="AP634" s="501"/>
      <c r="AQ634" s="501"/>
      <c r="AR634" s="501"/>
      <c r="AS634" s="501"/>
      <c r="AT634" s="501"/>
      <c r="AU634" s="501"/>
      <c r="AV634" s="501"/>
      <c r="AW634" s="501"/>
      <c r="AX634" s="501"/>
      <c r="AY634" s="501"/>
      <c r="AZ634" s="501"/>
      <c r="BA634" s="501"/>
      <c r="BB634" s="501"/>
      <c r="BC634" s="501"/>
      <c r="BD634" s="501"/>
      <c r="BE634" s="501"/>
      <c r="BF634" s="501"/>
      <c r="BG634" s="501"/>
      <c r="BH634" s="501"/>
      <c r="BI634" s="501"/>
      <c r="BJ634" s="501"/>
      <c r="BK634" s="501"/>
      <c r="BL634" s="501"/>
      <c r="BM634" s="501"/>
      <c r="BN634" s="501"/>
      <c r="BO634" s="501"/>
      <c r="BP634" s="501"/>
      <c r="BQ634" s="501"/>
      <c r="BR634" s="501"/>
      <c r="BS634" s="501"/>
      <c r="BT634" s="501"/>
      <c r="BU634" s="501"/>
      <c r="BV634" s="501"/>
      <c r="BW634" s="501"/>
      <c r="BX634" s="501"/>
      <c r="BY634" s="501"/>
      <c r="BZ634" s="501"/>
      <c r="CA634" s="501"/>
      <c r="CB634" s="501"/>
      <c r="CC634" s="501"/>
      <c r="CD634" s="501"/>
      <c r="CE634" s="501"/>
      <c r="CF634" s="501"/>
      <c r="CG634" s="501"/>
      <c r="CH634" s="501"/>
      <c r="CI634" s="501"/>
      <c r="CJ634" s="501"/>
      <c r="CK634" s="501"/>
      <c r="CL634" s="501"/>
      <c r="CM634" s="501"/>
      <c r="CN634" s="501"/>
      <c r="CO634" s="501"/>
      <c r="CP634" s="501"/>
      <c r="CQ634" s="501"/>
      <c r="CR634" s="501"/>
      <c r="CS634" s="501"/>
      <c r="CT634" s="501"/>
    </row>
    <row r="635">
      <c r="A635" s="569"/>
      <c r="B635" s="569"/>
      <c r="C635" s="569"/>
      <c r="D635" s="498"/>
      <c r="E635" s="499"/>
      <c r="F635" s="499"/>
      <c r="G635" s="766"/>
      <c r="H635" s="766"/>
      <c r="I635" s="766"/>
      <c r="J635" s="766"/>
      <c r="K635" s="683"/>
      <c r="L635" s="683"/>
      <c r="M635" s="683"/>
      <c r="N635" s="683"/>
      <c r="O635" s="683"/>
      <c r="P635" s="683"/>
      <c r="Q635" s="683"/>
      <c r="R635" s="683"/>
      <c r="S635" s="683"/>
      <c r="T635" s="501"/>
      <c r="U635" s="501"/>
      <c r="V635" s="501"/>
      <c r="W635" s="501"/>
      <c r="X635" s="501"/>
      <c r="Y635" s="501"/>
      <c r="Z635" s="501"/>
      <c r="AA635" s="501"/>
      <c r="AB635" s="501"/>
      <c r="AC635" s="501"/>
      <c r="AD635" s="501"/>
      <c r="AE635" s="501"/>
      <c r="AF635" s="501"/>
      <c r="AG635" s="501"/>
      <c r="AH635" s="501"/>
      <c r="AI635" s="501"/>
      <c r="AJ635" s="501"/>
      <c r="AK635" s="501"/>
      <c r="AL635" s="501"/>
      <c r="AM635" s="501"/>
      <c r="AN635" s="501"/>
      <c r="AO635" s="501"/>
      <c r="AP635" s="501"/>
      <c r="AQ635" s="501"/>
      <c r="AR635" s="501"/>
      <c r="AS635" s="501"/>
      <c r="AT635" s="501"/>
      <c r="AU635" s="501"/>
      <c r="AV635" s="501"/>
      <c r="AW635" s="501"/>
      <c r="AX635" s="501"/>
      <c r="AY635" s="501"/>
      <c r="AZ635" s="501"/>
      <c r="BA635" s="501"/>
      <c r="BB635" s="501"/>
      <c r="BC635" s="501"/>
      <c r="BD635" s="501"/>
      <c r="BE635" s="501"/>
      <c r="BF635" s="501"/>
      <c r="BG635" s="501"/>
      <c r="BH635" s="501"/>
      <c r="BI635" s="501"/>
      <c r="BJ635" s="501"/>
      <c r="BK635" s="501"/>
      <c r="BL635" s="501"/>
      <c r="BM635" s="501"/>
      <c r="BN635" s="501"/>
      <c r="BO635" s="501"/>
      <c r="BP635" s="501"/>
      <c r="BQ635" s="501"/>
      <c r="BR635" s="501"/>
      <c r="BS635" s="501"/>
      <c r="BT635" s="501"/>
      <c r="BU635" s="501"/>
      <c r="BV635" s="501"/>
      <c r="BW635" s="501"/>
      <c r="BX635" s="501"/>
      <c r="BY635" s="501"/>
      <c r="BZ635" s="501"/>
      <c r="CA635" s="501"/>
      <c r="CB635" s="501"/>
      <c r="CC635" s="501"/>
      <c r="CD635" s="501"/>
      <c r="CE635" s="501"/>
      <c r="CF635" s="501"/>
      <c r="CG635" s="501"/>
      <c r="CH635" s="501"/>
      <c r="CI635" s="501"/>
      <c r="CJ635" s="501"/>
      <c r="CK635" s="501"/>
      <c r="CL635" s="501"/>
      <c r="CM635" s="501"/>
      <c r="CN635" s="501"/>
      <c r="CO635" s="501"/>
      <c r="CP635" s="501"/>
      <c r="CQ635" s="501"/>
      <c r="CR635" s="501"/>
      <c r="CS635" s="501"/>
      <c r="CT635" s="501"/>
    </row>
    <row r="636">
      <c r="A636" s="569"/>
      <c r="B636" s="569"/>
      <c r="C636" s="569"/>
      <c r="D636" s="498"/>
      <c r="E636" s="499"/>
      <c r="F636" s="499"/>
      <c r="G636" s="766"/>
      <c r="H636" s="766"/>
      <c r="I636" s="766"/>
      <c r="J636" s="766"/>
      <c r="K636" s="683"/>
      <c r="L636" s="683"/>
      <c r="M636" s="683"/>
      <c r="N636" s="683"/>
      <c r="O636" s="683"/>
      <c r="P636" s="683"/>
      <c r="Q636" s="683"/>
      <c r="R636" s="683"/>
      <c r="S636" s="683"/>
      <c r="T636" s="501"/>
      <c r="U636" s="501"/>
      <c r="V636" s="501"/>
      <c r="W636" s="501"/>
      <c r="X636" s="501"/>
      <c r="Y636" s="501"/>
      <c r="Z636" s="501"/>
      <c r="AA636" s="501"/>
      <c r="AB636" s="501"/>
      <c r="AC636" s="501"/>
      <c r="AD636" s="501"/>
      <c r="AE636" s="501"/>
      <c r="AF636" s="501"/>
      <c r="AG636" s="501"/>
      <c r="AH636" s="501"/>
      <c r="AI636" s="501"/>
      <c r="AJ636" s="501"/>
      <c r="AK636" s="501"/>
      <c r="AL636" s="501"/>
      <c r="AM636" s="501"/>
      <c r="AN636" s="501"/>
      <c r="AO636" s="501"/>
      <c r="AP636" s="501"/>
      <c r="AQ636" s="501"/>
      <c r="AR636" s="501"/>
      <c r="AS636" s="501"/>
      <c r="AT636" s="501"/>
      <c r="AU636" s="501"/>
      <c r="AV636" s="501"/>
      <c r="AW636" s="501"/>
      <c r="AX636" s="501"/>
      <c r="AY636" s="501"/>
      <c r="AZ636" s="501"/>
      <c r="BA636" s="501"/>
      <c r="BB636" s="501"/>
      <c r="BC636" s="501"/>
      <c r="BD636" s="501"/>
      <c r="BE636" s="501"/>
      <c r="BF636" s="501"/>
      <c r="BG636" s="501"/>
      <c r="BH636" s="501"/>
      <c r="BI636" s="501"/>
      <c r="BJ636" s="501"/>
      <c r="BK636" s="501"/>
      <c r="BL636" s="501"/>
      <c r="BM636" s="501"/>
      <c r="BN636" s="501"/>
      <c r="BO636" s="501"/>
      <c r="BP636" s="501"/>
      <c r="BQ636" s="501"/>
      <c r="BR636" s="501"/>
      <c r="BS636" s="501"/>
      <c r="BT636" s="501"/>
      <c r="BU636" s="501"/>
      <c r="BV636" s="501"/>
      <c r="BW636" s="501"/>
      <c r="BX636" s="501"/>
      <c r="BY636" s="501"/>
      <c r="BZ636" s="501"/>
      <c r="CA636" s="501"/>
      <c r="CB636" s="501"/>
      <c r="CC636" s="501"/>
      <c r="CD636" s="501"/>
      <c r="CE636" s="501"/>
      <c r="CF636" s="501"/>
      <c r="CG636" s="501"/>
      <c r="CH636" s="501"/>
      <c r="CI636" s="501"/>
      <c r="CJ636" s="501"/>
      <c r="CK636" s="501"/>
      <c r="CL636" s="501"/>
      <c r="CM636" s="501"/>
      <c r="CN636" s="501"/>
      <c r="CO636" s="501"/>
      <c r="CP636" s="501"/>
      <c r="CQ636" s="501"/>
      <c r="CR636" s="501"/>
      <c r="CS636" s="501"/>
      <c r="CT636" s="501"/>
    </row>
    <row r="637">
      <c r="A637" s="569"/>
      <c r="B637" s="569"/>
      <c r="C637" s="569"/>
      <c r="D637" s="498"/>
      <c r="E637" s="499"/>
      <c r="F637" s="499"/>
      <c r="G637" s="766"/>
      <c r="H637" s="766"/>
      <c r="I637" s="766"/>
      <c r="J637" s="766"/>
      <c r="K637" s="683"/>
      <c r="L637" s="683"/>
      <c r="M637" s="683"/>
      <c r="N637" s="683"/>
      <c r="O637" s="683"/>
      <c r="P637" s="683"/>
      <c r="Q637" s="683"/>
      <c r="R637" s="683"/>
      <c r="S637" s="683"/>
      <c r="T637" s="501"/>
      <c r="U637" s="501"/>
      <c r="V637" s="501"/>
      <c r="W637" s="501"/>
      <c r="X637" s="501"/>
      <c r="Y637" s="501"/>
      <c r="Z637" s="501"/>
      <c r="AA637" s="501"/>
      <c r="AB637" s="501"/>
      <c r="AC637" s="501"/>
      <c r="AD637" s="501"/>
      <c r="AE637" s="501"/>
      <c r="AF637" s="501"/>
      <c r="AG637" s="501"/>
      <c r="AH637" s="501"/>
      <c r="AI637" s="501"/>
      <c r="AJ637" s="501"/>
      <c r="AK637" s="501"/>
      <c r="AL637" s="501"/>
      <c r="AM637" s="501"/>
      <c r="AN637" s="501"/>
      <c r="AO637" s="501"/>
      <c r="AP637" s="501"/>
      <c r="AQ637" s="501"/>
      <c r="AR637" s="501"/>
      <c r="AS637" s="501"/>
      <c r="AT637" s="501"/>
      <c r="AU637" s="501"/>
      <c r="AV637" s="501"/>
      <c r="AW637" s="501"/>
      <c r="AX637" s="501"/>
      <c r="AY637" s="501"/>
      <c r="AZ637" s="501"/>
      <c r="BA637" s="501"/>
      <c r="BB637" s="501"/>
      <c r="BC637" s="501"/>
      <c r="BD637" s="501"/>
      <c r="BE637" s="501"/>
      <c r="BF637" s="501"/>
      <c r="BG637" s="501"/>
      <c r="BH637" s="501"/>
      <c r="BI637" s="501"/>
      <c r="BJ637" s="501"/>
      <c r="BK637" s="501"/>
      <c r="BL637" s="501"/>
      <c r="BM637" s="501"/>
      <c r="BN637" s="501"/>
      <c r="BO637" s="501"/>
      <c r="BP637" s="501"/>
      <c r="BQ637" s="501"/>
      <c r="BR637" s="501"/>
      <c r="BS637" s="501"/>
      <c r="BT637" s="501"/>
      <c r="BU637" s="501"/>
      <c r="BV637" s="501"/>
      <c r="BW637" s="501"/>
      <c r="BX637" s="501"/>
      <c r="BY637" s="501"/>
      <c r="BZ637" s="501"/>
      <c r="CA637" s="501"/>
      <c r="CB637" s="501"/>
      <c r="CC637" s="501"/>
      <c r="CD637" s="501"/>
      <c r="CE637" s="501"/>
      <c r="CF637" s="501"/>
      <c r="CG637" s="501"/>
      <c r="CH637" s="501"/>
      <c r="CI637" s="501"/>
      <c r="CJ637" s="501"/>
      <c r="CK637" s="501"/>
      <c r="CL637" s="501"/>
      <c r="CM637" s="501"/>
      <c r="CN637" s="501"/>
      <c r="CO637" s="501"/>
      <c r="CP637" s="501"/>
      <c r="CQ637" s="501"/>
      <c r="CR637" s="501"/>
      <c r="CS637" s="501"/>
      <c r="CT637" s="501"/>
    </row>
    <row r="638">
      <c r="A638" s="569"/>
      <c r="B638" s="569"/>
      <c r="C638" s="569"/>
      <c r="D638" s="498"/>
      <c r="E638" s="499"/>
      <c r="F638" s="499"/>
      <c r="G638" s="766"/>
      <c r="H638" s="766"/>
      <c r="I638" s="766"/>
      <c r="J638" s="766"/>
      <c r="K638" s="683"/>
      <c r="L638" s="683"/>
      <c r="M638" s="683"/>
      <c r="N638" s="683"/>
      <c r="O638" s="683"/>
      <c r="P638" s="683"/>
      <c r="Q638" s="683"/>
      <c r="R638" s="683"/>
      <c r="S638" s="683"/>
      <c r="T638" s="501"/>
      <c r="U638" s="501"/>
      <c r="V638" s="501"/>
      <c r="W638" s="501"/>
      <c r="X638" s="501"/>
      <c r="Y638" s="501"/>
      <c r="Z638" s="501"/>
      <c r="AA638" s="501"/>
      <c r="AB638" s="501"/>
      <c r="AC638" s="501"/>
      <c r="AD638" s="501"/>
      <c r="AE638" s="501"/>
      <c r="AF638" s="501"/>
      <c r="AG638" s="501"/>
      <c r="AH638" s="501"/>
      <c r="AI638" s="501"/>
      <c r="AJ638" s="501"/>
      <c r="AK638" s="501"/>
      <c r="AL638" s="501"/>
      <c r="AM638" s="501"/>
      <c r="AN638" s="501"/>
      <c r="AO638" s="501"/>
      <c r="AP638" s="501"/>
      <c r="AQ638" s="501"/>
      <c r="AR638" s="501"/>
      <c r="AS638" s="501"/>
      <c r="AT638" s="501"/>
      <c r="AU638" s="501"/>
      <c r="AV638" s="501"/>
      <c r="AW638" s="501"/>
      <c r="AX638" s="501"/>
      <c r="AY638" s="501"/>
      <c r="AZ638" s="501"/>
      <c r="BA638" s="501"/>
      <c r="BB638" s="501"/>
      <c r="BC638" s="501"/>
      <c r="BD638" s="501"/>
      <c r="BE638" s="501"/>
      <c r="BF638" s="501"/>
      <c r="BG638" s="501"/>
      <c r="BH638" s="501"/>
      <c r="BI638" s="501"/>
      <c r="BJ638" s="501"/>
      <c r="BK638" s="501"/>
      <c r="BL638" s="501"/>
      <c r="BM638" s="501"/>
      <c r="BN638" s="501"/>
      <c r="BO638" s="501"/>
      <c r="BP638" s="501"/>
      <c r="BQ638" s="501"/>
      <c r="BR638" s="501"/>
      <c r="BS638" s="501"/>
      <c r="BT638" s="501"/>
      <c r="BU638" s="501"/>
      <c r="BV638" s="501"/>
      <c r="BW638" s="501"/>
      <c r="BX638" s="501"/>
      <c r="BY638" s="501"/>
      <c r="BZ638" s="501"/>
      <c r="CA638" s="501"/>
      <c r="CB638" s="501"/>
      <c r="CC638" s="501"/>
      <c r="CD638" s="501"/>
      <c r="CE638" s="501"/>
      <c r="CF638" s="501"/>
      <c r="CG638" s="501"/>
      <c r="CH638" s="501"/>
      <c r="CI638" s="501"/>
      <c r="CJ638" s="501"/>
      <c r="CK638" s="501"/>
      <c r="CL638" s="501"/>
      <c r="CM638" s="501"/>
      <c r="CN638" s="501"/>
      <c r="CO638" s="501"/>
      <c r="CP638" s="501"/>
      <c r="CQ638" s="501"/>
      <c r="CR638" s="501"/>
      <c r="CS638" s="501"/>
      <c r="CT638" s="501"/>
    </row>
    <row r="639">
      <c r="A639" s="569"/>
      <c r="B639" s="569"/>
      <c r="C639" s="569"/>
      <c r="D639" s="498"/>
      <c r="E639" s="499"/>
      <c r="F639" s="499"/>
      <c r="G639" s="766"/>
      <c r="H639" s="766"/>
      <c r="I639" s="766"/>
      <c r="J639" s="766"/>
      <c r="K639" s="683"/>
      <c r="L639" s="683"/>
      <c r="M639" s="683"/>
      <c r="N639" s="683"/>
      <c r="O639" s="683"/>
      <c r="P639" s="683"/>
      <c r="Q639" s="683"/>
      <c r="R639" s="683"/>
      <c r="S639" s="683"/>
      <c r="T639" s="501"/>
      <c r="U639" s="501"/>
      <c r="V639" s="501"/>
      <c r="W639" s="501"/>
      <c r="X639" s="501"/>
      <c r="Y639" s="501"/>
      <c r="Z639" s="501"/>
      <c r="AA639" s="501"/>
      <c r="AB639" s="501"/>
      <c r="AC639" s="501"/>
      <c r="AD639" s="501"/>
      <c r="AE639" s="501"/>
      <c r="AF639" s="501"/>
      <c r="AG639" s="501"/>
      <c r="AH639" s="501"/>
      <c r="AI639" s="501"/>
      <c r="AJ639" s="501"/>
      <c r="AK639" s="501"/>
      <c r="AL639" s="501"/>
      <c r="AM639" s="501"/>
      <c r="AN639" s="501"/>
      <c r="AO639" s="501"/>
      <c r="AP639" s="501"/>
      <c r="AQ639" s="501"/>
      <c r="AR639" s="501"/>
      <c r="AS639" s="501"/>
      <c r="AT639" s="501"/>
      <c r="AU639" s="501"/>
      <c r="AV639" s="501"/>
      <c r="AW639" s="501"/>
      <c r="AX639" s="501"/>
      <c r="AY639" s="501"/>
      <c r="AZ639" s="501"/>
      <c r="BA639" s="501"/>
      <c r="BB639" s="501"/>
      <c r="BC639" s="501"/>
      <c r="BD639" s="501"/>
      <c r="BE639" s="501"/>
      <c r="BF639" s="501"/>
      <c r="BG639" s="501"/>
      <c r="BH639" s="501"/>
      <c r="BI639" s="501"/>
      <c r="BJ639" s="501"/>
      <c r="BK639" s="501"/>
      <c r="BL639" s="501"/>
      <c r="BM639" s="501"/>
      <c r="BN639" s="501"/>
      <c r="BO639" s="501"/>
      <c r="BP639" s="501"/>
      <c r="BQ639" s="501"/>
      <c r="BR639" s="501"/>
      <c r="BS639" s="501"/>
      <c r="BT639" s="501"/>
      <c r="BU639" s="501"/>
      <c r="BV639" s="501"/>
      <c r="BW639" s="501"/>
      <c r="BX639" s="501"/>
      <c r="BY639" s="501"/>
      <c r="BZ639" s="501"/>
      <c r="CA639" s="501"/>
      <c r="CB639" s="501"/>
      <c r="CC639" s="501"/>
      <c r="CD639" s="501"/>
      <c r="CE639" s="501"/>
      <c r="CF639" s="501"/>
      <c r="CG639" s="501"/>
      <c r="CH639" s="501"/>
      <c r="CI639" s="501"/>
      <c r="CJ639" s="501"/>
      <c r="CK639" s="501"/>
      <c r="CL639" s="501"/>
      <c r="CM639" s="501"/>
      <c r="CN639" s="501"/>
      <c r="CO639" s="501"/>
      <c r="CP639" s="501"/>
      <c r="CQ639" s="501"/>
      <c r="CR639" s="501"/>
      <c r="CS639" s="501"/>
      <c r="CT639" s="501"/>
    </row>
    <row r="640">
      <c r="A640" s="569"/>
      <c r="B640" s="569"/>
      <c r="C640" s="569"/>
      <c r="D640" s="498"/>
      <c r="E640" s="499"/>
      <c r="F640" s="499"/>
      <c r="G640" s="766"/>
      <c r="H640" s="766"/>
      <c r="I640" s="766"/>
      <c r="J640" s="766"/>
      <c r="K640" s="683"/>
      <c r="L640" s="683"/>
      <c r="M640" s="683"/>
      <c r="N640" s="683"/>
      <c r="O640" s="683"/>
      <c r="P640" s="683"/>
      <c r="Q640" s="683"/>
      <c r="R640" s="683"/>
      <c r="S640" s="683"/>
      <c r="T640" s="501"/>
      <c r="U640" s="501"/>
      <c r="V640" s="501"/>
      <c r="W640" s="501"/>
      <c r="X640" s="501"/>
      <c r="Y640" s="501"/>
      <c r="Z640" s="501"/>
      <c r="AA640" s="501"/>
      <c r="AB640" s="501"/>
      <c r="AC640" s="501"/>
      <c r="AD640" s="501"/>
      <c r="AE640" s="501"/>
      <c r="AF640" s="501"/>
      <c r="AG640" s="501"/>
      <c r="AH640" s="501"/>
      <c r="AI640" s="501"/>
      <c r="AJ640" s="501"/>
      <c r="AK640" s="501"/>
      <c r="AL640" s="501"/>
      <c r="AM640" s="501"/>
      <c r="AN640" s="501"/>
      <c r="AO640" s="501"/>
      <c r="AP640" s="501"/>
      <c r="AQ640" s="501"/>
      <c r="AR640" s="501"/>
      <c r="AS640" s="501"/>
      <c r="AT640" s="501"/>
      <c r="AU640" s="501"/>
      <c r="AV640" s="501"/>
      <c r="AW640" s="501"/>
      <c r="AX640" s="501"/>
      <c r="AY640" s="501"/>
      <c r="AZ640" s="501"/>
      <c r="BA640" s="501"/>
      <c r="BB640" s="501"/>
      <c r="BC640" s="501"/>
      <c r="BD640" s="501"/>
      <c r="BE640" s="501"/>
      <c r="BF640" s="501"/>
      <c r="BG640" s="501"/>
      <c r="BH640" s="501"/>
      <c r="BI640" s="501"/>
      <c r="BJ640" s="501"/>
      <c r="BK640" s="501"/>
      <c r="BL640" s="501"/>
      <c r="BM640" s="501"/>
      <c r="BN640" s="501"/>
      <c r="BO640" s="501"/>
      <c r="BP640" s="501"/>
      <c r="BQ640" s="501"/>
      <c r="BR640" s="501"/>
      <c r="BS640" s="501"/>
      <c r="BT640" s="501"/>
      <c r="BU640" s="501"/>
      <c r="BV640" s="501"/>
      <c r="BW640" s="501"/>
      <c r="BX640" s="501"/>
      <c r="BY640" s="501"/>
      <c r="BZ640" s="501"/>
      <c r="CA640" s="501"/>
      <c r="CB640" s="501"/>
      <c r="CC640" s="501"/>
      <c r="CD640" s="501"/>
      <c r="CE640" s="501"/>
      <c r="CF640" s="501"/>
      <c r="CG640" s="501"/>
      <c r="CH640" s="501"/>
      <c r="CI640" s="501"/>
      <c r="CJ640" s="501"/>
      <c r="CK640" s="501"/>
      <c r="CL640" s="501"/>
      <c r="CM640" s="501"/>
      <c r="CN640" s="501"/>
      <c r="CO640" s="501"/>
      <c r="CP640" s="501"/>
      <c r="CQ640" s="501"/>
      <c r="CR640" s="501"/>
      <c r="CS640" s="501"/>
      <c r="CT640" s="501"/>
    </row>
    <row r="641">
      <c r="A641" s="569"/>
      <c r="B641" s="569"/>
      <c r="C641" s="569"/>
      <c r="D641" s="498"/>
      <c r="E641" s="499"/>
      <c r="F641" s="499"/>
      <c r="G641" s="766"/>
      <c r="H641" s="766"/>
      <c r="I641" s="766"/>
      <c r="J641" s="766"/>
      <c r="K641" s="683"/>
      <c r="L641" s="683"/>
      <c r="M641" s="683"/>
      <c r="N641" s="683"/>
      <c r="O641" s="683"/>
      <c r="P641" s="683"/>
      <c r="Q641" s="683"/>
      <c r="R641" s="683"/>
      <c r="S641" s="683"/>
      <c r="T641" s="501"/>
      <c r="U641" s="501"/>
      <c r="V641" s="501"/>
      <c r="W641" s="501"/>
      <c r="X641" s="501"/>
      <c r="Y641" s="501"/>
      <c r="Z641" s="501"/>
      <c r="AA641" s="501"/>
      <c r="AB641" s="501"/>
      <c r="AC641" s="501"/>
      <c r="AD641" s="501"/>
      <c r="AE641" s="501"/>
      <c r="AF641" s="501"/>
      <c r="AG641" s="501"/>
      <c r="AH641" s="501"/>
      <c r="AI641" s="501"/>
      <c r="AJ641" s="501"/>
      <c r="AK641" s="501"/>
      <c r="AL641" s="501"/>
      <c r="AM641" s="501"/>
      <c r="AN641" s="501"/>
      <c r="AO641" s="501"/>
      <c r="AP641" s="501"/>
      <c r="AQ641" s="501"/>
      <c r="AR641" s="501"/>
      <c r="AS641" s="501"/>
      <c r="AT641" s="501"/>
      <c r="AU641" s="501"/>
      <c r="AV641" s="501"/>
      <c r="AW641" s="501"/>
      <c r="AX641" s="501"/>
      <c r="AY641" s="501"/>
      <c r="AZ641" s="501"/>
      <c r="BA641" s="501"/>
      <c r="BB641" s="501"/>
      <c r="BC641" s="501"/>
      <c r="BD641" s="501"/>
      <c r="BE641" s="501"/>
      <c r="BF641" s="501"/>
      <c r="BG641" s="501"/>
      <c r="BH641" s="501"/>
      <c r="BI641" s="501"/>
      <c r="BJ641" s="501"/>
      <c r="BK641" s="501"/>
      <c r="BL641" s="501"/>
      <c r="BM641" s="501"/>
      <c r="BN641" s="501"/>
      <c r="BO641" s="501"/>
      <c r="BP641" s="501"/>
      <c r="BQ641" s="501"/>
      <c r="BR641" s="501"/>
      <c r="BS641" s="501"/>
      <c r="BT641" s="501"/>
      <c r="BU641" s="501"/>
      <c r="BV641" s="501"/>
      <c r="BW641" s="501"/>
      <c r="BX641" s="501"/>
      <c r="BY641" s="501"/>
      <c r="BZ641" s="501"/>
      <c r="CA641" s="501"/>
      <c r="CB641" s="501"/>
      <c r="CC641" s="501"/>
      <c r="CD641" s="501"/>
      <c r="CE641" s="501"/>
      <c r="CF641" s="501"/>
      <c r="CG641" s="501"/>
      <c r="CH641" s="501"/>
      <c r="CI641" s="501"/>
      <c r="CJ641" s="501"/>
      <c r="CK641" s="501"/>
      <c r="CL641" s="501"/>
      <c r="CM641" s="501"/>
      <c r="CN641" s="501"/>
      <c r="CO641" s="501"/>
      <c r="CP641" s="501"/>
      <c r="CQ641" s="501"/>
      <c r="CR641" s="501"/>
      <c r="CS641" s="501"/>
      <c r="CT641" s="501"/>
    </row>
    <row r="642">
      <c r="A642" s="569"/>
      <c r="B642" s="569"/>
      <c r="C642" s="569"/>
      <c r="D642" s="498"/>
      <c r="E642" s="499"/>
      <c r="F642" s="499"/>
      <c r="G642" s="766"/>
      <c r="H642" s="766"/>
      <c r="I642" s="766"/>
      <c r="J642" s="766"/>
      <c r="K642" s="683"/>
      <c r="L642" s="683"/>
      <c r="M642" s="683"/>
      <c r="N642" s="683"/>
      <c r="O642" s="683"/>
      <c r="P642" s="683"/>
      <c r="Q642" s="683"/>
      <c r="R642" s="683"/>
      <c r="S642" s="683"/>
      <c r="T642" s="501"/>
      <c r="U642" s="501"/>
      <c r="V642" s="501"/>
      <c r="W642" s="501"/>
      <c r="X642" s="501"/>
      <c r="Y642" s="501"/>
      <c r="Z642" s="501"/>
      <c r="AA642" s="501"/>
      <c r="AB642" s="501"/>
      <c r="AC642" s="501"/>
      <c r="AD642" s="501"/>
      <c r="AE642" s="501"/>
      <c r="AF642" s="501"/>
      <c r="AG642" s="501"/>
      <c r="AH642" s="501"/>
      <c r="AI642" s="501"/>
      <c r="AJ642" s="501"/>
      <c r="AK642" s="501"/>
      <c r="AL642" s="501"/>
      <c r="AM642" s="501"/>
      <c r="AN642" s="501"/>
      <c r="AO642" s="501"/>
      <c r="AP642" s="501"/>
      <c r="AQ642" s="501"/>
      <c r="AR642" s="501"/>
      <c r="AS642" s="501"/>
      <c r="AT642" s="501"/>
      <c r="AU642" s="501"/>
      <c r="AV642" s="501"/>
      <c r="AW642" s="501"/>
      <c r="AX642" s="501"/>
      <c r="AY642" s="501"/>
      <c r="AZ642" s="501"/>
      <c r="BA642" s="501"/>
      <c r="BB642" s="501"/>
      <c r="BC642" s="501"/>
      <c r="BD642" s="501"/>
      <c r="BE642" s="501"/>
      <c r="BF642" s="501"/>
      <c r="BG642" s="501"/>
      <c r="BH642" s="501"/>
      <c r="BI642" s="501"/>
      <c r="BJ642" s="501"/>
      <c r="BK642" s="501"/>
      <c r="BL642" s="501"/>
      <c r="BM642" s="501"/>
      <c r="BN642" s="501"/>
      <c r="BO642" s="501"/>
      <c r="BP642" s="501"/>
      <c r="BQ642" s="501"/>
      <c r="BR642" s="501"/>
      <c r="BS642" s="501"/>
      <c r="BT642" s="501"/>
      <c r="BU642" s="501"/>
      <c r="BV642" s="501"/>
      <c r="BW642" s="501"/>
      <c r="BX642" s="501"/>
      <c r="BY642" s="501"/>
      <c r="BZ642" s="501"/>
      <c r="CA642" s="501"/>
      <c r="CB642" s="501"/>
      <c r="CC642" s="501"/>
      <c r="CD642" s="501"/>
      <c r="CE642" s="501"/>
      <c r="CF642" s="501"/>
      <c r="CG642" s="501"/>
      <c r="CH642" s="501"/>
      <c r="CI642" s="501"/>
      <c r="CJ642" s="501"/>
      <c r="CK642" s="501"/>
      <c r="CL642" s="501"/>
      <c r="CM642" s="501"/>
      <c r="CN642" s="501"/>
      <c r="CO642" s="501"/>
      <c r="CP642" s="501"/>
      <c r="CQ642" s="501"/>
      <c r="CR642" s="501"/>
      <c r="CS642" s="501"/>
      <c r="CT642" s="501"/>
    </row>
    <row r="643">
      <c r="A643" s="569"/>
      <c r="B643" s="569"/>
      <c r="C643" s="569"/>
      <c r="D643" s="498"/>
      <c r="E643" s="499"/>
      <c r="F643" s="499"/>
      <c r="G643" s="766"/>
      <c r="H643" s="766"/>
      <c r="I643" s="766"/>
      <c r="J643" s="766"/>
      <c r="K643" s="683"/>
      <c r="L643" s="683"/>
      <c r="M643" s="683"/>
      <c r="N643" s="683"/>
      <c r="O643" s="683"/>
      <c r="P643" s="683"/>
      <c r="Q643" s="683"/>
      <c r="R643" s="683"/>
      <c r="S643" s="683"/>
      <c r="T643" s="501"/>
      <c r="U643" s="501"/>
      <c r="V643" s="501"/>
      <c r="W643" s="501"/>
      <c r="X643" s="501"/>
      <c r="Y643" s="501"/>
      <c r="Z643" s="501"/>
      <c r="AA643" s="501"/>
      <c r="AB643" s="501"/>
      <c r="AC643" s="501"/>
      <c r="AD643" s="501"/>
      <c r="AE643" s="501"/>
      <c r="AF643" s="501"/>
      <c r="AG643" s="501"/>
      <c r="AH643" s="501"/>
      <c r="AI643" s="501"/>
      <c r="AJ643" s="501"/>
      <c r="AK643" s="501"/>
      <c r="AL643" s="501"/>
      <c r="AM643" s="501"/>
      <c r="AN643" s="501"/>
      <c r="AO643" s="501"/>
      <c r="AP643" s="501"/>
      <c r="AQ643" s="501"/>
      <c r="AR643" s="501"/>
      <c r="AS643" s="501"/>
      <c r="AT643" s="501"/>
      <c r="AU643" s="501"/>
      <c r="AV643" s="501"/>
      <c r="AW643" s="501"/>
      <c r="AX643" s="501"/>
      <c r="AY643" s="501"/>
      <c r="AZ643" s="501"/>
      <c r="BA643" s="501"/>
      <c r="BB643" s="501"/>
      <c r="BC643" s="501"/>
      <c r="BD643" s="501"/>
      <c r="BE643" s="501"/>
      <c r="BF643" s="501"/>
      <c r="BG643" s="501"/>
      <c r="BH643" s="501"/>
      <c r="BI643" s="501"/>
      <c r="BJ643" s="501"/>
      <c r="BK643" s="501"/>
      <c r="BL643" s="501"/>
      <c r="BM643" s="501"/>
      <c r="BN643" s="501"/>
      <c r="BO643" s="501"/>
      <c r="BP643" s="501"/>
      <c r="BQ643" s="501"/>
      <c r="BR643" s="501"/>
      <c r="BS643" s="501"/>
      <c r="BT643" s="501"/>
      <c r="BU643" s="501"/>
      <c r="BV643" s="501"/>
      <c r="BW643" s="501"/>
      <c r="BX643" s="501"/>
      <c r="BY643" s="501"/>
      <c r="BZ643" s="501"/>
      <c r="CA643" s="501"/>
      <c r="CB643" s="501"/>
      <c r="CC643" s="501"/>
      <c r="CD643" s="501"/>
      <c r="CE643" s="501"/>
      <c r="CF643" s="501"/>
      <c r="CG643" s="501"/>
      <c r="CH643" s="501"/>
      <c r="CI643" s="501"/>
      <c r="CJ643" s="501"/>
      <c r="CK643" s="501"/>
      <c r="CL643" s="501"/>
      <c r="CM643" s="501"/>
      <c r="CN643" s="501"/>
      <c r="CO643" s="501"/>
      <c r="CP643" s="501"/>
      <c r="CQ643" s="501"/>
      <c r="CR643" s="501"/>
      <c r="CS643" s="501"/>
      <c r="CT643" s="501"/>
    </row>
    <row r="644">
      <c r="A644" s="569"/>
      <c r="B644" s="569"/>
      <c r="C644" s="569"/>
      <c r="D644" s="498"/>
      <c r="E644" s="499"/>
      <c r="F644" s="499"/>
      <c r="G644" s="766"/>
      <c r="H644" s="766"/>
      <c r="I644" s="766"/>
      <c r="J644" s="766"/>
      <c r="K644" s="683"/>
      <c r="L644" s="683"/>
      <c r="M644" s="683"/>
      <c r="N644" s="683"/>
      <c r="O644" s="683"/>
      <c r="P644" s="683"/>
      <c r="Q644" s="683"/>
      <c r="R644" s="683"/>
      <c r="S644" s="683"/>
      <c r="T644" s="501"/>
      <c r="U644" s="501"/>
      <c r="V644" s="501"/>
      <c r="W644" s="501"/>
      <c r="X644" s="501"/>
      <c r="Y644" s="501"/>
      <c r="Z644" s="501"/>
      <c r="AA644" s="501"/>
      <c r="AB644" s="501"/>
      <c r="AC644" s="501"/>
      <c r="AD644" s="501"/>
      <c r="AE644" s="501"/>
      <c r="AF644" s="501"/>
      <c r="AG644" s="501"/>
      <c r="AH644" s="501"/>
      <c r="AI644" s="501"/>
      <c r="AJ644" s="501"/>
      <c r="AK644" s="501"/>
      <c r="AL644" s="501"/>
      <c r="AM644" s="501"/>
      <c r="AN644" s="501"/>
      <c r="AO644" s="501"/>
      <c r="AP644" s="501"/>
      <c r="AQ644" s="501"/>
      <c r="AR644" s="501"/>
      <c r="AS644" s="501"/>
      <c r="AT644" s="501"/>
      <c r="AU644" s="501"/>
      <c r="AV644" s="501"/>
      <c r="AW644" s="501"/>
      <c r="AX644" s="501"/>
      <c r="AY644" s="501"/>
      <c r="AZ644" s="501"/>
      <c r="BA644" s="501"/>
      <c r="BB644" s="501"/>
      <c r="BC644" s="501"/>
      <c r="BD644" s="501"/>
      <c r="BE644" s="501"/>
      <c r="BF644" s="501"/>
      <c r="BG644" s="501"/>
      <c r="BH644" s="501"/>
      <c r="BI644" s="501"/>
      <c r="BJ644" s="501"/>
      <c r="BK644" s="501"/>
      <c r="BL644" s="501"/>
      <c r="BM644" s="501"/>
      <c r="BN644" s="501"/>
      <c r="BO644" s="501"/>
      <c r="BP644" s="501"/>
      <c r="BQ644" s="501"/>
      <c r="BR644" s="501"/>
      <c r="BS644" s="501"/>
      <c r="BT644" s="501"/>
      <c r="BU644" s="501"/>
      <c r="BV644" s="501"/>
      <c r="BW644" s="501"/>
      <c r="BX644" s="501"/>
      <c r="BY644" s="501"/>
      <c r="BZ644" s="501"/>
      <c r="CA644" s="501"/>
      <c r="CB644" s="501"/>
      <c r="CC644" s="501"/>
      <c r="CD644" s="501"/>
      <c r="CE644" s="501"/>
      <c r="CF644" s="501"/>
      <c r="CG644" s="501"/>
      <c r="CH644" s="501"/>
      <c r="CI644" s="501"/>
      <c r="CJ644" s="501"/>
      <c r="CK644" s="501"/>
      <c r="CL644" s="501"/>
      <c r="CM644" s="501"/>
      <c r="CN644" s="501"/>
      <c r="CO644" s="501"/>
      <c r="CP644" s="501"/>
      <c r="CQ644" s="501"/>
      <c r="CR644" s="501"/>
      <c r="CS644" s="501"/>
      <c r="CT644" s="501"/>
    </row>
  </sheetData>
  <autoFilter ref="$A$3:$T$87"/>
  <mergeCells count="40">
    <mergeCell ref="G93:J93"/>
    <mergeCell ref="G94:J94"/>
    <mergeCell ref="G95:J95"/>
    <mergeCell ref="G86:J86"/>
    <mergeCell ref="G87:J87"/>
    <mergeCell ref="G88:J88"/>
    <mergeCell ref="G89:J89"/>
    <mergeCell ref="G90:J90"/>
    <mergeCell ref="G91:J91"/>
    <mergeCell ref="G92:J92"/>
    <mergeCell ref="R1:R2"/>
    <mergeCell ref="S1:S2"/>
    <mergeCell ref="T1:T2"/>
    <mergeCell ref="K1:K2"/>
    <mergeCell ref="L1:L2"/>
    <mergeCell ref="M1:M2"/>
    <mergeCell ref="N1:N2"/>
    <mergeCell ref="O1:O2"/>
    <mergeCell ref="P1:P2"/>
    <mergeCell ref="Q1:Q2"/>
    <mergeCell ref="D1:D2"/>
    <mergeCell ref="E1:E2"/>
    <mergeCell ref="F1:F2"/>
    <mergeCell ref="G1:G2"/>
    <mergeCell ref="H1:H2"/>
    <mergeCell ref="I1:I2"/>
    <mergeCell ref="J1:J2"/>
    <mergeCell ref="G80:J80"/>
    <mergeCell ref="G81:J81"/>
    <mergeCell ref="G82:J82"/>
    <mergeCell ref="G83:J83"/>
    <mergeCell ref="G84:J84"/>
    <mergeCell ref="G85:J85"/>
    <mergeCell ref="A75:A87"/>
    <mergeCell ref="B75:B87"/>
    <mergeCell ref="C75:C87"/>
    <mergeCell ref="G76:J76"/>
    <mergeCell ref="G77:J77"/>
    <mergeCell ref="G78:J78"/>
    <mergeCell ref="G79:J79"/>
  </mergeCells>
  <conditionalFormatting sqref="L29:S30 D32 L32:S32">
    <cfRule type="expression" dxfId="0" priority="1">
      <formula>$G29="Согласован"</formula>
    </cfRule>
  </conditionalFormatting>
  <conditionalFormatting sqref="L29:S30 D32 L32:S32">
    <cfRule type="expression" dxfId="1" priority="2">
      <formula>$G29="на согласовании ДС"</formula>
    </cfRule>
  </conditionalFormatting>
  <conditionalFormatting sqref="L29:S30 D32 L32:S32">
    <cfRule type="expression" dxfId="2" priority="3">
      <formula>$G29="на согласовании СК"</formula>
    </cfRule>
  </conditionalFormatting>
  <conditionalFormatting sqref="L29:S30 D32 L32:S32">
    <cfRule type="expression" dxfId="3" priority="4">
      <formula>$G29="на согласовании подрядчика"</formula>
    </cfRule>
  </conditionalFormatting>
  <conditionalFormatting sqref="L29:S30 D32 L32:S32">
    <cfRule type="expression" dxfId="2" priority="5">
      <formula>$G29="ожидается подпись контрагента"</formula>
    </cfRule>
  </conditionalFormatting>
  <conditionalFormatting sqref="L29:S30 D32 L32:S32">
    <cfRule type="expression" dxfId="4" priority="6">
      <formula>$G29="ведутся работы"</formula>
    </cfRule>
  </conditionalFormatting>
  <conditionalFormatting sqref="L29:S30 D32 L32:S32">
    <cfRule type="expression" dxfId="5" priority="7">
      <formula>$G29="сформирован"</formula>
    </cfRule>
  </conditionalFormatting>
  <conditionalFormatting sqref="L29:S30 D32 L32:S32">
    <cfRule type="expression" dxfId="5" priority="8">
      <formula>$G29="Удален"</formula>
    </cfRule>
  </conditionalFormatting>
  <conditionalFormatting sqref="L29:S30 D32 L32:S32">
    <cfRule type="expression" dxfId="6" priority="9">
      <formula>$G29="На подписании подрядчика"</formula>
    </cfRule>
  </conditionalFormatting>
  <conditionalFormatting sqref="L29:S30 D32 L32:S32">
    <cfRule type="expression" dxfId="6" priority="10">
      <formula>$G29="Подписан подрядчиком"</formula>
    </cfRule>
  </conditionalFormatting>
  <conditionalFormatting sqref="L29:S30 D32 L32:S32">
    <cfRule type="expression" dxfId="7" priority="11">
      <formula>$G29="Подписан обеими сторонами"</formula>
    </cfRule>
  </conditionalFormatting>
  <conditionalFormatting sqref="L29:S30 D32 L32:S32">
    <cfRule type="expression" dxfId="5" priority="12">
      <formula>$G29="Отклонен"</formula>
    </cfRule>
  </conditionalFormatting>
  <conditionalFormatting sqref="L29:S30 D32 L32:S32">
    <cfRule type="expression" dxfId="5" priority="13">
      <formula>$G29="Отклонен"</formula>
    </cfRule>
  </conditionalFormatting>
  <conditionalFormatting sqref="L29:S30 D32 L32:S32">
    <cfRule type="expression" dxfId="7" priority="14">
      <formula>$G29="Подписан обеими сторонами"</formula>
    </cfRule>
  </conditionalFormatting>
  <conditionalFormatting sqref="L29:S30 D32 L32:S32">
    <cfRule type="expression" dxfId="6" priority="15">
      <formula>$G29="Подписан подрядчиком"</formula>
    </cfRule>
  </conditionalFormatting>
  <conditionalFormatting sqref="L29:S30 D32 L32:S32">
    <cfRule type="expression" dxfId="6" priority="16">
      <formula>$G29="На подписании подрядчика"</formula>
    </cfRule>
  </conditionalFormatting>
  <conditionalFormatting sqref="L29:S30 D32 L32:S32">
    <cfRule type="expression" dxfId="5" priority="17">
      <formula>$G29="Удален"</formula>
    </cfRule>
  </conditionalFormatting>
  <conditionalFormatting sqref="L29:S30 D32 L32:S32">
    <cfRule type="expression" dxfId="5" priority="18">
      <formula>$G29="сформирован"</formula>
    </cfRule>
  </conditionalFormatting>
  <conditionalFormatting sqref="L29:S30 D32 L32:S32">
    <cfRule type="expression" dxfId="4" priority="19">
      <formula>$G29="ведутся работы"</formula>
    </cfRule>
  </conditionalFormatting>
  <conditionalFormatting sqref="L29:S30 D32 L32:S32">
    <cfRule type="expression" dxfId="2" priority="20">
      <formula>$G29="ожидается подпись контрагента"</formula>
    </cfRule>
  </conditionalFormatting>
  <conditionalFormatting sqref="L29:S30 D32 L32:S32">
    <cfRule type="expression" dxfId="3" priority="21">
      <formula>$G29="на согласовании подрядчика"</formula>
    </cfRule>
  </conditionalFormatting>
  <conditionalFormatting sqref="L29:S30 D32 L32:S32">
    <cfRule type="expression" dxfId="2" priority="22">
      <formula>$G29="на согласовании СК"</formula>
    </cfRule>
  </conditionalFormatting>
  <conditionalFormatting sqref="L29:S30 D32 L32:S32">
    <cfRule type="expression" dxfId="1" priority="23">
      <formula>$G29="на согласовании ДС"</formula>
    </cfRule>
  </conditionalFormatting>
  <conditionalFormatting sqref="L29:S30 D32 L32:S32">
    <cfRule type="expression" dxfId="0" priority="24">
      <formula>$G29="Согласован"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5" priority="25">
      <formula>$D4="Отклонен"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7" priority="26">
      <formula>$D4="Подписан обеими сторонами"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6" priority="27">
      <formula>$D4="Подписан подрядчиком"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6" priority="28">
      <formula>$D4="На подписании подрядчика"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5" priority="29">
      <formula>$D4="Удален"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5" priority="30">
      <formula>$D4="сформирован"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4" priority="31">
      <formula>$D4="ведутся работы"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2" priority="32">
      <formula>$D4="ожидается подпись контрагента"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3" priority="33">
      <formula>$D4="на согласовании подрядчика"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2" priority="34">
      <formula>$D4="на согласовании СК"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1" priority="35">
      <formula>$D4="на согласовании ДС"</formula>
    </cfRule>
  </conditionalFormatting>
  <conditionalFormatting sqref="L4:L76 M4:M77 Q4:R76 D19 N19:N40 O19:O53 P19:P40 S19:S40 K33 K37 K39 D41:D50 N42:N45 P42:P52 N47:N52 K54:K61 N60:N63 P60:P66 O62:O70 K65 N65:N66 D67 N68:N70 P68:P69 D75:D76 N75 O75:P76 S75">
    <cfRule type="expression" dxfId="0" priority="36">
      <formula>$D4="Согласован"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5" priority="37">
      <formula>$C4="Отклонен"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7" priority="38">
      <formula>$C4="Подписан обеими сторонами"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6" priority="39">
      <formula>$C4="Подписан подрядчиком"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6" priority="40">
      <formula>$C4="На подписании подрядчика"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5" priority="41">
      <formula>$C4="Удален"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5" priority="42">
      <formula>$C4="сформирован"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4" priority="43">
      <formula>$C4="ведутся работы"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2" priority="44">
      <formula>$C4="ожидается подпись контрагента"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3" priority="45">
      <formula>$C4="на согласовании подрядчика"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2" priority="46">
      <formula>$C4="на согласовании СК"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1" priority="47">
      <formula>$C4="на согласовании ДС"</formula>
    </cfRule>
  </conditionalFormatting>
  <conditionalFormatting sqref="L4:L76 M4:M77 Q4:R76 D19 N19:N40 O19:O53 P19:P40 S19:S40 K33 K37 K39 D41:D50 N42:N45 P42:P52 N47:N52 G51:K51 S51:CT51 D54:D61 K54:K61 N60:N63 P60:P66 O62:O70 N65:N66 D67 N68:N70 P68:P69 D75:D76 N75 O75:P76 S75">
    <cfRule type="expression" dxfId="0" priority="48">
      <formula>$C4="Согласован"</formula>
    </cfRule>
  </conditionalFormatting>
  <conditionalFormatting sqref="D22:D23 D27:D31 C28:C31 D33:D40 D54:D61">
    <cfRule type="expression" dxfId="5" priority="49">
      <formula>$C22="Отклонен"</formula>
    </cfRule>
  </conditionalFormatting>
  <conditionalFormatting sqref="D22:D23 D27:D31 C28:C31 D33:D40 D54:D61">
    <cfRule type="expression" dxfId="7" priority="50">
      <formula>$C22="Подписан обеими сторонами"</formula>
    </cfRule>
  </conditionalFormatting>
  <conditionalFormatting sqref="D22:D23 D27:D31 C28:C31 D33:D40 D54:D61">
    <cfRule type="expression" dxfId="6" priority="51">
      <formula>$C22="Подписан подрядчиком"</formula>
    </cfRule>
  </conditionalFormatting>
  <conditionalFormatting sqref="D22:D23 D27:D31 C28:C31 D33:D40 D54:D61">
    <cfRule type="expression" dxfId="6" priority="52">
      <formula>$C22="На подписании подрядчика"</formula>
    </cfRule>
  </conditionalFormatting>
  <conditionalFormatting sqref="D22:D23 D27:D31 C28:C31 D33:D40 D54:D61">
    <cfRule type="expression" dxfId="5" priority="53">
      <formula>$C22="Удален"</formula>
    </cfRule>
  </conditionalFormatting>
  <conditionalFormatting sqref="D22:D23 D27:D31 C28:C31 D33:D40 D54:D61">
    <cfRule type="expression" dxfId="5" priority="54">
      <formula>$C22="сформирован"</formula>
    </cfRule>
  </conditionalFormatting>
  <conditionalFormatting sqref="D22:D23 D27:D31 C28:C31 D33:D40 D54:D61">
    <cfRule type="expression" dxfId="4" priority="55">
      <formula>$C22="ведутся работы"</formula>
    </cfRule>
  </conditionalFormatting>
  <conditionalFormatting sqref="D22:D23 D27:D31 C28:C31 D33:D40 D54:D61">
    <cfRule type="expression" dxfId="2" priority="56">
      <formula>$C22="ожидается подпись контрагента"</formula>
    </cfRule>
  </conditionalFormatting>
  <conditionalFormatting sqref="D22:D23 D27:D31 C28:C31 D33:D40 D54:D61">
    <cfRule type="expression" dxfId="3" priority="57">
      <formula>$C22="на согласовании подрядчика"</formula>
    </cfRule>
  </conditionalFormatting>
  <conditionalFormatting sqref="D22:D23 D27:D31 C28:C31 D33:D40 D54:D61">
    <cfRule type="expression" dxfId="2" priority="58">
      <formula>$C22="на согласовании СК"</formula>
    </cfRule>
  </conditionalFormatting>
  <conditionalFormatting sqref="D22:D23 D27:D31 C28:C31 D33:D40 D54:D61">
    <cfRule type="expression" dxfId="1" priority="59">
      <formula>$C22="на согласовании ДС"</formula>
    </cfRule>
  </conditionalFormatting>
  <conditionalFormatting sqref="D22:D23 D27:D31 C28:C31 D33:D40 D54:D61">
    <cfRule type="expression" dxfId="0" priority="60">
      <formula>$C22="Согласован"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0" priority="61">
      <formula>$H4="Согласован"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1" priority="62">
      <formula>$H4="на согласовании ДС"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2" priority="63">
      <formula>$H4="на согласовании СК"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3" priority="64">
      <formula>$H4="на согласовании подрядчика"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2" priority="65">
      <formula>$H4="ожидается подпись контрагента"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4" priority="66">
      <formula>$H4="ведутся работы"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5" priority="67">
      <formula>$H4="сформирован"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5" priority="68">
      <formula>$H4="Удален"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6" priority="69">
      <formula>$H4="На подписании подрядчика"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6" priority="70">
      <formula>$H4="Подписан подрядчиком"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7" priority="71">
      <formula>$H4="Подписан обеими сторонами"</formula>
    </cfRule>
  </conditionalFormatting>
  <conditionalFormatting sqref="Q4:Q76 L25:P25 R25 L29:P30 R29:S30 D32 L32:P32 R32:S32 D50 L50:M50 N50:P51 R50 F54:F61 K54:M61 N54:N63 O54:O70 P54:P66 R54:R61 K65 N65:N66 L68:M68 N68:N70 P68:P69 R68 N72:N75 O72:P76">
    <cfRule type="expression" dxfId="5" priority="72">
      <formula>$H4="Отклонен"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5" priority="73">
      <formula>$F4="Отклонен"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7" priority="74">
      <formula>$F4="Подписан обеими сторонами"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6" priority="75">
      <formula>$F4="Подписан подрядчиком"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6" priority="76">
      <formula>$F4="На подписании подрядчика"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5" priority="77">
      <formula>$F4="Удален"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5" priority="78">
      <formula>$F4="сформирован"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4" priority="79">
      <formula>$F4="ведутся работы"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2" priority="80">
      <formula>$F4="ожидается подпись контрагента"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3" priority="81">
      <formula>$F4="на согласовании подрядчика"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2" priority="82">
      <formula>$F4="на согласовании СК"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1" priority="83">
      <formula>$F4="на согласовании ДС"</formula>
    </cfRule>
  </conditionalFormatting>
  <conditionalFormatting sqref="B4:B76 E4:E76 S4:S76 D14 C17:C76 I19:J23 A20:A21 D20:D23 F20:H23 K20:R23 T20:CT21 A25 D25 F25:R25 T25 A27 L29:R30 A32 D32 F32:R32 T32:CT32 A34 F41:F50 G41:K41 M41 A50 D50 G50:H50 I50:I51 J50:M50 N50:P51 Q50:R50 T50:CT50 A54:A61 D54:D61 F54:K61 L54:L62 M54:M61 N54:N63 O54:O70 P54:P66 Q54:Q62 R54:R61 T54:CT61 F64:F70 K65 N65:N66 D68 G68:M68 N68:N70 P68:P69 Q68:R68 T68:CT68 K72:K73 L72:M74 N72:N75 O72:P76 Q72:R74">
    <cfRule type="expression" dxfId="0" priority="84">
      <formula>$F4="Согласован"</formula>
    </cfRule>
  </conditionalFormatting>
  <conditionalFormatting sqref="L4:L76 M4:M77 N4:P76 R4:R76 Q17:Q40 D19 S19:S40 D27 D32:D36 K33 K37 K39 D41:D50 A45:A50 F54:F61 K54:K61 D67 Q69:Q70 F71:F73 D75:D76 Q75 S75">
    <cfRule type="expression" dxfId="5" priority="85">
      <formula>$H4="Отклонен"</formula>
    </cfRule>
  </conditionalFormatting>
  <conditionalFormatting sqref="L4:L76 M4:M77 N4:P76 R4:R76 Q17:Q40 D19 S19:S40 D27 D32:D36 K33 K37 K39 D41:D50 A45:A50 F54:F61 K54:K61 D67 Q69:Q70 F71:F73 D75:D76 Q75 S75">
    <cfRule type="expression" dxfId="7" priority="86">
      <formula>$H4="Подписан обеими сторонами"</formula>
    </cfRule>
  </conditionalFormatting>
  <conditionalFormatting sqref="L4:L76 M4:M77 N4:P76 R4:R76 Q17:Q40 D19 S19:S40 D27 D32:D36 K33 K37 K39 D41:D50 A45:A50 F54:F61 K54:K61 D67 Q69:Q70 F71:F73 D75:D76 Q75 S75">
    <cfRule type="expression" dxfId="6" priority="87">
      <formula>$H4="Подписан подрядчиком"</formula>
    </cfRule>
  </conditionalFormatting>
  <conditionalFormatting sqref="L4:L76 M4:M77 N4:P76 R4:R76 Q17:Q40 D19 S19:S40 D27 D32:D36 K33 K37 K39 D41:D50 A45:A50 F54:F61 K54:K61 D67 Q69:Q70 F71:F73 D75:D76 Q75 S75">
    <cfRule type="expression" dxfId="6" priority="88">
      <formula>$H4="На подписании подрядчика"</formula>
    </cfRule>
  </conditionalFormatting>
  <conditionalFormatting sqref="L4:L76 M4:M77 N4:P76 R4:R76 Q17:Q40 D19 S19:S40 D27 D32:D36 K33 K37 K39 D41:D50 A45:A50 F54:F61 K54:K61 D67 Q69:Q70 F71:F73 D75:D76 Q75 S75">
    <cfRule type="expression" dxfId="5" priority="89">
      <formula>$H4="Удален"</formula>
    </cfRule>
  </conditionalFormatting>
  <conditionalFormatting sqref="L4:L76 M4:M77 N4:P76 R4:R76 Q17:Q40 D19 S19:S40 D27 D32:D36 K33 K37 K39 D41:D50 A45:A50 F54:F61 K54:K61 D67 Q69:Q70 F71:F73 D75:D76 Q75 S75">
    <cfRule type="expression" dxfId="5" priority="90">
      <formula>$H4="сформирован"</formula>
    </cfRule>
  </conditionalFormatting>
  <conditionalFormatting sqref="L4:L76 M4:M77 N4:P76 R4:R76 Q17:Q40 D19 S19:S40 D27 D32:D36 K33 K37 K39 D41:D50 A45:A50 F54:F61 K54:K61 D67 Q69:Q70 F71:F73 D75:D76 Q75 S75">
    <cfRule type="expression" dxfId="4" priority="91">
      <formula>$H4="ведутся работы"</formula>
    </cfRule>
  </conditionalFormatting>
  <conditionalFormatting sqref="L4:L76 M4:M77 N4:P76 R4:R76 Q17:Q40 D19 S19:S40 D27 D32:D36 K33 K37 K39 D41:D50 A45:A50 F54:F61 K54:K61 D67 Q69:Q70 F71:F73 D75:D76 Q75 S75">
    <cfRule type="expression" dxfId="2" priority="92">
      <formula>$H4="ожидается подпись контрагента"</formula>
    </cfRule>
  </conditionalFormatting>
  <conditionalFormatting sqref="L4:L76 M4:M77 N4:P76 R4:R76 Q17:Q40 D19 S19:S40 D27 D32:D36 K33 K37 K39 D41:D50 A45:A50 F54:F61 K54:K61 D67 Q69:Q70 F71:F73 D75:D76 Q75 S75">
    <cfRule type="expression" dxfId="3" priority="93">
      <formula>$H4="на согласовании подрядчика"</formula>
    </cfRule>
  </conditionalFormatting>
  <conditionalFormatting sqref="L4:L76 M4:M77 N4:P76 R4:R76 Q17:Q40 D19 S19:S40 D27 D32:D36 K33 K37 K39 D41:D50 A45:A50 F54:F61 K54:K61 D67 Q69:Q70 F71:F73 D75:D76 Q75 S75">
    <cfRule type="expression" dxfId="2" priority="94">
      <formula>$H4="на согласовании СК"</formula>
    </cfRule>
  </conditionalFormatting>
  <conditionalFormatting sqref="L4:L76 M4:M77 N4:P76 R4:R76 Q17:Q40 D19 S19:S40 D27 D32:D36 K33 K37 K39 D41:D50 A45:A50 F54:F61 K54:K61 D67 Q69:Q70 F71:F73 D75:D76 Q75 S75">
    <cfRule type="expression" dxfId="1" priority="95">
      <formula>$H4="на согласовании ДС"</formula>
    </cfRule>
  </conditionalFormatting>
  <conditionalFormatting sqref="L4:L76 M4:M77 N4:P76 R4:R76 Q17:Q40 D19 S19:S40 D27 D32:D36 K33 K37 K39 D41:D50 A45:A50 F54:F61 K54:K61 D67 Q69:Q70 F71:F73 D75:D76 Q75 S75">
    <cfRule type="expression" dxfId="0" priority="96">
      <formula>$H4="Согласован"</formula>
    </cfRule>
  </conditionalFormatting>
  <conditionalFormatting sqref="B4:B76 F4:F76 K4:L76 M4:M77 N4:CT76 C17:C76 A19:A20 I20:I21 J20 A27 J32 A34">
    <cfRule type="expression" dxfId="5" priority="97">
      <formula>$F4="Отклонен"</formula>
    </cfRule>
  </conditionalFormatting>
  <conditionalFormatting sqref="B4:B76 F4:F76 K4:L76 M4:M77 N4:CT76 C17:C76 A19:A20 I20:I21 J20 A27 J32 A34">
    <cfRule type="expression" dxfId="7" priority="98">
      <formula>$F4="Подписан обеими сторонами"</formula>
    </cfRule>
  </conditionalFormatting>
  <conditionalFormatting sqref="B4:B76 F4:F76 K4:L76 M4:M77 N4:CT76 C17:C76 A19:A20 I20:I21 J20 A27 J32 A34">
    <cfRule type="expression" dxfId="6" priority="99">
      <formula>$F4="Подписан подрядчиком"</formula>
    </cfRule>
  </conditionalFormatting>
  <conditionalFormatting sqref="B4:B76 F4:F76 K4:L76 M4:M77 N4:CT76 C17:C76 A19:A20 I20:I21 J20 A27 J32 A34">
    <cfRule type="expression" dxfId="6" priority="100">
      <formula>$F4="На подписании подрядчика"</formula>
    </cfRule>
  </conditionalFormatting>
  <conditionalFormatting sqref="B4:B76 F4:F76 K4:L76 M4:M77 N4:CT76 C17:C76 A19:A20 I20:I21 J20 A27 J32 A34">
    <cfRule type="expression" dxfId="5" priority="101">
      <formula>$F4="Удален"</formula>
    </cfRule>
  </conditionalFormatting>
  <conditionalFormatting sqref="B4:B76 F4:F76 K4:L76 M4:M77 N4:CT76 C17:C76 A19:A20 I20:I21 J20 A27 J32 A34">
    <cfRule type="expression" dxfId="5" priority="102">
      <formula>$F4="сформирован"</formula>
    </cfRule>
  </conditionalFormatting>
  <conditionalFormatting sqref="B4:B76 F4:F76 K4:L76 M4:M77 N4:CT76 C17:C76 A19:A20 I20:I21 J20 A27 J32 A34">
    <cfRule type="expression" dxfId="4" priority="103">
      <formula>$F4="ведутся работы"</formula>
    </cfRule>
  </conditionalFormatting>
  <conditionalFormatting sqref="B4:B76 F4:F76 K4:L76 M4:M77 N4:CT76 C17:C76 A19:A20 I20:I21 J20 A27 J32 A34">
    <cfRule type="expression" dxfId="2" priority="104">
      <formula>$F4="ожидается подпись контрагента"</formula>
    </cfRule>
  </conditionalFormatting>
  <conditionalFormatting sqref="B4:B76 F4:F76 K4:L76 M4:M77 N4:CT76 C17:C76 A19:A20 I20:I21 J20 A27 J32 A34">
    <cfRule type="expression" dxfId="3" priority="105">
      <formula>$F4="на согласовании подрядчика"</formula>
    </cfRule>
  </conditionalFormatting>
  <conditionalFormatting sqref="B4:B76 F4:F76 K4:L76 M4:M77 N4:CT76 C17:C76 A19:A20 I20:I21 J20 A27 J32 A34">
    <cfRule type="expression" dxfId="2" priority="106">
      <formula>$F4="на согласовании СК"</formula>
    </cfRule>
  </conditionalFormatting>
  <conditionalFormatting sqref="B4:B76 F4:F76 K4:L76 M4:M77 N4:CT76 C17:C76 A19:A20 I20:I21 J20 A27 J32 A34">
    <cfRule type="expression" dxfId="1" priority="107">
      <formula>$F4="на согласовании ДС"</formula>
    </cfRule>
  </conditionalFormatting>
  <conditionalFormatting sqref="B4:B76 F4:F76 K4:L76 M4:M77 N4:CT76 C17:C76 A19:A20 I20:I21 J20 A27 J32 A34">
    <cfRule type="expression" dxfId="0" priority="108">
      <formula>$F4="Согласован"</formula>
    </cfRule>
  </conditionalFormatting>
  <conditionalFormatting sqref="L4:L76 M4:M77 Q4:R76 S17:S40 N19:N52 O19:O70 P19:P52 G27:G40 H32 F33:F35 K33:K35 T33:CT35 K37:K40 F40 T40:CT40 N54:N70 P54:P70 S69:S70 N75 O75:P76 S75">
    <cfRule type="expression" dxfId="5" priority="109">
      <formula>$F4="Отклонен"</formula>
    </cfRule>
  </conditionalFormatting>
  <conditionalFormatting sqref="L4:L76 M4:M77 Q4:R76 S17:S40 N19:N52 O19:O70 P19:P52 G27:G40 H32 F33:F35 K33:K35 T33:CT35 K37:K40 F40 T40:CT40 N54:N70 P54:P70 S69:S70 N75 O75:P76 S75">
    <cfRule type="expression" dxfId="7" priority="110">
      <formula>$F4="Подписан обеими сторонами"</formula>
    </cfRule>
  </conditionalFormatting>
  <conditionalFormatting sqref="L4:L76 M4:M77 Q4:R76 S17:S40 N19:N52 O19:O70 P19:P52 G27:G40 H32 F33:F35 K33:K35 T33:CT35 K37:K40 F40 T40:CT40 N54:N70 P54:P70 S69:S70 N75 O75:P76 S75">
    <cfRule type="expression" dxfId="6" priority="111">
      <formula>$F4="Подписан подрядчиком"</formula>
    </cfRule>
  </conditionalFormatting>
  <conditionalFormatting sqref="L4:L76 M4:M77 Q4:R76 S17:S40 N19:N52 O19:O70 P19:P52 G27:G40 H32 F33:F35 K33:K35 T33:CT35 K37:K40 F40 T40:CT40 N54:N70 P54:P70 S69:S70 N75 O75:P76 S75">
    <cfRule type="expression" dxfId="6" priority="112">
      <formula>$F4="На подписании подрядчика"</formula>
    </cfRule>
  </conditionalFormatting>
  <conditionalFormatting sqref="L4:L76 M4:M77 Q4:R76 S17:S40 N19:N52 O19:O70 P19:P52 G27:G40 H32 F33:F35 K33:K35 T33:CT35 K37:K40 F40 T40:CT40 N54:N70 P54:P70 S69:S70 N75 O75:P76 S75">
    <cfRule type="expression" dxfId="5" priority="113">
      <formula>$F4="Удален"</formula>
    </cfRule>
  </conditionalFormatting>
  <conditionalFormatting sqref="L4:L76 M4:M77 Q4:R76 S17:S40 N19:N52 O19:O70 P19:P52 G27:G40 H32 F33:F35 K33:K35 T33:CT35 K37:K40 F40 T40:CT40 N54:N70 P54:P70 S69:S70 N75 O75:P76 S75">
    <cfRule type="expression" dxfId="5" priority="114">
      <formula>$F4="сформирован"</formula>
    </cfRule>
  </conditionalFormatting>
  <conditionalFormatting sqref="L4:L76 M4:M77 Q4:R76 S17:S40 N19:N52 O19:O70 P19:P52 G27:G40 H32 F33:F35 K33:K35 T33:CT35 K37:K40 F40 T40:CT40 N54:N70 P54:P70 S69:S70 N75 O75:P76 S75">
    <cfRule type="expression" dxfId="4" priority="115">
      <formula>$F4="ведутся работы"</formula>
    </cfRule>
  </conditionalFormatting>
  <conditionalFormatting sqref="L4:L76 M4:M77 Q4:R76 S17:S40 N19:N52 O19:O70 P19:P52 G27:G40 H32 F33:F35 K33:K35 T33:CT35 K37:K40 F40 T40:CT40 N54:N70 P54:P70 S69:S70 N75 O75:P76 S75">
    <cfRule type="expression" dxfId="2" priority="116">
      <formula>$F4="ожидается подпись контрагента"</formula>
    </cfRule>
  </conditionalFormatting>
  <conditionalFormatting sqref="L4:L76 M4:M77 Q4:R76 S17:S40 N19:N52 O19:O70 P19:P52 G27:G40 H32 F33:F35 K33:K35 T33:CT35 K37:K40 F40 T40:CT40 N54:N70 P54:P70 S69:S70 N75 O75:P76 S75">
    <cfRule type="expression" dxfId="3" priority="117">
      <formula>$F4="на согласовании подрядчика"</formula>
    </cfRule>
  </conditionalFormatting>
  <conditionalFormatting sqref="L4:L76 M4:M77 Q4:R76 S17:S40 N19:N52 O19:O70 P19:P52 G27:G40 H32 F33:F35 K33:K35 T33:CT35 K37:K40 F40 T40:CT40 N54:N70 P54:P70 S69:S70 N75 O75:P76 S75">
    <cfRule type="expression" dxfId="2" priority="118">
      <formula>$F4="на согласовании СК"</formula>
    </cfRule>
  </conditionalFormatting>
  <conditionalFormatting sqref="L4:L76 M4:M77 Q4:R76 S17:S40 N19:N52 O19:O70 P19:P52 G27:G40 H32 F33:F35 K33:K35 T33:CT35 K37:K40 F40 T40:CT40 N54:N70 P54:P70 S69:S70 N75 O75:P76 S75">
    <cfRule type="expression" dxfId="1" priority="119">
      <formula>$F4="на согласовании ДС"</formula>
    </cfRule>
  </conditionalFormatting>
  <conditionalFormatting sqref="A4:CT77">
    <cfRule type="expression" dxfId="5" priority="120">
      <formula>$F4="Отклонен"</formula>
    </cfRule>
  </conditionalFormatting>
  <conditionalFormatting sqref="A4:CT77">
    <cfRule type="expression" dxfId="7" priority="121">
      <formula>$F4="Подписан обеими сторонами"</formula>
    </cfRule>
  </conditionalFormatting>
  <conditionalFormatting sqref="A4:CT77">
    <cfRule type="expression" dxfId="6" priority="122">
      <formula>$F4="Подписан подрядчиком"</formula>
    </cfRule>
  </conditionalFormatting>
  <conditionalFormatting sqref="A4:CT77">
    <cfRule type="expression" dxfId="6" priority="123">
      <formula>$F4="На подписании подрядчика"</formula>
    </cfRule>
  </conditionalFormatting>
  <conditionalFormatting sqref="A4:CT77">
    <cfRule type="expression" dxfId="5" priority="124">
      <formula>$F4="Удален"</formula>
    </cfRule>
  </conditionalFormatting>
  <conditionalFormatting sqref="A4:CT77">
    <cfRule type="expression" dxfId="5" priority="125">
      <formula>$F4="сформирован"</formula>
    </cfRule>
  </conditionalFormatting>
  <conditionalFormatting sqref="A4:CT77">
    <cfRule type="expression" dxfId="4" priority="126">
      <formula>$F4="ведутся работы"</formula>
    </cfRule>
  </conditionalFormatting>
  <conditionalFormatting sqref="A4:CT77">
    <cfRule type="expression" dxfId="2" priority="127">
      <formula>$F4="ожидается подпись контрагента"</formula>
    </cfRule>
  </conditionalFormatting>
  <conditionalFormatting sqref="A4:CT77">
    <cfRule type="expression" dxfId="3" priority="128">
      <formula>$F4="на согласовании подрядчика"</formula>
    </cfRule>
  </conditionalFormatting>
  <conditionalFormatting sqref="A4:CT77">
    <cfRule type="expression" dxfId="2" priority="129">
      <formula>$F4="на согласовании СК"</formula>
    </cfRule>
  </conditionalFormatting>
  <conditionalFormatting sqref="A4:CT77">
    <cfRule type="expression" dxfId="1" priority="130">
      <formula>$F4="на согласовании ДС"</formula>
    </cfRule>
  </conditionalFormatting>
  <conditionalFormatting sqref="A4:CT77">
    <cfRule type="expression" dxfId="0" priority="131">
      <formula>$F4="Согласован"</formula>
    </cfRule>
  </conditionalFormatting>
  <dataValidations>
    <dataValidation type="list" allowBlank="1" sqref="F30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работы,Удален,Отклонен,Сформирован"</formula1>
    </dataValidation>
    <dataValidation type="list" allowBlank="1" sqref="F4:F29 F31:F644">
      <formula1>"На согласовании СК,На согласовании ДС,Ожидается подпись контрагента,На согласовании подрядчика,Согласован,На подписании подрядчика,Подписан подрядчиком,Подписан обеими сторонами,Ведутся работы,Удален,Отклонен,Сформирован,Отозван"</formula1>
    </dataValidation>
  </dataValidations>
  <hyperlinks>
    <hyperlink r:id="rId1" ref="E4"/>
    <hyperlink r:id="rId2" ref="E5"/>
    <hyperlink r:id="rId3" ref="E7"/>
    <hyperlink r:id="rId4" ref="E8"/>
    <hyperlink r:id="rId5" ref="E9"/>
    <hyperlink r:id="rId6" ref="E10"/>
    <hyperlink r:id="rId7" ref="U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U17"/>
    <hyperlink r:id="rId16" ref="H18"/>
    <hyperlink r:id="rId17" ref="E19"/>
    <hyperlink r:id="rId18" ref="E22"/>
    <hyperlink r:id="rId19" ref="E23"/>
    <hyperlink r:id="rId20" ref="E24"/>
    <hyperlink r:id="rId21" ref="U24"/>
    <hyperlink r:id="rId22" ref="E25"/>
    <hyperlink r:id="rId23" ref="E26"/>
    <hyperlink r:id="rId24" ref="E27"/>
    <hyperlink r:id="rId25" ref="E28"/>
    <hyperlink r:id="rId26" ref="U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H37"/>
    <hyperlink r:id="rId36" ref="J37"/>
    <hyperlink r:id="rId37" ref="H38"/>
    <hyperlink r:id="rId38" ref="H39"/>
    <hyperlink r:id="rId39" ref="J39"/>
    <hyperlink r:id="rId40" ref="H40"/>
    <hyperlink r:id="rId41" ref="H41"/>
    <hyperlink r:id="rId42" ref="J41"/>
    <hyperlink r:id="rId43" ref="H42"/>
    <hyperlink r:id="rId44" ref="H43"/>
    <hyperlink r:id="rId45" ref="H44"/>
    <hyperlink r:id="rId46" ref="H45"/>
    <hyperlink r:id="rId47" ref="J45"/>
    <hyperlink r:id="rId48" ref="H46"/>
    <hyperlink r:id="rId49" ref="E47"/>
    <hyperlink r:id="rId50" ref="E48"/>
    <hyperlink r:id="rId51" ref="H57"/>
    <hyperlink r:id="rId52" ref="H58"/>
    <hyperlink r:id="rId53" ref="H59"/>
    <hyperlink r:id="rId54" ref="H60"/>
    <hyperlink r:id="rId55" ref="J60"/>
    <hyperlink r:id="rId56" ref="H61"/>
    <hyperlink r:id="rId57" ref="H62"/>
    <hyperlink r:id="rId58" ref="J62"/>
    <hyperlink r:id="rId59" ref="H63"/>
    <hyperlink r:id="rId60" ref="J63"/>
    <hyperlink r:id="rId61" ref="H64"/>
    <hyperlink r:id="rId62" ref="J64"/>
    <hyperlink r:id="rId63" ref="E65"/>
    <hyperlink r:id="rId64" ref="H65"/>
    <hyperlink r:id="rId65" ref="J65"/>
    <hyperlink r:id="rId66" ref="H66"/>
    <hyperlink r:id="rId67" ref="J66"/>
    <hyperlink r:id="rId68" ref="H67"/>
    <hyperlink r:id="rId69" ref="J67"/>
    <hyperlink r:id="rId70" ref="E68"/>
    <hyperlink r:id="rId71" ref="E69"/>
    <hyperlink r:id="rId72" ref="E70"/>
    <hyperlink r:id="rId73" ref="H70"/>
    <hyperlink r:id="rId74" ref="J70"/>
    <hyperlink r:id="rId75" ref="E71"/>
    <hyperlink r:id="rId76" ref="H72"/>
    <hyperlink r:id="rId77" ref="J72"/>
    <hyperlink r:id="rId78" ref="E73"/>
    <hyperlink r:id="rId79" ref="E74"/>
  </hyperlinks>
  <printOptions gridLines="1" horizontalCentered="1"/>
  <pageMargins bottom="0.21518714270305256" footer="0.0" header="0.0" left="0.16665861552582004" right="0.25" top="0.19685039370078738"/>
  <pageSetup fitToHeight="0" paperSize="8" cellComments="atEnd" orientation="landscape" pageOrder="overThenDown"/>
  <drawing r:id="rId80"/>
</worksheet>
</file>